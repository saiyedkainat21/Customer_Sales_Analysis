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6afa143b2cb2fcd/Documents/"/>
    </mc:Choice>
  </mc:AlternateContent>
  <xr:revisionPtr revIDLastSave="1" documentId="8_{027C3451-6CB2-44A3-996C-C2E8005E328B}" xr6:coauthVersionLast="47" xr6:coauthVersionMax="47" xr10:uidLastSave="{55A78A4E-598D-4E81-83B5-522EB7CA2D6E}"/>
  <bookViews>
    <workbookView xWindow="-120" yWindow="-120" windowWidth="20730" windowHeight="11160" activeTab="2" xr2:uid="{E46DB199-6843-46D4-8CD9-E635F60C43D6}"/>
  </bookViews>
  <sheets>
    <sheet name="Customer Data" sheetId="1" r:id="rId1"/>
    <sheet name="Pivot Charts" sheetId="2" r:id="rId2"/>
    <sheet name="Dashboard" sheetId="5" r:id="rId3"/>
  </sheets>
  <definedNames>
    <definedName name="Slicer_Age_Group">#N/A</definedName>
    <definedName name="Slicer_Gender">#N/A</definedName>
    <definedName name="Slicer_Monthly_Tren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L709" i="1"/>
  <c r="L710" i="1"/>
  <c r="L322" i="1"/>
  <c r="L711" i="1"/>
  <c r="L2" i="1"/>
  <c r="L3" i="1"/>
  <c r="L4" i="1"/>
  <c r="L712" i="1"/>
  <c r="L713" i="1"/>
  <c r="L520" i="1"/>
  <c r="L323" i="1"/>
  <c r="L5" i="1"/>
  <c r="L146" i="1"/>
  <c r="L521" i="1"/>
  <c r="L522" i="1"/>
  <c r="L147" i="1"/>
  <c r="L714" i="1"/>
  <c r="L523" i="1"/>
  <c r="L524" i="1"/>
  <c r="L715" i="1"/>
  <c r="L324" i="1"/>
  <c r="L716" i="1"/>
  <c r="L717" i="1"/>
  <c r="L148" i="1"/>
  <c r="L718" i="1"/>
  <c r="L719" i="1"/>
  <c r="L720" i="1"/>
  <c r="L525" i="1"/>
  <c r="L325" i="1"/>
  <c r="L326" i="1"/>
  <c r="L526" i="1"/>
  <c r="L527" i="1"/>
  <c r="L528" i="1"/>
  <c r="L721" i="1"/>
  <c r="L149" i="1"/>
  <c r="L327" i="1"/>
  <c r="L6" i="1"/>
  <c r="L328" i="1"/>
  <c r="L529" i="1"/>
  <c r="L329" i="1"/>
  <c r="L7" i="1"/>
  <c r="L8" i="1"/>
  <c r="L530" i="1"/>
  <c r="L722" i="1"/>
  <c r="L723" i="1"/>
  <c r="L330" i="1"/>
  <c r="L150" i="1"/>
  <c r="L724" i="1"/>
  <c r="L151" i="1"/>
  <c r="L331" i="1"/>
  <c r="L725" i="1"/>
  <c r="L332" i="1"/>
  <c r="L152" i="1"/>
  <c r="L153" i="1"/>
  <c r="L726" i="1"/>
  <c r="L333" i="1"/>
  <c r="L727" i="1"/>
  <c r="L154" i="1"/>
  <c r="L155" i="1"/>
  <c r="L728" i="1"/>
  <c r="L156" i="1"/>
  <c r="L9" i="1"/>
  <c r="L729" i="1"/>
  <c r="L531" i="1"/>
  <c r="L157" i="1"/>
  <c r="L10" i="1"/>
  <c r="L730" i="1"/>
  <c r="L731" i="1"/>
  <c r="L334" i="1"/>
  <c r="L158" i="1"/>
  <c r="L159" i="1"/>
  <c r="L335" i="1"/>
  <c r="L160" i="1"/>
  <c r="L532" i="1"/>
  <c r="L336" i="1"/>
  <c r="L732" i="1"/>
  <c r="L337" i="1"/>
  <c r="L161" i="1"/>
  <c r="L733" i="1"/>
  <c r="L11" i="1"/>
  <c r="L338" i="1"/>
  <c r="L339" i="1"/>
  <c r="L340" i="1"/>
  <c r="L341" i="1"/>
  <c r="L734" i="1"/>
  <c r="L342" i="1"/>
  <c r="L735" i="1"/>
  <c r="L343" i="1"/>
  <c r="L533" i="1"/>
  <c r="L736" i="1"/>
  <c r="L162" i="1"/>
  <c r="L534" i="1"/>
  <c r="L12" i="1"/>
  <c r="L13" i="1"/>
  <c r="L163" i="1"/>
  <c r="L535" i="1"/>
  <c r="L14" i="1"/>
  <c r="L15" i="1"/>
  <c r="L737" i="1"/>
  <c r="L16" i="1"/>
  <c r="L536" i="1"/>
  <c r="L738" i="1"/>
  <c r="L164" i="1"/>
  <c r="L739" i="1"/>
  <c r="L165" i="1"/>
  <c r="L344" i="1"/>
  <c r="L17" i="1"/>
  <c r="L740" i="1"/>
  <c r="L741" i="1"/>
  <c r="L742" i="1"/>
  <c r="L743" i="1"/>
  <c r="L166" i="1"/>
  <c r="L345" i="1"/>
  <c r="L744" i="1"/>
  <c r="L18" i="1"/>
  <c r="L745" i="1"/>
  <c r="L19" i="1"/>
  <c r="L20" i="1"/>
  <c r="L167" i="1"/>
  <c r="L537" i="1"/>
  <c r="L538" i="1"/>
  <c r="L746" i="1"/>
  <c r="L747" i="1"/>
  <c r="L748" i="1"/>
  <c r="L749" i="1"/>
  <c r="L346" i="1"/>
  <c r="L21" i="1"/>
  <c r="L168" i="1"/>
  <c r="L539" i="1"/>
  <c r="L750" i="1"/>
  <c r="L169" i="1"/>
  <c r="L751" i="1"/>
  <c r="L752" i="1"/>
  <c r="L347" i="1"/>
  <c r="L348" i="1"/>
  <c r="L753" i="1"/>
  <c r="L540" i="1"/>
  <c r="L541" i="1"/>
  <c r="L754" i="1"/>
  <c r="L170" i="1"/>
  <c r="L542" i="1"/>
  <c r="L543" i="1"/>
  <c r="L755" i="1"/>
  <c r="L171" i="1"/>
  <c r="L349" i="1"/>
  <c r="L172" i="1"/>
  <c r="L22" i="1"/>
  <c r="L350" i="1"/>
  <c r="L756" i="1"/>
  <c r="L23" i="1"/>
  <c r="L351" i="1"/>
  <c r="L544" i="1"/>
  <c r="L352" i="1"/>
  <c r="L757" i="1"/>
  <c r="L173" i="1"/>
  <c r="L174" i="1"/>
  <c r="L353" i="1"/>
  <c r="L545" i="1"/>
  <c r="L546" i="1"/>
  <c r="L24" i="1"/>
  <c r="L758" i="1"/>
  <c r="L759" i="1"/>
  <c r="L547" i="1"/>
  <c r="L760" i="1"/>
  <c r="L548" i="1"/>
  <c r="L25" i="1"/>
  <c r="L175" i="1"/>
  <c r="L761" i="1"/>
  <c r="L26" i="1"/>
  <c r="L354" i="1"/>
  <c r="L549" i="1"/>
  <c r="L176" i="1"/>
  <c r="L355" i="1"/>
  <c r="L550" i="1"/>
  <c r="L762" i="1"/>
  <c r="L763" i="1"/>
  <c r="L356" i="1"/>
  <c r="L764" i="1"/>
  <c r="L27" i="1"/>
  <c r="L551" i="1"/>
  <c r="L552" i="1"/>
  <c r="L357" i="1"/>
  <c r="L177" i="1"/>
  <c r="L358" i="1"/>
  <c r="L178" i="1"/>
  <c r="L179" i="1"/>
  <c r="L359" i="1"/>
  <c r="L28" i="1"/>
  <c r="L29" i="1"/>
  <c r="L765" i="1"/>
  <c r="L766" i="1"/>
  <c r="L767" i="1"/>
  <c r="L360" i="1"/>
  <c r="L768" i="1"/>
  <c r="L769" i="1"/>
  <c r="L770" i="1"/>
  <c r="L30" i="1"/>
  <c r="L31" i="1"/>
  <c r="L180" i="1"/>
  <c r="L553" i="1"/>
  <c r="L771" i="1"/>
  <c r="L772" i="1"/>
  <c r="L773" i="1"/>
  <c r="L361" i="1"/>
  <c r="L774" i="1"/>
  <c r="L775" i="1"/>
  <c r="L32" i="1"/>
  <c r="L554" i="1"/>
  <c r="L181" i="1"/>
  <c r="L555" i="1"/>
  <c r="L182" i="1"/>
  <c r="L776" i="1"/>
  <c r="L33" i="1"/>
  <c r="L777" i="1"/>
  <c r="L778" i="1"/>
  <c r="L362" i="1"/>
  <c r="L779" i="1"/>
  <c r="L556" i="1"/>
  <c r="L183" i="1"/>
  <c r="L363" i="1"/>
  <c r="L780" i="1"/>
  <c r="L781" i="1"/>
  <c r="L184" i="1"/>
  <c r="L782" i="1"/>
  <c r="L185" i="1"/>
  <c r="L783" i="1"/>
  <c r="L364" i="1"/>
  <c r="L784" i="1"/>
  <c r="L365" i="1"/>
  <c r="L186" i="1"/>
  <c r="L366" i="1"/>
  <c r="L785" i="1"/>
  <c r="L367" i="1"/>
  <c r="L34" i="1"/>
  <c r="L368" i="1"/>
  <c r="L786" i="1"/>
  <c r="L557" i="1"/>
  <c r="L369" i="1"/>
  <c r="L187" i="1"/>
  <c r="L370" i="1"/>
  <c r="L371" i="1"/>
  <c r="L35" i="1"/>
  <c r="L372" i="1"/>
  <c r="L787" i="1"/>
  <c r="L558" i="1"/>
  <c r="L559" i="1"/>
  <c r="L188" i="1"/>
  <c r="L36" i="1"/>
  <c r="L560" i="1"/>
  <c r="L373" i="1"/>
  <c r="L561" i="1"/>
  <c r="L562" i="1"/>
  <c r="L788" i="1"/>
  <c r="L37" i="1"/>
  <c r="L38" i="1"/>
  <c r="L374" i="1"/>
  <c r="L789" i="1"/>
  <c r="L790" i="1"/>
  <c r="L375" i="1"/>
  <c r="L189" i="1"/>
  <c r="L791" i="1"/>
  <c r="L39" i="1"/>
  <c r="L376" i="1"/>
  <c r="L792" i="1"/>
  <c r="L793" i="1"/>
  <c r="L377" i="1"/>
  <c r="L563" i="1"/>
  <c r="L40" i="1"/>
  <c r="L41" i="1"/>
  <c r="L794" i="1"/>
  <c r="L190" i="1"/>
  <c r="L378" i="1"/>
  <c r="L795" i="1"/>
  <c r="L564" i="1"/>
  <c r="L565" i="1"/>
  <c r="L191" i="1"/>
  <c r="L796" i="1"/>
  <c r="L379" i="1"/>
  <c r="L566" i="1"/>
  <c r="L380" i="1"/>
  <c r="L381" i="1"/>
  <c r="L567" i="1"/>
  <c r="L568" i="1"/>
  <c r="L42" i="1"/>
  <c r="L382" i="1"/>
  <c r="L192" i="1"/>
  <c r="L383" i="1"/>
  <c r="L384" i="1"/>
  <c r="L385" i="1"/>
  <c r="L797" i="1"/>
  <c r="L193" i="1"/>
  <c r="L43" i="1"/>
  <c r="L386" i="1"/>
  <c r="L44" i="1"/>
  <c r="L194" i="1"/>
  <c r="L45" i="1"/>
  <c r="L387" i="1"/>
  <c r="L46" i="1"/>
  <c r="L195" i="1"/>
  <c r="L569" i="1"/>
  <c r="L196" i="1"/>
  <c r="L388" i="1"/>
  <c r="L798" i="1"/>
  <c r="L389" i="1"/>
  <c r="L390" i="1"/>
  <c r="L570" i="1"/>
  <c r="L799" i="1"/>
  <c r="L571" i="1"/>
  <c r="L391" i="1"/>
  <c r="L197" i="1"/>
  <c r="L800" i="1"/>
  <c r="L572" i="1"/>
  <c r="L198" i="1"/>
  <c r="L47" i="1"/>
  <c r="L199" i="1"/>
  <c r="L801" i="1"/>
  <c r="L392" i="1"/>
  <c r="L200" i="1"/>
  <c r="L48" i="1"/>
  <c r="L802" i="1"/>
  <c r="L803" i="1"/>
  <c r="L393" i="1"/>
  <c r="L201" i="1"/>
  <c r="L202" i="1"/>
  <c r="L573" i="1"/>
  <c r="L49" i="1"/>
  <c r="L203" i="1"/>
  <c r="L394" i="1"/>
  <c r="L204" i="1"/>
  <c r="L50" i="1"/>
  <c r="L804" i="1"/>
  <c r="L805" i="1"/>
  <c r="L395" i="1"/>
  <c r="L574" i="1"/>
  <c r="L51" i="1"/>
  <c r="L806" i="1"/>
  <c r="L205" i="1"/>
  <c r="L575" i="1"/>
  <c r="L206" i="1"/>
  <c r="L396" i="1"/>
  <c r="L397" i="1"/>
  <c r="L576" i="1"/>
  <c r="L807" i="1"/>
  <c r="L207" i="1"/>
  <c r="L577" i="1"/>
  <c r="L52" i="1"/>
  <c r="L808" i="1"/>
  <c r="L578" i="1"/>
  <c r="L53" i="1"/>
  <c r="L579" i="1"/>
  <c r="L208" i="1"/>
  <c r="L209" i="1"/>
  <c r="L210" i="1"/>
  <c r="L809" i="1"/>
  <c r="L810" i="1"/>
  <c r="L811" i="1"/>
  <c r="L211" i="1"/>
  <c r="L398" i="1"/>
  <c r="L812" i="1"/>
  <c r="L212" i="1"/>
  <c r="L213" i="1"/>
  <c r="L399" i="1"/>
  <c r="L813" i="1"/>
  <c r="L814" i="1"/>
  <c r="L815" i="1"/>
  <c r="L816" i="1"/>
  <c r="L817" i="1"/>
  <c r="L580" i="1"/>
  <c r="L400" i="1"/>
  <c r="L54" i="1"/>
  <c r="L401" i="1"/>
  <c r="L581" i="1"/>
  <c r="L818" i="1"/>
  <c r="L55" i="1"/>
  <c r="L819" i="1"/>
  <c r="L214" i="1"/>
  <c r="L402" i="1"/>
  <c r="L56" i="1"/>
  <c r="L820" i="1"/>
  <c r="L582" i="1"/>
  <c r="L821" i="1"/>
  <c r="L583" i="1"/>
  <c r="L403" i="1"/>
  <c r="L584" i="1"/>
  <c r="L585" i="1"/>
  <c r="L586" i="1"/>
  <c r="L404" i="1"/>
  <c r="L215" i="1"/>
  <c r="L405" i="1"/>
  <c r="L406" i="1"/>
  <c r="L822" i="1"/>
  <c r="L407" i="1"/>
  <c r="L57" i="1"/>
  <c r="L587" i="1"/>
  <c r="L823" i="1"/>
  <c r="L58" i="1"/>
  <c r="L408" i="1"/>
  <c r="L216" i="1"/>
  <c r="L59" i="1"/>
  <c r="L217" i="1"/>
  <c r="L588" i="1"/>
  <c r="L589" i="1"/>
  <c r="L590" i="1"/>
  <c r="L591" i="1"/>
  <c r="L824" i="1"/>
  <c r="L825" i="1"/>
  <c r="L592" i="1"/>
  <c r="L218" i="1"/>
  <c r="L60" i="1"/>
  <c r="L826" i="1"/>
  <c r="L409" i="1"/>
  <c r="L410" i="1"/>
  <c r="L411" i="1"/>
  <c r="L412" i="1"/>
  <c r="L61" i="1"/>
  <c r="L593" i="1"/>
  <c r="L827" i="1"/>
  <c r="L828" i="1"/>
  <c r="L62" i="1"/>
  <c r="L594" i="1"/>
  <c r="L829" i="1"/>
  <c r="L219" i="1"/>
  <c r="L413" i="1"/>
  <c r="L830" i="1"/>
  <c r="L63" i="1"/>
  <c r="L220" i="1"/>
  <c r="L221" i="1"/>
  <c r="L64" i="1"/>
  <c r="L831" i="1"/>
  <c r="L65" i="1"/>
  <c r="L595" i="1"/>
  <c r="L596" i="1"/>
  <c r="L597" i="1"/>
  <c r="L832" i="1"/>
  <c r="L66" i="1"/>
  <c r="L598" i="1"/>
  <c r="L414" i="1"/>
  <c r="L222" i="1"/>
  <c r="L223" i="1"/>
  <c r="L224" i="1"/>
  <c r="L599" i="1"/>
  <c r="L67" i="1"/>
  <c r="L225" i="1"/>
  <c r="L600" i="1"/>
  <c r="L833" i="1"/>
  <c r="L601" i="1"/>
  <c r="L834" i="1"/>
  <c r="L415" i="1"/>
  <c r="L416" i="1"/>
  <c r="L602" i="1"/>
  <c r="L68" i="1"/>
  <c r="L417" i="1"/>
  <c r="L603" i="1"/>
  <c r="L604" i="1"/>
  <c r="L605" i="1"/>
  <c r="L835" i="1"/>
  <c r="L226" i="1"/>
  <c r="L606" i="1"/>
  <c r="L836" i="1"/>
  <c r="L607" i="1"/>
  <c r="L608" i="1"/>
  <c r="L609" i="1"/>
  <c r="L837" i="1"/>
  <c r="L418" i="1"/>
  <c r="L419" i="1"/>
  <c r="L227" i="1"/>
  <c r="L610" i="1"/>
  <c r="L838" i="1"/>
  <c r="L69" i="1"/>
  <c r="L839" i="1"/>
  <c r="L70" i="1"/>
  <c r="L840" i="1"/>
  <c r="L420" i="1"/>
  <c r="L841" i="1"/>
  <c r="L228" i="1"/>
  <c r="L842" i="1"/>
  <c r="L611" i="1"/>
  <c r="L612" i="1"/>
  <c r="L613" i="1"/>
  <c r="L614" i="1"/>
  <c r="L421" i="1"/>
  <c r="L229" i="1"/>
  <c r="L71" i="1"/>
  <c r="L615" i="1"/>
  <c r="L843" i="1"/>
  <c r="L230" i="1"/>
  <c r="L844" i="1"/>
  <c r="L845" i="1"/>
  <c r="L616" i="1"/>
  <c r="L846" i="1"/>
  <c r="L617" i="1"/>
  <c r="L847" i="1"/>
  <c r="L618" i="1"/>
  <c r="L619" i="1"/>
  <c r="L422" i="1"/>
  <c r="L848" i="1"/>
  <c r="L849" i="1"/>
  <c r="L231" i="1"/>
  <c r="L232" i="1"/>
  <c r="L423" i="1"/>
  <c r="L72" i="1"/>
  <c r="L850" i="1"/>
  <c r="L73" i="1"/>
  <c r="L851" i="1"/>
  <c r="L852" i="1"/>
  <c r="L424" i="1"/>
  <c r="L74" i="1"/>
  <c r="L75" i="1"/>
  <c r="L233" i="1"/>
  <c r="L425" i="1"/>
  <c r="L426" i="1"/>
  <c r="L853" i="1"/>
  <c r="L427" i="1"/>
  <c r="L854" i="1"/>
  <c r="L855" i="1"/>
  <c r="L856" i="1"/>
  <c r="L620" i="1"/>
  <c r="L428" i="1"/>
  <c r="L234" i="1"/>
  <c r="L235" i="1"/>
  <c r="L76" i="1"/>
  <c r="L77" i="1"/>
  <c r="L78" i="1"/>
  <c r="L429" i="1"/>
  <c r="L79" i="1"/>
  <c r="L621" i="1"/>
  <c r="L236" i="1"/>
  <c r="L237" i="1"/>
  <c r="L857" i="1"/>
  <c r="L858" i="1"/>
  <c r="L859" i="1"/>
  <c r="L80" i="1"/>
  <c r="L860" i="1"/>
  <c r="L81" i="1"/>
  <c r="L622" i="1"/>
  <c r="L238" i="1"/>
  <c r="L82" i="1"/>
  <c r="L430" i="1"/>
  <c r="L861" i="1"/>
  <c r="L862" i="1"/>
  <c r="L863" i="1"/>
  <c r="L623" i="1"/>
  <c r="L431" i="1"/>
  <c r="L432" i="1"/>
  <c r="L239" i="1"/>
  <c r="L624" i="1"/>
  <c r="L83" i="1"/>
  <c r="L864" i="1"/>
  <c r="L240" i="1"/>
  <c r="L625" i="1"/>
  <c r="L433" i="1"/>
  <c r="L626" i="1"/>
  <c r="L241" i="1"/>
  <c r="L627" i="1"/>
  <c r="L628" i="1"/>
  <c r="L434" i="1"/>
  <c r="L242" i="1"/>
  <c r="L865" i="1"/>
  <c r="L866" i="1"/>
  <c r="L867" i="1"/>
  <c r="L868" i="1"/>
  <c r="L243" i="1"/>
  <c r="L244" i="1"/>
  <c r="L869" i="1"/>
  <c r="L435" i="1"/>
  <c r="L870" i="1"/>
  <c r="L436" i="1"/>
  <c r="L84" i="1"/>
  <c r="L871" i="1"/>
  <c r="L872" i="1"/>
  <c r="L873" i="1"/>
  <c r="L629" i="1"/>
  <c r="L874" i="1"/>
  <c r="L245" i="1"/>
  <c r="L630" i="1"/>
  <c r="L437" i="1"/>
  <c r="L875" i="1"/>
  <c r="L246" i="1"/>
  <c r="L876" i="1"/>
  <c r="L877" i="1"/>
  <c r="L878" i="1"/>
  <c r="L247" i="1"/>
  <c r="L438" i="1"/>
  <c r="L248" i="1"/>
  <c r="L249" i="1"/>
  <c r="L85" i="1"/>
  <c r="L631" i="1"/>
  <c r="L250" i="1"/>
  <c r="L879" i="1"/>
  <c r="L251" i="1"/>
  <c r="L880" i="1"/>
  <c r="L632" i="1"/>
  <c r="L439" i="1"/>
  <c r="L881" i="1"/>
  <c r="L252" i="1"/>
  <c r="L882" i="1"/>
  <c r="L633" i="1"/>
  <c r="L86" i="1"/>
  <c r="L440" i="1"/>
  <c r="L634" i="1"/>
  <c r="L635" i="1"/>
  <c r="L883" i="1"/>
  <c r="L87" i="1"/>
  <c r="L441" i="1"/>
  <c r="L884" i="1"/>
  <c r="L442" i="1"/>
  <c r="L636" i="1"/>
  <c r="L443" i="1"/>
  <c r="L253" i="1"/>
  <c r="L444" i="1"/>
  <c r="L445" i="1"/>
  <c r="L885" i="1"/>
  <c r="L637" i="1"/>
  <c r="L446" i="1"/>
  <c r="L88" i="1"/>
  <c r="L638" i="1"/>
  <c r="L254" i="1"/>
  <c r="L886" i="1"/>
  <c r="L887" i="1"/>
  <c r="L888" i="1"/>
  <c r="L89" i="1"/>
  <c r="L447" i="1"/>
  <c r="L255" i="1"/>
  <c r="L448" i="1"/>
  <c r="L889" i="1"/>
  <c r="L639" i="1"/>
  <c r="L890" i="1"/>
  <c r="L640" i="1"/>
  <c r="L256" i="1"/>
  <c r="L641" i="1"/>
  <c r="L891" i="1"/>
  <c r="L642" i="1"/>
  <c r="L257" i="1"/>
  <c r="L449" i="1"/>
  <c r="L90" i="1"/>
  <c r="L91" i="1"/>
  <c r="L450" i="1"/>
  <c r="L92" i="1"/>
  <c r="L643" i="1"/>
  <c r="L451" i="1"/>
  <c r="L892" i="1"/>
  <c r="L893" i="1"/>
  <c r="L452" i="1"/>
  <c r="L644" i="1"/>
  <c r="L453" i="1"/>
  <c r="L454" i="1"/>
  <c r="L894" i="1"/>
  <c r="L93" i="1"/>
  <c r="L895" i="1"/>
  <c r="L94" i="1"/>
  <c r="L896" i="1"/>
  <c r="L455" i="1"/>
  <c r="L645" i="1"/>
  <c r="L646" i="1"/>
  <c r="L456" i="1"/>
  <c r="L457" i="1"/>
  <c r="L95" i="1"/>
  <c r="L897" i="1"/>
  <c r="L258" i="1"/>
  <c r="L458" i="1"/>
  <c r="L898" i="1"/>
  <c r="L259" i="1"/>
  <c r="L260" i="1"/>
  <c r="L459" i="1"/>
  <c r="L261" i="1"/>
  <c r="L96" i="1"/>
  <c r="L899" i="1"/>
  <c r="L262" i="1"/>
  <c r="L900" i="1"/>
  <c r="L263" i="1"/>
  <c r="L264" i="1"/>
  <c r="L265" i="1"/>
  <c r="L647" i="1"/>
  <c r="L901" i="1"/>
  <c r="L460" i="1"/>
  <c r="L97" i="1"/>
  <c r="L98" i="1"/>
  <c r="L902" i="1"/>
  <c r="L461" i="1"/>
  <c r="L266" i="1"/>
  <c r="L99" i="1"/>
  <c r="L903" i="1"/>
  <c r="L648" i="1"/>
  <c r="L904" i="1"/>
  <c r="L649" i="1"/>
  <c r="L650" i="1"/>
  <c r="L905" i="1"/>
  <c r="L462" i="1"/>
  <c r="L100" i="1"/>
  <c r="L906" i="1"/>
  <c r="L907" i="1"/>
  <c r="L651" i="1"/>
  <c r="L652" i="1"/>
  <c r="L463" i="1"/>
  <c r="L908" i="1"/>
  <c r="L653" i="1"/>
  <c r="L464" i="1"/>
  <c r="L101" i="1"/>
  <c r="L102" i="1"/>
  <c r="L909" i="1"/>
  <c r="L267" i="1"/>
  <c r="L465" i="1"/>
  <c r="L910" i="1"/>
  <c r="L268" i="1"/>
  <c r="L654" i="1"/>
  <c r="L103" i="1"/>
  <c r="L104" i="1"/>
  <c r="L911" i="1"/>
  <c r="L105" i="1"/>
  <c r="L912" i="1"/>
  <c r="L269" i="1"/>
  <c r="L913" i="1"/>
  <c r="L270" i="1"/>
  <c r="L106" i="1"/>
  <c r="L466" i="1"/>
  <c r="L914" i="1"/>
  <c r="L467" i="1"/>
  <c r="L655" i="1"/>
  <c r="L656" i="1"/>
  <c r="L915" i="1"/>
  <c r="L271" i="1"/>
  <c r="L468" i="1"/>
  <c r="L107" i="1"/>
  <c r="L916" i="1"/>
  <c r="L917" i="1"/>
  <c r="L469" i="1"/>
  <c r="L657" i="1"/>
  <c r="L470" i="1"/>
  <c r="L108" i="1"/>
  <c r="L918" i="1"/>
  <c r="L658" i="1"/>
  <c r="L659" i="1"/>
  <c r="L109" i="1"/>
  <c r="L919" i="1"/>
  <c r="L471" i="1"/>
  <c r="L920" i="1"/>
  <c r="L660" i="1"/>
  <c r="L472" i="1"/>
  <c r="L921" i="1"/>
  <c r="L661" i="1"/>
  <c r="L272" i="1"/>
  <c r="L273" i="1"/>
  <c r="L922" i="1"/>
  <c r="L473" i="1"/>
  <c r="L110" i="1"/>
  <c r="L923" i="1"/>
  <c r="L924" i="1"/>
  <c r="L925" i="1"/>
  <c r="L474" i="1"/>
  <c r="L111" i="1"/>
  <c r="L926" i="1"/>
  <c r="L475" i="1"/>
  <c r="L927" i="1"/>
  <c r="L274" i="1"/>
  <c r="L112" i="1"/>
  <c r="L928" i="1"/>
  <c r="L929" i="1"/>
  <c r="L275" i="1"/>
  <c r="L113" i="1"/>
  <c r="L114" i="1"/>
  <c r="L662" i="1"/>
  <c r="L930" i="1"/>
  <c r="L663" i="1"/>
  <c r="L476" i="1"/>
  <c r="L115" i="1"/>
  <c r="L664" i="1"/>
  <c r="L665" i="1"/>
  <c r="L931" i="1"/>
  <c r="L116" i="1"/>
  <c r="L477" i="1"/>
  <c r="L478" i="1"/>
  <c r="L117" i="1"/>
  <c r="L932" i="1"/>
  <c r="L479" i="1"/>
  <c r="L666" i="1"/>
  <c r="L667" i="1"/>
  <c r="L480" i="1"/>
  <c r="L481" i="1"/>
  <c r="L118" i="1"/>
  <c r="L668" i="1"/>
  <c r="L933" i="1"/>
  <c r="L669" i="1"/>
  <c r="L276" i="1"/>
  <c r="L119" i="1"/>
  <c r="L934" i="1"/>
  <c r="L935" i="1"/>
  <c r="L936" i="1"/>
  <c r="L670" i="1"/>
  <c r="L937" i="1"/>
  <c r="L277" i="1"/>
  <c r="L278" i="1"/>
  <c r="L938" i="1"/>
  <c r="L279" i="1"/>
  <c r="L482" i="1"/>
  <c r="L483" i="1"/>
  <c r="L939" i="1"/>
  <c r="L940" i="1"/>
  <c r="L484" i="1"/>
  <c r="L485" i="1"/>
  <c r="L671" i="1"/>
  <c r="L672" i="1"/>
  <c r="L941" i="1"/>
  <c r="L280" i="1"/>
  <c r="L673" i="1"/>
  <c r="L674" i="1"/>
  <c r="L281" i="1"/>
  <c r="L120" i="1"/>
  <c r="L942" i="1"/>
  <c r="L943" i="1"/>
  <c r="L675" i="1"/>
  <c r="L676" i="1"/>
  <c r="L282" i="1"/>
  <c r="L121" i="1"/>
  <c r="L944" i="1"/>
  <c r="L283" i="1"/>
  <c r="L677" i="1"/>
  <c r="L284" i="1"/>
  <c r="L678" i="1"/>
  <c r="L285" i="1"/>
  <c r="L945" i="1"/>
  <c r="L286" i="1"/>
  <c r="L122" i="1"/>
  <c r="L287" i="1"/>
  <c r="L946" i="1"/>
  <c r="L679" i="1"/>
  <c r="L288" i="1"/>
  <c r="L289" i="1"/>
  <c r="L290" i="1"/>
  <c r="L947" i="1"/>
  <c r="L680" i="1"/>
  <c r="L681" i="1"/>
  <c r="L123" i="1"/>
  <c r="L486" i="1"/>
  <c r="L948" i="1"/>
  <c r="L487" i="1"/>
  <c r="L291" i="1"/>
  <c r="L488" i="1"/>
  <c r="L682" i="1"/>
  <c r="L683" i="1"/>
  <c r="L292" i="1"/>
  <c r="L949" i="1"/>
  <c r="L489" i="1"/>
  <c r="L950" i="1"/>
  <c r="L684" i="1"/>
  <c r="L124" i="1"/>
  <c r="L951" i="1"/>
  <c r="L293" i="1"/>
  <c r="L294" i="1"/>
  <c r="L685" i="1"/>
  <c r="L952" i="1"/>
  <c r="L125" i="1"/>
  <c r="L686" i="1"/>
  <c r="L953" i="1"/>
  <c r="L687" i="1"/>
  <c r="L490" i="1"/>
  <c r="L688" i="1"/>
  <c r="L491" i="1"/>
  <c r="L954" i="1"/>
  <c r="L295" i="1"/>
  <c r="L492" i="1"/>
  <c r="L955" i="1"/>
  <c r="L493" i="1"/>
  <c r="L689" i="1"/>
  <c r="L126" i="1"/>
  <c r="L127" i="1"/>
  <c r="L494" i="1"/>
  <c r="L956" i="1"/>
  <c r="L495" i="1"/>
  <c r="L957" i="1"/>
  <c r="L958" i="1"/>
  <c r="L690" i="1"/>
  <c r="L959" i="1"/>
  <c r="L496" i="1"/>
  <c r="L296" i="1"/>
  <c r="L960" i="1"/>
  <c r="L497" i="1"/>
  <c r="L297" i="1"/>
  <c r="L691" i="1"/>
  <c r="L961" i="1"/>
  <c r="L692" i="1"/>
  <c r="L962" i="1"/>
  <c r="L498" i="1"/>
  <c r="L963" i="1"/>
  <c r="L693" i="1"/>
  <c r="L694" i="1"/>
  <c r="L964" i="1"/>
  <c r="L965" i="1"/>
  <c r="L966" i="1"/>
  <c r="L967" i="1"/>
  <c r="L499" i="1"/>
  <c r="L298" i="1"/>
  <c r="L968" i="1"/>
  <c r="L128" i="1"/>
  <c r="L500" i="1"/>
  <c r="L501" i="1"/>
  <c r="L129" i="1"/>
  <c r="L502" i="1"/>
  <c r="L130" i="1"/>
  <c r="L695" i="1"/>
  <c r="L969" i="1"/>
  <c r="L503" i="1"/>
  <c r="L131" i="1"/>
  <c r="L504" i="1"/>
  <c r="L696" i="1"/>
  <c r="L299" i="1"/>
  <c r="L505" i="1"/>
  <c r="L970" i="1"/>
  <c r="L132" i="1"/>
  <c r="L971" i="1"/>
  <c r="L697" i="1"/>
  <c r="L300" i="1"/>
  <c r="L972" i="1"/>
  <c r="L506" i="1"/>
  <c r="L973" i="1"/>
  <c r="L133" i="1"/>
  <c r="L507" i="1"/>
  <c r="L698" i="1"/>
  <c r="L508" i="1"/>
  <c r="L699" i="1"/>
  <c r="L974" i="1"/>
  <c r="L975" i="1"/>
  <c r="L134" i="1"/>
  <c r="L301" i="1"/>
  <c r="L135" i="1"/>
  <c r="L302" i="1"/>
  <c r="L303" i="1"/>
  <c r="L700" i="1"/>
  <c r="L136" i="1"/>
  <c r="L701" i="1"/>
  <c r="L509" i="1"/>
  <c r="L976" i="1"/>
  <c r="L977" i="1"/>
  <c r="L978" i="1"/>
  <c r="L510" i="1"/>
  <c r="L137" i="1"/>
  <c r="L979" i="1"/>
  <c r="L980" i="1"/>
  <c r="L304" i="1"/>
  <c r="L981" i="1"/>
  <c r="L982" i="1"/>
  <c r="L305" i="1"/>
  <c r="L983" i="1"/>
  <c r="L306" i="1"/>
  <c r="L702" i="1"/>
  <c r="L307" i="1"/>
  <c r="L308" i="1"/>
  <c r="L984" i="1"/>
  <c r="L309" i="1"/>
  <c r="L703" i="1"/>
  <c r="L310" i="1"/>
  <c r="L985" i="1"/>
  <c r="L986" i="1"/>
  <c r="L311" i="1"/>
  <c r="L511" i="1"/>
  <c r="L512" i="1"/>
  <c r="L987" i="1"/>
  <c r="L138" i="1"/>
  <c r="L312" i="1"/>
  <c r="L988" i="1"/>
  <c r="L989" i="1"/>
  <c r="L313" i="1"/>
  <c r="L990" i="1"/>
  <c r="L314" i="1"/>
  <c r="L513" i="1"/>
  <c r="L704" i="1"/>
  <c r="L991" i="1"/>
  <c r="L992" i="1"/>
  <c r="L993" i="1"/>
  <c r="L315" i="1"/>
  <c r="L514" i="1"/>
  <c r="L994" i="1"/>
  <c r="L139" i="1"/>
  <c r="L140" i="1"/>
  <c r="L995" i="1"/>
  <c r="L996" i="1"/>
  <c r="L515" i="1"/>
  <c r="L141" i="1"/>
  <c r="L516" i="1"/>
  <c r="L705" i="1"/>
  <c r="L997" i="1"/>
  <c r="L316" i="1"/>
  <c r="L517" i="1"/>
  <c r="L317" i="1"/>
  <c r="L998" i="1"/>
  <c r="L518" i="1"/>
  <c r="L706" i="1"/>
  <c r="L519" i="1"/>
  <c r="L318" i="1"/>
  <c r="L999" i="1"/>
  <c r="L142" i="1"/>
  <c r="L1000" i="1"/>
  <c r="L143" i="1"/>
  <c r="L319" i="1"/>
  <c r="L144" i="1"/>
  <c r="L145" i="1"/>
  <c r="L1001" i="1"/>
  <c r="L320" i="1"/>
  <c r="L707" i="1"/>
  <c r="L321" i="1"/>
  <c r="L708" i="1"/>
  <c r="K709" i="1"/>
  <c r="K710" i="1"/>
  <c r="K322" i="1"/>
  <c r="K711" i="1"/>
  <c r="K2" i="1"/>
  <c r="K3" i="1"/>
  <c r="K4" i="1"/>
  <c r="K712" i="1"/>
  <c r="K713" i="1"/>
  <c r="K520" i="1"/>
  <c r="K323" i="1"/>
  <c r="K5" i="1"/>
  <c r="K146" i="1"/>
  <c r="K521" i="1"/>
  <c r="K522" i="1"/>
  <c r="K147" i="1"/>
  <c r="K714" i="1"/>
  <c r="K523" i="1"/>
  <c r="K524" i="1"/>
  <c r="K715" i="1"/>
  <c r="K324" i="1"/>
  <c r="K716" i="1"/>
  <c r="K717" i="1"/>
  <c r="K148" i="1"/>
  <c r="K718" i="1"/>
  <c r="K719" i="1"/>
  <c r="K720" i="1"/>
  <c r="K525" i="1"/>
  <c r="K325" i="1"/>
  <c r="K326" i="1"/>
  <c r="K526" i="1"/>
  <c r="K527" i="1"/>
  <c r="K528" i="1"/>
  <c r="K721" i="1"/>
  <c r="K149" i="1"/>
  <c r="K327" i="1"/>
  <c r="K6" i="1"/>
  <c r="K328" i="1"/>
  <c r="K529" i="1"/>
  <c r="K329" i="1"/>
  <c r="K7" i="1"/>
  <c r="K8" i="1"/>
  <c r="K530" i="1"/>
  <c r="K722" i="1"/>
  <c r="K723" i="1"/>
  <c r="K330" i="1"/>
  <c r="K150" i="1"/>
  <c r="K724" i="1"/>
  <c r="K151" i="1"/>
  <c r="K331" i="1"/>
  <c r="K725" i="1"/>
  <c r="K332" i="1"/>
  <c r="K152" i="1"/>
  <c r="K153" i="1"/>
  <c r="K726" i="1"/>
  <c r="K333" i="1"/>
  <c r="K727" i="1"/>
  <c r="K154" i="1"/>
  <c r="K155" i="1"/>
  <c r="K728" i="1"/>
  <c r="K156" i="1"/>
  <c r="K9" i="1"/>
  <c r="K729" i="1"/>
  <c r="K531" i="1"/>
  <c r="K157" i="1"/>
  <c r="K10" i="1"/>
  <c r="K730" i="1"/>
  <c r="K731" i="1"/>
  <c r="K334" i="1"/>
  <c r="K158" i="1"/>
  <c r="K159" i="1"/>
  <c r="K335" i="1"/>
  <c r="K160" i="1"/>
  <c r="K532" i="1"/>
  <c r="K336" i="1"/>
  <c r="K732" i="1"/>
  <c r="K337" i="1"/>
  <c r="K161" i="1"/>
  <c r="K733" i="1"/>
  <c r="K11" i="1"/>
  <c r="K338" i="1"/>
  <c r="K339" i="1"/>
  <c r="K340" i="1"/>
  <c r="K341" i="1"/>
  <c r="K734" i="1"/>
  <c r="K342" i="1"/>
  <c r="K735" i="1"/>
  <c r="K343" i="1"/>
  <c r="K533" i="1"/>
  <c r="K736" i="1"/>
  <c r="K162" i="1"/>
  <c r="K534" i="1"/>
  <c r="K12" i="1"/>
  <c r="K13" i="1"/>
  <c r="K163" i="1"/>
  <c r="K535" i="1"/>
  <c r="K14" i="1"/>
  <c r="K15" i="1"/>
  <c r="K737" i="1"/>
  <c r="K16" i="1"/>
  <c r="K536" i="1"/>
  <c r="K738" i="1"/>
  <c r="K164" i="1"/>
  <c r="K739" i="1"/>
  <c r="K165" i="1"/>
  <c r="K344" i="1"/>
  <c r="K17" i="1"/>
  <c r="K740" i="1"/>
  <c r="K741" i="1"/>
  <c r="K742" i="1"/>
  <c r="K743" i="1"/>
  <c r="K166" i="1"/>
  <c r="K345" i="1"/>
  <c r="K744" i="1"/>
  <c r="K18" i="1"/>
  <c r="K745" i="1"/>
  <c r="K19" i="1"/>
  <c r="K20" i="1"/>
  <c r="K167" i="1"/>
  <c r="K537" i="1"/>
  <c r="K538" i="1"/>
  <c r="K746" i="1"/>
  <c r="K747" i="1"/>
  <c r="K748" i="1"/>
  <c r="K749" i="1"/>
  <c r="K346" i="1"/>
  <c r="K21" i="1"/>
  <c r="K168" i="1"/>
  <c r="K539" i="1"/>
  <c r="K750" i="1"/>
  <c r="K169" i="1"/>
  <c r="K751" i="1"/>
  <c r="K752" i="1"/>
  <c r="K347" i="1"/>
  <c r="K348" i="1"/>
  <c r="K753" i="1"/>
  <c r="K540" i="1"/>
  <c r="K541" i="1"/>
  <c r="K754" i="1"/>
  <c r="K170" i="1"/>
  <c r="K542" i="1"/>
  <c r="K543" i="1"/>
  <c r="K755" i="1"/>
  <c r="K171" i="1"/>
  <c r="K349" i="1"/>
  <c r="K172" i="1"/>
  <c r="K22" i="1"/>
  <c r="K350" i="1"/>
  <c r="K756" i="1"/>
  <c r="K23" i="1"/>
  <c r="K351" i="1"/>
  <c r="K544" i="1"/>
  <c r="K352" i="1"/>
  <c r="K757" i="1"/>
  <c r="K173" i="1"/>
  <c r="K174" i="1"/>
  <c r="K353" i="1"/>
  <c r="K545" i="1"/>
  <c r="K546" i="1"/>
  <c r="K24" i="1"/>
  <c r="K758" i="1"/>
  <c r="K759" i="1"/>
  <c r="K547" i="1"/>
  <c r="K760" i="1"/>
  <c r="K548" i="1"/>
  <c r="K25" i="1"/>
  <c r="K175" i="1"/>
  <c r="K761" i="1"/>
  <c r="K26" i="1"/>
  <c r="K354" i="1"/>
  <c r="K549" i="1"/>
  <c r="K176" i="1"/>
  <c r="K355" i="1"/>
  <c r="K550" i="1"/>
  <c r="K762" i="1"/>
  <c r="K763" i="1"/>
  <c r="K356" i="1"/>
  <c r="K764" i="1"/>
  <c r="K27" i="1"/>
  <c r="K551" i="1"/>
  <c r="K552" i="1"/>
  <c r="K357" i="1"/>
  <c r="K177" i="1"/>
  <c r="K358" i="1"/>
  <c r="K178" i="1"/>
  <c r="K179" i="1"/>
  <c r="K359" i="1"/>
  <c r="K28" i="1"/>
  <c r="K29" i="1"/>
  <c r="K765" i="1"/>
  <c r="K766" i="1"/>
  <c r="K767" i="1"/>
  <c r="K360" i="1"/>
  <c r="K768" i="1"/>
  <c r="K769" i="1"/>
  <c r="K770" i="1"/>
  <c r="K30" i="1"/>
  <c r="K31" i="1"/>
  <c r="K180" i="1"/>
  <c r="K553" i="1"/>
  <c r="K771" i="1"/>
  <c r="K772" i="1"/>
  <c r="K773" i="1"/>
  <c r="K361" i="1"/>
  <c r="K774" i="1"/>
  <c r="K775" i="1"/>
  <c r="K32" i="1"/>
  <c r="K554" i="1"/>
  <c r="K181" i="1"/>
  <c r="K555" i="1"/>
  <c r="K182" i="1"/>
  <c r="K776" i="1"/>
  <c r="K33" i="1"/>
  <c r="K777" i="1"/>
  <c r="K778" i="1"/>
  <c r="K362" i="1"/>
  <c r="K779" i="1"/>
  <c r="K556" i="1"/>
  <c r="K183" i="1"/>
  <c r="K363" i="1"/>
  <c r="K780" i="1"/>
  <c r="K781" i="1"/>
  <c r="K184" i="1"/>
  <c r="K782" i="1"/>
  <c r="K185" i="1"/>
  <c r="K783" i="1"/>
  <c r="K364" i="1"/>
  <c r="K784" i="1"/>
  <c r="K365" i="1"/>
  <c r="K186" i="1"/>
  <c r="K366" i="1"/>
  <c r="K785" i="1"/>
  <c r="K367" i="1"/>
  <c r="K34" i="1"/>
  <c r="K368" i="1"/>
  <c r="K786" i="1"/>
  <c r="K557" i="1"/>
  <c r="K369" i="1"/>
  <c r="K187" i="1"/>
  <c r="K370" i="1"/>
  <c r="K371" i="1"/>
  <c r="K35" i="1"/>
  <c r="K372" i="1"/>
  <c r="K787" i="1"/>
  <c r="K558" i="1"/>
  <c r="K559" i="1"/>
  <c r="K188" i="1"/>
  <c r="K36" i="1"/>
  <c r="K560" i="1"/>
  <c r="K373" i="1"/>
  <c r="K561" i="1"/>
  <c r="K562" i="1"/>
  <c r="K788" i="1"/>
  <c r="K37" i="1"/>
  <c r="K38" i="1"/>
  <c r="K374" i="1"/>
  <c r="K789" i="1"/>
  <c r="K790" i="1"/>
  <c r="K375" i="1"/>
  <c r="K189" i="1"/>
  <c r="K791" i="1"/>
  <c r="K39" i="1"/>
  <c r="K376" i="1"/>
  <c r="K792" i="1"/>
  <c r="K793" i="1"/>
  <c r="K377" i="1"/>
  <c r="K563" i="1"/>
  <c r="K40" i="1"/>
  <c r="K41" i="1"/>
  <c r="K794" i="1"/>
  <c r="K190" i="1"/>
  <c r="K378" i="1"/>
  <c r="K795" i="1"/>
  <c r="K564" i="1"/>
  <c r="K565" i="1"/>
  <c r="K191" i="1"/>
  <c r="K796" i="1"/>
  <c r="K379" i="1"/>
  <c r="K566" i="1"/>
  <c r="K380" i="1"/>
  <c r="K381" i="1"/>
  <c r="K567" i="1"/>
  <c r="K568" i="1"/>
  <c r="K42" i="1"/>
  <c r="K382" i="1"/>
  <c r="K192" i="1"/>
  <c r="K383" i="1"/>
  <c r="K384" i="1"/>
  <c r="K385" i="1"/>
  <c r="K797" i="1"/>
  <c r="K193" i="1"/>
  <c r="K43" i="1"/>
  <c r="K386" i="1"/>
  <c r="K44" i="1"/>
  <c r="K194" i="1"/>
  <c r="K45" i="1"/>
  <c r="K387" i="1"/>
  <c r="K46" i="1"/>
  <c r="K195" i="1"/>
  <c r="K569" i="1"/>
  <c r="K196" i="1"/>
  <c r="K388" i="1"/>
  <c r="K798" i="1"/>
  <c r="K389" i="1"/>
  <c r="K390" i="1"/>
  <c r="K570" i="1"/>
  <c r="K799" i="1"/>
  <c r="K571" i="1"/>
  <c r="K391" i="1"/>
  <c r="K197" i="1"/>
  <c r="K800" i="1"/>
  <c r="K572" i="1"/>
  <c r="K198" i="1"/>
  <c r="K47" i="1"/>
  <c r="K199" i="1"/>
  <c r="K801" i="1"/>
  <c r="K392" i="1"/>
  <c r="K200" i="1"/>
  <c r="K48" i="1"/>
  <c r="K802" i="1"/>
  <c r="K803" i="1"/>
  <c r="K393" i="1"/>
  <c r="K201" i="1"/>
  <c r="K202" i="1"/>
  <c r="K573" i="1"/>
  <c r="K49" i="1"/>
  <c r="K203" i="1"/>
  <c r="K394" i="1"/>
  <c r="K204" i="1"/>
  <c r="K50" i="1"/>
  <c r="K804" i="1"/>
  <c r="K805" i="1"/>
  <c r="K395" i="1"/>
  <c r="K574" i="1"/>
  <c r="K51" i="1"/>
  <c r="K806" i="1"/>
  <c r="K205" i="1"/>
  <c r="K575" i="1"/>
  <c r="K206" i="1"/>
  <c r="K396" i="1"/>
  <c r="K397" i="1"/>
  <c r="K576" i="1"/>
  <c r="K807" i="1"/>
  <c r="K207" i="1"/>
  <c r="K577" i="1"/>
  <c r="K52" i="1"/>
  <c r="K808" i="1"/>
  <c r="K578" i="1"/>
  <c r="K53" i="1"/>
  <c r="K579" i="1"/>
  <c r="K208" i="1"/>
  <c r="K209" i="1"/>
  <c r="K210" i="1"/>
  <c r="K809" i="1"/>
  <c r="K810" i="1"/>
  <c r="K811" i="1"/>
  <c r="K211" i="1"/>
  <c r="K398" i="1"/>
  <c r="K812" i="1"/>
  <c r="K212" i="1"/>
  <c r="K213" i="1"/>
  <c r="K399" i="1"/>
  <c r="K813" i="1"/>
  <c r="K814" i="1"/>
  <c r="K815" i="1"/>
  <c r="K816" i="1"/>
  <c r="K817" i="1"/>
  <c r="K580" i="1"/>
  <c r="K400" i="1"/>
  <c r="K54" i="1"/>
  <c r="K401" i="1"/>
  <c r="K581" i="1"/>
  <c r="K818" i="1"/>
  <c r="K55" i="1"/>
  <c r="K819" i="1"/>
  <c r="K214" i="1"/>
  <c r="K402" i="1"/>
  <c r="K56" i="1"/>
  <c r="K820" i="1"/>
  <c r="K582" i="1"/>
  <c r="K821" i="1"/>
  <c r="K583" i="1"/>
  <c r="K403" i="1"/>
  <c r="K584" i="1"/>
  <c r="K585" i="1"/>
  <c r="K586" i="1"/>
  <c r="K404" i="1"/>
  <c r="K215" i="1"/>
  <c r="K405" i="1"/>
  <c r="K406" i="1"/>
  <c r="K822" i="1"/>
  <c r="K407" i="1"/>
  <c r="K57" i="1"/>
  <c r="K587" i="1"/>
  <c r="K823" i="1"/>
  <c r="K58" i="1"/>
  <c r="K408" i="1"/>
  <c r="K216" i="1"/>
  <c r="K59" i="1"/>
  <c r="K217" i="1"/>
  <c r="K588" i="1"/>
  <c r="K589" i="1"/>
  <c r="K590" i="1"/>
  <c r="K591" i="1"/>
  <c r="K824" i="1"/>
  <c r="K825" i="1"/>
  <c r="K592" i="1"/>
  <c r="K218" i="1"/>
  <c r="K60" i="1"/>
  <c r="K826" i="1"/>
  <c r="K409" i="1"/>
  <c r="K410" i="1"/>
  <c r="K411" i="1"/>
  <c r="K412" i="1"/>
  <c r="K61" i="1"/>
  <c r="K593" i="1"/>
  <c r="K827" i="1"/>
  <c r="K828" i="1"/>
  <c r="K62" i="1"/>
  <c r="K594" i="1"/>
  <c r="K829" i="1"/>
  <c r="K219" i="1"/>
  <c r="K413" i="1"/>
  <c r="K830" i="1"/>
  <c r="K63" i="1"/>
  <c r="K220" i="1"/>
  <c r="K221" i="1"/>
  <c r="K64" i="1"/>
  <c r="K831" i="1"/>
  <c r="K65" i="1"/>
  <c r="K595" i="1"/>
  <c r="K596" i="1"/>
  <c r="K597" i="1"/>
  <c r="K832" i="1"/>
  <c r="K66" i="1"/>
  <c r="K598" i="1"/>
  <c r="K414" i="1"/>
  <c r="K222" i="1"/>
  <c r="K223" i="1"/>
  <c r="K224" i="1"/>
  <c r="K599" i="1"/>
  <c r="K67" i="1"/>
  <c r="K225" i="1"/>
  <c r="K600" i="1"/>
  <c r="K833" i="1"/>
  <c r="K601" i="1"/>
  <c r="K834" i="1"/>
  <c r="K415" i="1"/>
  <c r="K416" i="1"/>
  <c r="K602" i="1"/>
  <c r="K68" i="1"/>
  <c r="K417" i="1"/>
  <c r="K603" i="1"/>
  <c r="K604" i="1"/>
  <c r="K605" i="1"/>
  <c r="K835" i="1"/>
  <c r="K226" i="1"/>
  <c r="K606" i="1"/>
  <c r="K836" i="1"/>
  <c r="K607" i="1"/>
  <c r="K608" i="1"/>
  <c r="K609" i="1"/>
  <c r="K837" i="1"/>
  <c r="K418" i="1"/>
  <c r="K419" i="1"/>
  <c r="K227" i="1"/>
  <c r="K610" i="1"/>
  <c r="K838" i="1"/>
  <c r="K69" i="1"/>
  <c r="K839" i="1"/>
  <c r="K70" i="1"/>
  <c r="K840" i="1"/>
  <c r="K420" i="1"/>
  <c r="K841" i="1"/>
  <c r="K228" i="1"/>
  <c r="K842" i="1"/>
  <c r="K611" i="1"/>
  <c r="K612" i="1"/>
  <c r="K613" i="1"/>
  <c r="K614" i="1"/>
  <c r="K421" i="1"/>
  <c r="K229" i="1"/>
  <c r="K71" i="1"/>
  <c r="K615" i="1"/>
  <c r="K843" i="1"/>
  <c r="K230" i="1"/>
  <c r="K844" i="1"/>
  <c r="K845" i="1"/>
  <c r="K616" i="1"/>
  <c r="K846" i="1"/>
  <c r="K617" i="1"/>
  <c r="K847" i="1"/>
  <c r="K618" i="1"/>
  <c r="K619" i="1"/>
  <c r="K422" i="1"/>
  <c r="K848" i="1"/>
  <c r="K849" i="1"/>
  <c r="K231" i="1"/>
  <c r="K232" i="1"/>
  <c r="K423" i="1"/>
  <c r="K72" i="1"/>
  <c r="K850" i="1"/>
  <c r="K73" i="1"/>
  <c r="K851" i="1"/>
  <c r="K852" i="1"/>
  <c r="K424" i="1"/>
  <c r="K74" i="1"/>
  <c r="K75" i="1"/>
  <c r="K233" i="1"/>
  <c r="K425" i="1"/>
  <c r="K426" i="1"/>
  <c r="K853" i="1"/>
  <c r="K427" i="1"/>
  <c r="K854" i="1"/>
  <c r="K855" i="1"/>
  <c r="K856" i="1"/>
  <c r="K620" i="1"/>
  <c r="K428" i="1"/>
  <c r="K234" i="1"/>
  <c r="K235" i="1"/>
  <c r="K76" i="1"/>
  <c r="K77" i="1"/>
  <c r="K78" i="1"/>
  <c r="K429" i="1"/>
  <c r="K79" i="1"/>
  <c r="K621" i="1"/>
  <c r="K236" i="1"/>
  <c r="K237" i="1"/>
  <c r="K857" i="1"/>
  <c r="K858" i="1"/>
  <c r="K859" i="1"/>
  <c r="K80" i="1"/>
  <c r="K860" i="1"/>
  <c r="K81" i="1"/>
  <c r="K622" i="1"/>
  <c r="K238" i="1"/>
  <c r="K82" i="1"/>
  <c r="K430" i="1"/>
  <c r="K861" i="1"/>
  <c r="K862" i="1"/>
  <c r="K863" i="1"/>
  <c r="K623" i="1"/>
  <c r="K431" i="1"/>
  <c r="K432" i="1"/>
  <c r="K239" i="1"/>
  <c r="K624" i="1"/>
  <c r="K83" i="1"/>
  <c r="K864" i="1"/>
  <c r="K240" i="1"/>
  <c r="K625" i="1"/>
  <c r="K433" i="1"/>
  <c r="K626" i="1"/>
  <c r="K241" i="1"/>
  <c r="K627" i="1"/>
  <c r="K628" i="1"/>
  <c r="K434" i="1"/>
  <c r="K242" i="1"/>
  <c r="K865" i="1"/>
  <c r="K866" i="1"/>
  <c r="K867" i="1"/>
  <c r="K868" i="1"/>
  <c r="K243" i="1"/>
  <c r="K244" i="1"/>
  <c r="K869" i="1"/>
  <c r="K435" i="1"/>
  <c r="K870" i="1"/>
  <c r="K436" i="1"/>
  <c r="K84" i="1"/>
  <c r="K871" i="1"/>
  <c r="K872" i="1"/>
  <c r="K873" i="1"/>
  <c r="K629" i="1"/>
  <c r="K874" i="1"/>
  <c r="K245" i="1"/>
  <c r="K630" i="1"/>
  <c r="K437" i="1"/>
  <c r="K875" i="1"/>
  <c r="K246" i="1"/>
  <c r="K876" i="1"/>
  <c r="K877" i="1"/>
  <c r="K878" i="1"/>
  <c r="K247" i="1"/>
  <c r="K438" i="1"/>
  <c r="K248" i="1"/>
  <c r="K249" i="1"/>
  <c r="K85" i="1"/>
  <c r="K631" i="1"/>
  <c r="K250" i="1"/>
  <c r="K879" i="1"/>
  <c r="K251" i="1"/>
  <c r="K880" i="1"/>
  <c r="K632" i="1"/>
  <c r="K439" i="1"/>
  <c r="K881" i="1"/>
  <c r="K252" i="1"/>
  <c r="K882" i="1"/>
  <c r="K633" i="1"/>
  <c r="K86" i="1"/>
  <c r="K440" i="1"/>
  <c r="K634" i="1"/>
  <c r="K635" i="1"/>
  <c r="K883" i="1"/>
  <c r="K87" i="1"/>
  <c r="K441" i="1"/>
  <c r="K884" i="1"/>
  <c r="K442" i="1"/>
  <c r="K636" i="1"/>
  <c r="K443" i="1"/>
  <c r="K253" i="1"/>
  <c r="K444" i="1"/>
  <c r="K445" i="1"/>
  <c r="K885" i="1"/>
  <c r="K637" i="1"/>
  <c r="K446" i="1"/>
  <c r="K88" i="1"/>
  <c r="K638" i="1"/>
  <c r="K254" i="1"/>
  <c r="K886" i="1"/>
  <c r="K887" i="1"/>
  <c r="K888" i="1"/>
  <c r="K89" i="1"/>
  <c r="K447" i="1"/>
  <c r="K255" i="1"/>
  <c r="K448" i="1"/>
  <c r="K889" i="1"/>
  <c r="K639" i="1"/>
  <c r="K890" i="1"/>
  <c r="K640" i="1"/>
  <c r="K256" i="1"/>
  <c r="K641" i="1"/>
  <c r="K891" i="1"/>
  <c r="K642" i="1"/>
  <c r="K257" i="1"/>
  <c r="K449" i="1"/>
  <c r="K90" i="1"/>
  <c r="K91" i="1"/>
  <c r="K450" i="1"/>
  <c r="K92" i="1"/>
  <c r="K643" i="1"/>
  <c r="K451" i="1"/>
  <c r="K892" i="1"/>
  <c r="K893" i="1"/>
  <c r="K452" i="1"/>
  <c r="K644" i="1"/>
  <c r="K453" i="1"/>
  <c r="K454" i="1"/>
  <c r="K894" i="1"/>
  <c r="K93" i="1"/>
  <c r="K895" i="1"/>
  <c r="K94" i="1"/>
  <c r="K896" i="1"/>
  <c r="K455" i="1"/>
  <c r="K645" i="1"/>
  <c r="K646" i="1"/>
  <c r="K456" i="1"/>
  <c r="K457" i="1"/>
  <c r="K95" i="1"/>
  <c r="K897" i="1"/>
  <c r="K258" i="1"/>
  <c r="K458" i="1"/>
  <c r="K898" i="1"/>
  <c r="K259" i="1"/>
  <c r="K260" i="1"/>
  <c r="K459" i="1"/>
  <c r="K261" i="1"/>
  <c r="K96" i="1"/>
  <c r="K899" i="1"/>
  <c r="K262" i="1"/>
  <c r="K900" i="1"/>
  <c r="K263" i="1"/>
  <c r="K264" i="1"/>
  <c r="K265" i="1"/>
  <c r="K647" i="1"/>
  <c r="K901" i="1"/>
  <c r="K460" i="1"/>
  <c r="K97" i="1"/>
  <c r="K98" i="1"/>
  <c r="K902" i="1"/>
  <c r="K461" i="1"/>
  <c r="K266" i="1"/>
  <c r="K99" i="1"/>
  <c r="K903" i="1"/>
  <c r="K648" i="1"/>
  <c r="K904" i="1"/>
  <c r="K649" i="1"/>
  <c r="K650" i="1"/>
  <c r="K905" i="1"/>
  <c r="K462" i="1"/>
  <c r="K100" i="1"/>
  <c r="K906" i="1"/>
  <c r="K907" i="1"/>
  <c r="K651" i="1"/>
  <c r="K652" i="1"/>
  <c r="K463" i="1"/>
  <c r="K908" i="1"/>
  <c r="K653" i="1"/>
  <c r="K464" i="1"/>
  <c r="K101" i="1"/>
  <c r="K102" i="1"/>
  <c r="K909" i="1"/>
  <c r="K267" i="1"/>
  <c r="K465" i="1"/>
  <c r="K910" i="1"/>
  <c r="K268" i="1"/>
  <c r="K654" i="1"/>
  <c r="K103" i="1"/>
  <c r="K104" i="1"/>
  <c r="K911" i="1"/>
  <c r="K105" i="1"/>
  <c r="K912" i="1"/>
  <c r="K269" i="1"/>
  <c r="K913" i="1"/>
  <c r="K270" i="1"/>
  <c r="K106" i="1"/>
  <c r="K466" i="1"/>
  <c r="K914" i="1"/>
  <c r="K467" i="1"/>
  <c r="K655" i="1"/>
  <c r="K656" i="1"/>
  <c r="K915" i="1"/>
  <c r="K271" i="1"/>
  <c r="K468" i="1"/>
  <c r="K107" i="1"/>
  <c r="K916" i="1"/>
  <c r="K917" i="1"/>
  <c r="K469" i="1"/>
  <c r="K657" i="1"/>
  <c r="K470" i="1"/>
  <c r="K108" i="1"/>
  <c r="K918" i="1"/>
  <c r="K658" i="1"/>
  <c r="K659" i="1"/>
  <c r="K109" i="1"/>
  <c r="K919" i="1"/>
  <c r="K471" i="1"/>
  <c r="K920" i="1"/>
  <c r="K660" i="1"/>
  <c r="K472" i="1"/>
  <c r="K921" i="1"/>
  <c r="K661" i="1"/>
  <c r="K272" i="1"/>
  <c r="K273" i="1"/>
  <c r="K922" i="1"/>
  <c r="K473" i="1"/>
  <c r="K110" i="1"/>
  <c r="K923" i="1"/>
  <c r="K924" i="1"/>
  <c r="K925" i="1"/>
  <c r="K474" i="1"/>
  <c r="K111" i="1"/>
  <c r="K926" i="1"/>
  <c r="K475" i="1"/>
  <c r="K927" i="1"/>
  <c r="K274" i="1"/>
  <c r="K112" i="1"/>
  <c r="K928" i="1"/>
  <c r="K929" i="1"/>
  <c r="K275" i="1"/>
  <c r="K113" i="1"/>
  <c r="K114" i="1"/>
  <c r="K662" i="1"/>
  <c r="K930" i="1"/>
  <c r="K663" i="1"/>
  <c r="K476" i="1"/>
  <c r="K115" i="1"/>
  <c r="K664" i="1"/>
  <c r="K665" i="1"/>
  <c r="K931" i="1"/>
  <c r="K116" i="1"/>
  <c r="K477" i="1"/>
  <c r="K478" i="1"/>
  <c r="K117" i="1"/>
  <c r="K932" i="1"/>
  <c r="K479" i="1"/>
  <c r="K666" i="1"/>
  <c r="K667" i="1"/>
  <c r="K480" i="1"/>
  <c r="K481" i="1"/>
  <c r="K118" i="1"/>
  <c r="K668" i="1"/>
  <c r="K933" i="1"/>
  <c r="K669" i="1"/>
  <c r="K276" i="1"/>
  <c r="K119" i="1"/>
  <c r="K934" i="1"/>
  <c r="K935" i="1"/>
  <c r="K936" i="1"/>
  <c r="K670" i="1"/>
  <c r="K937" i="1"/>
  <c r="K277" i="1"/>
  <c r="K278" i="1"/>
  <c r="K938" i="1"/>
  <c r="K279" i="1"/>
  <c r="K482" i="1"/>
  <c r="K483" i="1"/>
  <c r="K939" i="1"/>
  <c r="K940" i="1"/>
  <c r="K484" i="1"/>
  <c r="K485" i="1"/>
  <c r="K671" i="1"/>
  <c r="K672" i="1"/>
  <c r="K941" i="1"/>
  <c r="K280" i="1"/>
  <c r="K673" i="1"/>
  <c r="K674" i="1"/>
  <c r="K281" i="1"/>
  <c r="K120" i="1"/>
  <c r="K942" i="1"/>
  <c r="K943" i="1"/>
  <c r="K675" i="1"/>
  <c r="K676" i="1"/>
  <c r="K282" i="1"/>
  <c r="K121" i="1"/>
  <c r="K944" i="1"/>
  <c r="K283" i="1"/>
  <c r="K677" i="1"/>
  <c r="K284" i="1"/>
  <c r="K678" i="1"/>
  <c r="K285" i="1"/>
  <c r="K945" i="1"/>
  <c r="K286" i="1"/>
  <c r="K122" i="1"/>
  <c r="K287" i="1"/>
  <c r="K946" i="1"/>
  <c r="K679" i="1"/>
  <c r="K288" i="1"/>
  <c r="K289" i="1"/>
  <c r="K290" i="1"/>
  <c r="K947" i="1"/>
  <c r="K680" i="1"/>
  <c r="K681" i="1"/>
  <c r="K123" i="1"/>
  <c r="K486" i="1"/>
  <c r="K948" i="1"/>
  <c r="K487" i="1"/>
  <c r="K291" i="1"/>
  <c r="K488" i="1"/>
  <c r="K682" i="1"/>
  <c r="K683" i="1"/>
  <c r="K292" i="1"/>
  <c r="K949" i="1"/>
  <c r="K489" i="1"/>
  <c r="K950" i="1"/>
  <c r="K684" i="1"/>
  <c r="K124" i="1"/>
  <c r="K951" i="1"/>
  <c r="K293" i="1"/>
  <c r="K294" i="1"/>
  <c r="K685" i="1"/>
  <c r="K952" i="1"/>
  <c r="K125" i="1"/>
  <c r="K686" i="1"/>
  <c r="K953" i="1"/>
  <c r="K687" i="1"/>
  <c r="K490" i="1"/>
  <c r="K688" i="1"/>
  <c r="K491" i="1"/>
  <c r="K954" i="1"/>
  <c r="K295" i="1"/>
  <c r="K492" i="1"/>
  <c r="K955" i="1"/>
  <c r="K493" i="1"/>
  <c r="K689" i="1"/>
  <c r="K126" i="1"/>
  <c r="K127" i="1"/>
  <c r="K494" i="1"/>
  <c r="K956" i="1"/>
  <c r="K495" i="1"/>
  <c r="K957" i="1"/>
  <c r="K958" i="1"/>
  <c r="K690" i="1"/>
  <c r="K959" i="1"/>
  <c r="K496" i="1"/>
  <c r="K296" i="1"/>
  <c r="K960" i="1"/>
  <c r="K497" i="1"/>
  <c r="K297" i="1"/>
  <c r="K691" i="1"/>
  <c r="K961" i="1"/>
  <c r="K692" i="1"/>
  <c r="K962" i="1"/>
  <c r="K498" i="1"/>
  <c r="K963" i="1"/>
  <c r="K693" i="1"/>
  <c r="K694" i="1"/>
  <c r="K964" i="1"/>
  <c r="K965" i="1"/>
  <c r="K966" i="1"/>
  <c r="K967" i="1"/>
  <c r="K499" i="1"/>
  <c r="K298" i="1"/>
  <c r="K968" i="1"/>
  <c r="K128" i="1"/>
  <c r="K500" i="1"/>
  <c r="K501" i="1"/>
  <c r="K129" i="1"/>
  <c r="K502" i="1"/>
  <c r="K130" i="1"/>
  <c r="K695" i="1"/>
  <c r="K969" i="1"/>
  <c r="K503" i="1"/>
  <c r="K131" i="1"/>
  <c r="K504" i="1"/>
  <c r="K696" i="1"/>
  <c r="K299" i="1"/>
  <c r="K505" i="1"/>
  <c r="K970" i="1"/>
  <c r="K132" i="1"/>
  <c r="K971" i="1"/>
  <c r="K697" i="1"/>
  <c r="K300" i="1"/>
  <c r="K972" i="1"/>
  <c r="K506" i="1"/>
  <c r="K973" i="1"/>
  <c r="K133" i="1"/>
  <c r="K507" i="1"/>
  <c r="K698" i="1"/>
  <c r="K508" i="1"/>
  <c r="K699" i="1"/>
  <c r="K974" i="1"/>
  <c r="K975" i="1"/>
  <c r="K134" i="1"/>
  <c r="K301" i="1"/>
  <c r="K135" i="1"/>
  <c r="K302" i="1"/>
  <c r="K303" i="1"/>
  <c r="K700" i="1"/>
  <c r="K136" i="1"/>
  <c r="K701" i="1"/>
  <c r="K509" i="1"/>
  <c r="K976" i="1"/>
  <c r="K977" i="1"/>
  <c r="K978" i="1"/>
  <c r="K510" i="1"/>
  <c r="K137" i="1"/>
  <c r="K979" i="1"/>
  <c r="K980" i="1"/>
  <c r="K304" i="1"/>
  <c r="K981" i="1"/>
  <c r="K982" i="1"/>
  <c r="K305" i="1"/>
  <c r="K983" i="1"/>
  <c r="K306" i="1"/>
  <c r="K702" i="1"/>
  <c r="K307" i="1"/>
  <c r="K308" i="1"/>
  <c r="K984" i="1"/>
  <c r="K309" i="1"/>
  <c r="K703" i="1"/>
  <c r="K310" i="1"/>
  <c r="K985" i="1"/>
  <c r="K986" i="1"/>
  <c r="K311" i="1"/>
  <c r="K511" i="1"/>
  <c r="K512" i="1"/>
  <c r="K987" i="1"/>
  <c r="K138" i="1"/>
  <c r="K312" i="1"/>
  <c r="K988" i="1"/>
  <c r="K989" i="1"/>
  <c r="K313" i="1"/>
  <c r="K990" i="1"/>
  <c r="K314" i="1"/>
  <c r="K513" i="1"/>
  <c r="K704" i="1"/>
  <c r="K991" i="1"/>
  <c r="K992" i="1"/>
  <c r="K993" i="1"/>
  <c r="K315" i="1"/>
  <c r="K514" i="1"/>
  <c r="K994" i="1"/>
  <c r="K139" i="1"/>
  <c r="K140" i="1"/>
  <c r="K995" i="1"/>
  <c r="K996" i="1"/>
  <c r="K515" i="1"/>
  <c r="K141" i="1"/>
  <c r="K516" i="1"/>
  <c r="K705" i="1"/>
  <c r="K997" i="1"/>
  <c r="K316" i="1"/>
  <c r="K517" i="1"/>
  <c r="K317" i="1"/>
  <c r="K998" i="1"/>
  <c r="K518" i="1"/>
  <c r="K706" i="1"/>
  <c r="K519" i="1"/>
  <c r="K318" i="1"/>
  <c r="K999" i="1"/>
  <c r="K142" i="1"/>
  <c r="K1000" i="1"/>
  <c r="K143" i="1"/>
  <c r="K319" i="1"/>
  <c r="K144" i="1"/>
  <c r="K145" i="1"/>
  <c r="K1001" i="1"/>
  <c r="K320" i="1"/>
  <c r="K707" i="1"/>
  <c r="K321" i="1"/>
  <c r="K708" i="1"/>
</calcChain>
</file>

<file path=xl/sharedStrings.xml><?xml version="1.0" encoding="utf-8"?>
<sst xmlns="http://schemas.openxmlformats.org/spreadsheetml/2006/main" count="7090" uniqueCount="2051">
  <si>
    <t>I100008</t>
  </si>
  <si>
    <t>C199951</t>
  </si>
  <si>
    <t>Male</t>
  </si>
  <si>
    <t>Clothing</t>
  </si>
  <si>
    <t>Cash</t>
  </si>
  <si>
    <t>Emaar Square Mall</t>
  </si>
  <si>
    <t>I100014</t>
  </si>
  <si>
    <t>C138893</t>
  </si>
  <si>
    <t>Cosmetics</t>
  </si>
  <si>
    <t>Viaport Outlet</t>
  </si>
  <si>
    <t>I100015</t>
  </si>
  <si>
    <t>C132779</t>
  </si>
  <si>
    <t>Female</t>
  </si>
  <si>
    <t>Debit Card</t>
  </si>
  <si>
    <t>Mall of Istanbul</t>
  </si>
  <si>
    <t>I100024</t>
  </si>
  <si>
    <t>C244411</t>
  </si>
  <si>
    <t>Books</t>
  </si>
  <si>
    <t>Credit Card</t>
  </si>
  <si>
    <t>I100027</t>
  </si>
  <si>
    <t>C150002</t>
  </si>
  <si>
    <t>Technology</t>
  </si>
  <si>
    <t>I100028</t>
  </si>
  <si>
    <t>C325553</t>
  </si>
  <si>
    <t>Metrocity</t>
  </si>
  <si>
    <t>I100031</t>
  </si>
  <si>
    <t>C378408</t>
  </si>
  <si>
    <t>Food &amp; Beverage</t>
  </si>
  <si>
    <t>I100033</t>
  </si>
  <si>
    <t>C278721</t>
  </si>
  <si>
    <t>Zorlu Center</t>
  </si>
  <si>
    <t>I100037</t>
  </si>
  <si>
    <t>C122873</t>
  </si>
  <si>
    <t>Kanyon</t>
  </si>
  <si>
    <t>I100041</t>
  </si>
  <si>
    <t>C326923</t>
  </si>
  <si>
    <t>I100049</t>
  </si>
  <si>
    <t>C297871</t>
  </si>
  <si>
    <t>Shoes</t>
  </si>
  <si>
    <t>I100053</t>
  </si>
  <si>
    <t>C217294</t>
  </si>
  <si>
    <t>I100057</t>
  </si>
  <si>
    <t>C225062</t>
  </si>
  <si>
    <t>Forum Istanbul</t>
  </si>
  <si>
    <t>I100059</t>
  </si>
  <si>
    <t>C292544</t>
  </si>
  <si>
    <t>Souvenir</t>
  </si>
  <si>
    <t>I100068</t>
  </si>
  <si>
    <t>C647308</t>
  </si>
  <si>
    <t>Toys</t>
  </si>
  <si>
    <t>Metropol AVM</t>
  </si>
  <si>
    <t>I100071</t>
  </si>
  <si>
    <t>C522050</t>
  </si>
  <si>
    <t>I100072</t>
  </si>
  <si>
    <t>C143773</t>
  </si>
  <si>
    <t>I100077</t>
  </si>
  <si>
    <t>C356550</t>
  </si>
  <si>
    <t>I100078</t>
  </si>
  <si>
    <t>C272831</t>
  </si>
  <si>
    <t>I100080</t>
  </si>
  <si>
    <t>C696236</t>
  </si>
  <si>
    <t>I100082</t>
  </si>
  <si>
    <t>C357288</t>
  </si>
  <si>
    <t>Cevahir AVM</t>
  </si>
  <si>
    <t>I100084</t>
  </si>
  <si>
    <t>C226369</t>
  </si>
  <si>
    <t>I100089</t>
  </si>
  <si>
    <t>C123196</t>
  </si>
  <si>
    <t>I100090</t>
  </si>
  <si>
    <t>C801451</t>
  </si>
  <si>
    <t>I100094</t>
  </si>
  <si>
    <t>C246470</t>
  </si>
  <si>
    <t>I100095</t>
  </si>
  <si>
    <t>C608046</t>
  </si>
  <si>
    <t>Istinye Park</t>
  </si>
  <si>
    <t>I100097</t>
  </si>
  <si>
    <t>C673123</t>
  </si>
  <si>
    <t>I100098</t>
  </si>
  <si>
    <t>C228071</t>
  </si>
  <si>
    <t>I100105</t>
  </si>
  <si>
    <t>C246820</t>
  </si>
  <si>
    <t>I100106</t>
  </si>
  <si>
    <t>C850385</t>
  </si>
  <si>
    <t>I100108</t>
  </si>
  <si>
    <t>C331773</t>
  </si>
  <si>
    <t>I100111</t>
  </si>
  <si>
    <t>C314731</t>
  </si>
  <si>
    <t>I100113</t>
  </si>
  <si>
    <t>C136435</t>
  </si>
  <si>
    <t>I100116</t>
  </si>
  <si>
    <t>C235320</t>
  </si>
  <si>
    <t>I100126</t>
  </si>
  <si>
    <t>C103405</t>
  </si>
  <si>
    <t>I100127</t>
  </si>
  <si>
    <t>C708853</t>
  </si>
  <si>
    <t>I100128</t>
  </si>
  <si>
    <t>C168282</t>
  </si>
  <si>
    <t>I100137</t>
  </si>
  <si>
    <t>C233463</t>
  </si>
  <si>
    <t>I100138</t>
  </si>
  <si>
    <t>C237364</t>
  </si>
  <si>
    <t>I100142</t>
  </si>
  <si>
    <t>C161659</t>
  </si>
  <si>
    <t>I100145</t>
  </si>
  <si>
    <t>C153189</t>
  </si>
  <si>
    <t>I100146</t>
  </si>
  <si>
    <t>C320745</t>
  </si>
  <si>
    <t>I100148</t>
  </si>
  <si>
    <t>C200488</t>
  </si>
  <si>
    <t>I100149</t>
  </si>
  <si>
    <t>C193896</t>
  </si>
  <si>
    <t>I100151</t>
  </si>
  <si>
    <t>C315218</t>
  </si>
  <si>
    <t>I100152</t>
  </si>
  <si>
    <t>C265676</t>
  </si>
  <si>
    <t>I100155</t>
  </si>
  <si>
    <t>C312476</t>
  </si>
  <si>
    <t>I100156</t>
  </si>
  <si>
    <t>C462935</t>
  </si>
  <si>
    <t>I100161</t>
  </si>
  <si>
    <t>C262871</t>
  </si>
  <si>
    <t>I100168</t>
  </si>
  <si>
    <t>C135319</t>
  </si>
  <si>
    <t>I100173</t>
  </si>
  <si>
    <t>C190374</t>
  </si>
  <si>
    <t>I100174</t>
  </si>
  <si>
    <t>C286570</t>
  </si>
  <si>
    <t>I100181</t>
  </si>
  <si>
    <t>C123341</t>
  </si>
  <si>
    <t>I100184</t>
  </si>
  <si>
    <t>C131276</t>
  </si>
  <si>
    <t>I100186</t>
  </si>
  <si>
    <t>C222236</t>
  </si>
  <si>
    <t>I100187</t>
  </si>
  <si>
    <t>C178869</t>
  </si>
  <si>
    <t>I100192</t>
  </si>
  <si>
    <t>C161234</t>
  </si>
  <si>
    <t>I100193</t>
  </si>
  <si>
    <t>C149918</t>
  </si>
  <si>
    <t>I100195</t>
  </si>
  <si>
    <t>C322199</t>
  </si>
  <si>
    <t>I100198</t>
  </si>
  <si>
    <t>C136883</t>
  </si>
  <si>
    <t>I100199</t>
  </si>
  <si>
    <t>C275614</t>
  </si>
  <si>
    <t>I100200</t>
  </si>
  <si>
    <t>C948033</t>
  </si>
  <si>
    <t>I100201</t>
  </si>
  <si>
    <t>C982027</t>
  </si>
  <si>
    <t>I100202</t>
  </si>
  <si>
    <t>C182496</t>
  </si>
  <si>
    <t>I100205</t>
  </si>
  <si>
    <t>C220151</t>
  </si>
  <si>
    <t>I100207</t>
  </si>
  <si>
    <t>C452901</t>
  </si>
  <si>
    <t>I100211</t>
  </si>
  <si>
    <t>C239527</t>
  </si>
  <si>
    <t>I100212</t>
  </si>
  <si>
    <t>C282695</t>
  </si>
  <si>
    <t>I100214</t>
  </si>
  <si>
    <t>C989972</t>
  </si>
  <si>
    <t>I100215</t>
  </si>
  <si>
    <t>C198589</t>
  </si>
  <si>
    <t>I100216</t>
  </si>
  <si>
    <t>C145243</t>
  </si>
  <si>
    <t>I100218</t>
  </si>
  <si>
    <t>C205490</t>
  </si>
  <si>
    <t>I100220</t>
  </si>
  <si>
    <t>C122251</t>
  </si>
  <si>
    <t>I100223</t>
  </si>
  <si>
    <t>C212702</t>
  </si>
  <si>
    <t>I100225</t>
  </si>
  <si>
    <t>C128382</t>
  </si>
  <si>
    <t>I100227</t>
  </si>
  <si>
    <t>C364271</t>
  </si>
  <si>
    <t>I100228</t>
  </si>
  <si>
    <t>C248381</t>
  </si>
  <si>
    <t>I100229</t>
  </si>
  <si>
    <t>C397160</t>
  </si>
  <si>
    <t>I100231</t>
  </si>
  <si>
    <t>C274640</t>
  </si>
  <si>
    <t>I100240</t>
  </si>
  <si>
    <t>C240922</t>
  </si>
  <si>
    <t>I100243</t>
  </si>
  <si>
    <t>C332855</t>
  </si>
  <si>
    <t>I100249</t>
  </si>
  <si>
    <t>C209647</t>
  </si>
  <si>
    <t>I100251</t>
  </si>
  <si>
    <t>C228482</t>
  </si>
  <si>
    <t>I100261</t>
  </si>
  <si>
    <t>C315632</t>
  </si>
  <si>
    <t>I100267</t>
  </si>
  <si>
    <t>C299948</t>
  </si>
  <si>
    <t>I100271</t>
  </si>
  <si>
    <t>C892772</t>
  </si>
  <si>
    <t>I100273</t>
  </si>
  <si>
    <t>C291963</t>
  </si>
  <si>
    <t>I100281</t>
  </si>
  <si>
    <t>C711548</t>
  </si>
  <si>
    <t>I100282</t>
  </si>
  <si>
    <t>C836957</t>
  </si>
  <si>
    <t>I100284</t>
  </si>
  <si>
    <t>C174674</t>
  </si>
  <si>
    <t>I100288</t>
  </si>
  <si>
    <t>C435081</t>
  </si>
  <si>
    <t>I100290</t>
  </si>
  <si>
    <t>C118172</t>
  </si>
  <si>
    <t>I100291</t>
  </si>
  <si>
    <t>C832260</t>
  </si>
  <si>
    <t>I100292</t>
  </si>
  <si>
    <t>C721616</t>
  </si>
  <si>
    <t>I100293</t>
  </si>
  <si>
    <t>C991830</t>
  </si>
  <si>
    <t>I100294</t>
  </si>
  <si>
    <t>C277127</t>
  </si>
  <si>
    <t>I100299</t>
  </si>
  <si>
    <t>C179079</t>
  </si>
  <si>
    <t>I100301</t>
  </si>
  <si>
    <t>C553904</t>
  </si>
  <si>
    <t>I100307</t>
  </si>
  <si>
    <t>C887007</t>
  </si>
  <si>
    <t>I100308</t>
  </si>
  <si>
    <t>C104593</t>
  </si>
  <si>
    <t>I100310</t>
  </si>
  <si>
    <t>C183161</t>
  </si>
  <si>
    <t>I100311</t>
  </si>
  <si>
    <t>C115462</t>
  </si>
  <si>
    <t>I100312</t>
  </si>
  <si>
    <t>C280934</t>
  </si>
  <si>
    <t>I100313</t>
  </si>
  <si>
    <t>C144410</t>
  </si>
  <si>
    <t>I100315</t>
  </si>
  <si>
    <t>C242277</t>
  </si>
  <si>
    <t>I100316</t>
  </si>
  <si>
    <t>C248553</t>
  </si>
  <si>
    <t>I100320</t>
  </si>
  <si>
    <t>C152872</t>
  </si>
  <si>
    <t>I100321</t>
  </si>
  <si>
    <t>C113910</t>
  </si>
  <si>
    <t>I100323</t>
  </si>
  <si>
    <t>C107529</t>
  </si>
  <si>
    <t>I100324</t>
  </si>
  <si>
    <t>C288166</t>
  </si>
  <si>
    <t>I100328</t>
  </si>
  <si>
    <t>C152052</t>
  </si>
  <si>
    <t>I100330</t>
  </si>
  <si>
    <t>C453598</t>
  </si>
  <si>
    <t>I100336</t>
  </si>
  <si>
    <t>C202040</t>
  </si>
  <si>
    <t>I100338</t>
  </si>
  <si>
    <t>C779694</t>
  </si>
  <si>
    <t>I100354</t>
  </si>
  <si>
    <t>C135028</t>
  </si>
  <si>
    <t>I100355</t>
  </si>
  <si>
    <t>C189409</t>
  </si>
  <si>
    <t>I100357</t>
  </si>
  <si>
    <t>C494452</t>
  </si>
  <si>
    <t>I100358</t>
  </si>
  <si>
    <t>C339237</t>
  </si>
  <si>
    <t>I100361</t>
  </si>
  <si>
    <t>C224357</t>
  </si>
  <si>
    <t>I100364</t>
  </si>
  <si>
    <t>C231500</t>
  </si>
  <si>
    <t>I100365</t>
  </si>
  <si>
    <t>C624809</t>
  </si>
  <si>
    <t>I100366</t>
  </si>
  <si>
    <t>C296054</t>
  </si>
  <si>
    <t>I100367</t>
  </si>
  <si>
    <t>C268495</t>
  </si>
  <si>
    <t>I100368</t>
  </si>
  <si>
    <t>C168429</t>
  </si>
  <si>
    <t>I100377</t>
  </si>
  <si>
    <t>C272529</t>
  </si>
  <si>
    <t>I100381</t>
  </si>
  <si>
    <t>C243648</t>
  </si>
  <si>
    <t>I100387</t>
  </si>
  <si>
    <t>C234074</t>
  </si>
  <si>
    <t>I100397</t>
  </si>
  <si>
    <t>C262466</t>
  </si>
  <si>
    <t>I100399</t>
  </si>
  <si>
    <t>C250107</t>
  </si>
  <si>
    <t>I100400</t>
  </si>
  <si>
    <t>C271625</t>
  </si>
  <si>
    <t>I100401</t>
  </si>
  <si>
    <t>C291610</t>
  </si>
  <si>
    <t>I100404</t>
  </si>
  <si>
    <t>C116794</t>
  </si>
  <si>
    <t>I100406</t>
  </si>
  <si>
    <t>C146640</t>
  </si>
  <si>
    <t>I100408</t>
  </si>
  <si>
    <t>C128638</t>
  </si>
  <si>
    <t>I100412</t>
  </si>
  <si>
    <t>C313809</t>
  </si>
  <si>
    <t>I100414</t>
  </si>
  <si>
    <t>C233655</t>
  </si>
  <si>
    <t>I100417</t>
  </si>
  <si>
    <t>C310007</t>
  </si>
  <si>
    <t>I100419</t>
  </si>
  <si>
    <t>C937473</t>
  </si>
  <si>
    <t>I100420</t>
  </si>
  <si>
    <t>C261035</t>
  </si>
  <si>
    <t>I100423</t>
  </si>
  <si>
    <t>C664680</t>
  </si>
  <si>
    <t>I100425</t>
  </si>
  <si>
    <t>C386315</t>
  </si>
  <si>
    <t>I100426</t>
  </si>
  <si>
    <t>C133701</t>
  </si>
  <si>
    <t>I100434</t>
  </si>
  <si>
    <t>C295965</t>
  </si>
  <si>
    <t>I100439</t>
  </si>
  <si>
    <t>C224698</t>
  </si>
  <si>
    <t>I100441</t>
  </si>
  <si>
    <t>C202089</t>
  </si>
  <si>
    <t>I100443</t>
  </si>
  <si>
    <t>C826051</t>
  </si>
  <si>
    <t>I100445</t>
  </si>
  <si>
    <t>C307576</t>
  </si>
  <si>
    <t>I100454</t>
  </si>
  <si>
    <t>C851133</t>
  </si>
  <si>
    <t>I100455</t>
  </si>
  <si>
    <t>C191387</t>
  </si>
  <si>
    <t>I100458</t>
  </si>
  <si>
    <t>C150447</t>
  </si>
  <si>
    <t>I100459</t>
  </si>
  <si>
    <t>C194835</t>
  </si>
  <si>
    <t>I100462</t>
  </si>
  <si>
    <t>C363980</t>
  </si>
  <si>
    <t>I100464</t>
  </si>
  <si>
    <t>C129826</t>
  </si>
  <si>
    <t>I100465</t>
  </si>
  <si>
    <t>C211946</t>
  </si>
  <si>
    <t>I100466</t>
  </si>
  <si>
    <t>C235798</t>
  </si>
  <si>
    <t>I100470</t>
  </si>
  <si>
    <t>C219411</t>
  </si>
  <si>
    <t>I100472</t>
  </si>
  <si>
    <t>C176862</t>
  </si>
  <si>
    <t>I100473</t>
  </si>
  <si>
    <t>C607315</t>
  </si>
  <si>
    <t>I100484</t>
  </si>
  <si>
    <t>C135857</t>
  </si>
  <si>
    <t>I100487</t>
  </si>
  <si>
    <t>C213360</t>
  </si>
  <si>
    <t>I100491</t>
  </si>
  <si>
    <t>C212593</t>
  </si>
  <si>
    <t>I100494</t>
  </si>
  <si>
    <t>C227575</t>
  </si>
  <si>
    <t>I100496</t>
  </si>
  <si>
    <t>C174558</t>
  </si>
  <si>
    <t>I100498</t>
  </si>
  <si>
    <t>C498727</t>
  </si>
  <si>
    <t>I100499</t>
  </si>
  <si>
    <t>C114407</t>
  </si>
  <si>
    <t>I100501</t>
  </si>
  <si>
    <t>C338282</t>
  </si>
  <si>
    <t>I100502</t>
  </si>
  <si>
    <t>C238358</t>
  </si>
  <si>
    <t>I100504</t>
  </si>
  <si>
    <t>C703075</t>
  </si>
  <si>
    <t>I100508</t>
  </si>
  <si>
    <t>C249896</t>
  </si>
  <si>
    <t>I100512</t>
  </si>
  <si>
    <t>C208841</t>
  </si>
  <si>
    <t>I100519</t>
  </si>
  <si>
    <t>C233898</t>
  </si>
  <si>
    <t>I100522</t>
  </si>
  <si>
    <t>C100218</t>
  </si>
  <si>
    <t>I100526</t>
  </si>
  <si>
    <t>C356129</t>
  </si>
  <si>
    <t>I100527</t>
  </si>
  <si>
    <t>C274542</t>
  </si>
  <si>
    <t>I100537</t>
  </si>
  <si>
    <t>C392460</t>
  </si>
  <si>
    <t>I100538</t>
  </si>
  <si>
    <t>C312561</t>
  </si>
  <si>
    <t>I100540</t>
  </si>
  <si>
    <t>C641482</t>
  </si>
  <si>
    <t>I100541</t>
  </si>
  <si>
    <t>C155234</t>
  </si>
  <si>
    <t>I100542</t>
  </si>
  <si>
    <t>C273404</t>
  </si>
  <si>
    <t>I100543</t>
  </si>
  <si>
    <t>C193964</t>
  </si>
  <si>
    <t>I100547</t>
  </si>
  <si>
    <t>C173500</t>
  </si>
  <si>
    <t>I100550</t>
  </si>
  <si>
    <t>C123577</t>
  </si>
  <si>
    <t>I100552</t>
  </si>
  <si>
    <t>C213606</t>
  </si>
  <si>
    <t>I100555</t>
  </si>
  <si>
    <t>C701082</t>
  </si>
  <si>
    <t>I100558</t>
  </si>
  <si>
    <t>C209906</t>
  </si>
  <si>
    <t>I100561</t>
  </si>
  <si>
    <t>C255643</t>
  </si>
  <si>
    <t>I100565</t>
  </si>
  <si>
    <t>C833577</t>
  </si>
  <si>
    <t>I100566</t>
  </si>
  <si>
    <t>C266257</t>
  </si>
  <si>
    <t>I100567</t>
  </si>
  <si>
    <t>C272165</t>
  </si>
  <si>
    <t>I100571</t>
  </si>
  <si>
    <t>C668914</t>
  </si>
  <si>
    <t>I100572</t>
  </si>
  <si>
    <t>C245347</t>
  </si>
  <si>
    <t>I100578</t>
  </si>
  <si>
    <t>C108143</t>
  </si>
  <si>
    <t>I100579</t>
  </si>
  <si>
    <t>C260481</t>
  </si>
  <si>
    <t>I100580</t>
  </si>
  <si>
    <t>C131158</t>
  </si>
  <si>
    <t>I100582</t>
  </si>
  <si>
    <t>C638859</t>
  </si>
  <si>
    <t>I100586</t>
  </si>
  <si>
    <t>C580838</t>
  </si>
  <si>
    <t>I100591</t>
  </si>
  <si>
    <t>C881158</t>
  </si>
  <si>
    <t>I100593</t>
  </si>
  <si>
    <t>C240318</t>
  </si>
  <si>
    <t>I100599</t>
  </si>
  <si>
    <t>C114161</t>
  </si>
  <si>
    <t>I100601</t>
  </si>
  <si>
    <t>C180415</t>
  </si>
  <si>
    <t>I100607</t>
  </si>
  <si>
    <t>C315778</t>
  </si>
  <si>
    <t>I100610</t>
  </si>
  <si>
    <t>C122598</t>
  </si>
  <si>
    <t>I100611</t>
  </si>
  <si>
    <t>C234086</t>
  </si>
  <si>
    <t>I100614</t>
  </si>
  <si>
    <t>C261517</t>
  </si>
  <si>
    <t>I100615</t>
  </si>
  <si>
    <t>C197426</t>
  </si>
  <si>
    <t>I100617</t>
  </si>
  <si>
    <t>C745941</t>
  </si>
  <si>
    <t>I100618</t>
  </si>
  <si>
    <t>C911820</t>
  </si>
  <si>
    <t>I100622</t>
  </si>
  <si>
    <t>C306817</t>
  </si>
  <si>
    <t>I100624</t>
  </si>
  <si>
    <t>C552809</t>
  </si>
  <si>
    <t>I100627</t>
  </si>
  <si>
    <t>C132581</t>
  </si>
  <si>
    <t>I100628</t>
  </si>
  <si>
    <t>C135129</t>
  </si>
  <si>
    <t>I100630</t>
  </si>
  <si>
    <t>C753708</t>
  </si>
  <si>
    <t>I100634</t>
  </si>
  <si>
    <t>C461631</t>
  </si>
  <si>
    <t>I100635</t>
  </si>
  <si>
    <t>C289537</t>
  </si>
  <si>
    <t>I100639</t>
  </si>
  <si>
    <t>C231484</t>
  </si>
  <si>
    <t>I100651</t>
  </si>
  <si>
    <t>C180588</t>
  </si>
  <si>
    <t>I100652</t>
  </si>
  <si>
    <t>C214732</t>
  </si>
  <si>
    <t>I100656</t>
  </si>
  <si>
    <t>C337441</t>
  </si>
  <si>
    <t>I100659</t>
  </si>
  <si>
    <t>C562791</t>
  </si>
  <si>
    <t>I100663</t>
  </si>
  <si>
    <t>C322131</t>
  </si>
  <si>
    <t>I100664</t>
  </si>
  <si>
    <t>C603641</t>
  </si>
  <si>
    <t>I100666</t>
  </si>
  <si>
    <t>C996052</t>
  </si>
  <si>
    <t>I100671</t>
  </si>
  <si>
    <t>C284324</t>
  </si>
  <si>
    <t>I100682</t>
  </si>
  <si>
    <t>C134970</t>
  </si>
  <si>
    <t>I100684</t>
  </si>
  <si>
    <t>C175424</t>
  </si>
  <si>
    <t>I100685</t>
  </si>
  <si>
    <t>C263059</t>
  </si>
  <si>
    <t>I100691</t>
  </si>
  <si>
    <t>C116434</t>
  </si>
  <si>
    <t>I100694</t>
  </si>
  <si>
    <t>C318405</t>
  </si>
  <si>
    <t>I100696</t>
  </si>
  <si>
    <t>C131827</t>
  </si>
  <si>
    <t>I100697</t>
  </si>
  <si>
    <t>C159194</t>
  </si>
  <si>
    <t>I100699</t>
  </si>
  <si>
    <t>C844692</t>
  </si>
  <si>
    <t>I100700</t>
  </si>
  <si>
    <t>C831975</t>
  </si>
  <si>
    <t>I100703</t>
  </si>
  <si>
    <t>C263996</t>
  </si>
  <si>
    <t>I100704</t>
  </si>
  <si>
    <t>C864065</t>
  </si>
  <si>
    <t>I100709</t>
  </si>
  <si>
    <t>C156430</t>
  </si>
  <si>
    <t>I100719</t>
  </si>
  <si>
    <t>C193403</t>
  </si>
  <si>
    <t>I100721</t>
  </si>
  <si>
    <t>C993556</t>
  </si>
  <si>
    <t>I100723</t>
  </si>
  <si>
    <t>C150582</t>
  </si>
  <si>
    <t>I100731</t>
  </si>
  <si>
    <t>C868764</t>
  </si>
  <si>
    <t>I100733</t>
  </si>
  <si>
    <t>C932952</t>
  </si>
  <si>
    <t>I100735</t>
  </si>
  <si>
    <t>C107829</t>
  </si>
  <si>
    <t>I100738</t>
  </si>
  <si>
    <t>C155129</t>
  </si>
  <si>
    <t>I100741</t>
  </si>
  <si>
    <t>C828874</t>
  </si>
  <si>
    <t>I100742</t>
  </si>
  <si>
    <t>C422142</t>
  </si>
  <si>
    <t>I100744</t>
  </si>
  <si>
    <t>C146601</t>
  </si>
  <si>
    <t>I100749</t>
  </si>
  <si>
    <t>C272878</t>
  </si>
  <si>
    <t>I100756</t>
  </si>
  <si>
    <t>C771102</t>
  </si>
  <si>
    <t>I100760</t>
  </si>
  <si>
    <t>C800785</t>
  </si>
  <si>
    <t>I100762</t>
  </si>
  <si>
    <t>C183883</t>
  </si>
  <si>
    <t>I100763</t>
  </si>
  <si>
    <t>C264447</t>
  </si>
  <si>
    <t>I100764</t>
  </si>
  <si>
    <t>C564073</t>
  </si>
  <si>
    <t>I100768</t>
  </si>
  <si>
    <t>C223065</t>
  </si>
  <si>
    <t>I100770</t>
  </si>
  <si>
    <t>C140792</t>
  </si>
  <si>
    <t>I100771</t>
  </si>
  <si>
    <t>C235228</t>
  </si>
  <si>
    <t>I100775</t>
  </si>
  <si>
    <t>C981100</t>
  </si>
  <si>
    <t>I100777</t>
  </si>
  <si>
    <t>C303252</t>
  </si>
  <si>
    <t>I100780</t>
  </si>
  <si>
    <t>C191396</t>
  </si>
  <si>
    <t>I100782</t>
  </si>
  <si>
    <t>C582964</t>
  </si>
  <si>
    <t>I100791</t>
  </si>
  <si>
    <t>C289735</t>
  </si>
  <si>
    <t>I100793</t>
  </si>
  <si>
    <t>C328805</t>
  </si>
  <si>
    <t>I100795</t>
  </si>
  <si>
    <t>C232822</t>
  </si>
  <si>
    <t>I100797</t>
  </si>
  <si>
    <t>C224221</t>
  </si>
  <si>
    <t>I100803</t>
  </si>
  <si>
    <t>C273636</t>
  </si>
  <si>
    <t>I100812</t>
  </si>
  <si>
    <t>C208761</t>
  </si>
  <si>
    <t>I100813</t>
  </si>
  <si>
    <t>C250804</t>
  </si>
  <si>
    <t>I100814</t>
  </si>
  <si>
    <t>C130818</t>
  </si>
  <si>
    <t>I100815</t>
  </si>
  <si>
    <t>C222582</t>
  </si>
  <si>
    <t>I100818</t>
  </si>
  <si>
    <t>C151068</t>
  </si>
  <si>
    <t>I100820</t>
  </si>
  <si>
    <t>C180870</t>
  </si>
  <si>
    <t>I100822</t>
  </si>
  <si>
    <t>C336505</t>
  </si>
  <si>
    <t>I100829</t>
  </si>
  <si>
    <t>C115788</t>
  </si>
  <si>
    <t>I100835</t>
  </si>
  <si>
    <t>C259176</t>
  </si>
  <si>
    <t>I100837</t>
  </si>
  <si>
    <t>C827434</t>
  </si>
  <si>
    <t>I100842</t>
  </si>
  <si>
    <t>C143467</t>
  </si>
  <si>
    <t>I100843</t>
  </si>
  <si>
    <t>C170564</t>
  </si>
  <si>
    <t>I100851</t>
  </si>
  <si>
    <t>C256797</t>
  </si>
  <si>
    <t>I100855</t>
  </si>
  <si>
    <t>C125109</t>
  </si>
  <si>
    <t>I100856</t>
  </si>
  <si>
    <t>C475330</t>
  </si>
  <si>
    <t>I100861</t>
  </si>
  <si>
    <t>C281937</t>
  </si>
  <si>
    <t>I100863</t>
  </si>
  <si>
    <t>C302400</t>
  </si>
  <si>
    <t>I100865</t>
  </si>
  <si>
    <t>C234663</t>
  </si>
  <si>
    <t>I100866</t>
  </si>
  <si>
    <t>C265260</t>
  </si>
  <si>
    <t>I100870</t>
  </si>
  <si>
    <t>C236060</t>
  </si>
  <si>
    <t>I100875</t>
  </si>
  <si>
    <t>C232349</t>
  </si>
  <si>
    <t>I100880</t>
  </si>
  <si>
    <t>C217725</t>
  </si>
  <si>
    <t>I100881</t>
  </si>
  <si>
    <t>C332806</t>
  </si>
  <si>
    <t>I100884</t>
  </si>
  <si>
    <t>C729531</t>
  </si>
  <si>
    <t>I100885</t>
  </si>
  <si>
    <t>C102033</t>
  </si>
  <si>
    <t>I100886</t>
  </si>
  <si>
    <t>C676444</t>
  </si>
  <si>
    <t>I100897</t>
  </si>
  <si>
    <t>C402407</t>
  </si>
  <si>
    <t>I100899</t>
  </si>
  <si>
    <t>C256232</t>
  </si>
  <si>
    <t>I100900</t>
  </si>
  <si>
    <t>C221280</t>
  </si>
  <si>
    <t>I100901</t>
  </si>
  <si>
    <t>C178198</t>
  </si>
  <si>
    <t>I100903</t>
  </si>
  <si>
    <t>C702152</t>
  </si>
  <si>
    <t>I100904</t>
  </si>
  <si>
    <t>C138573</t>
  </si>
  <si>
    <t>I100911</t>
  </si>
  <si>
    <t>C330379</t>
  </si>
  <si>
    <t>I100913</t>
  </si>
  <si>
    <t>C229817</t>
  </si>
  <si>
    <t>I100914</t>
  </si>
  <si>
    <t>C299493</t>
  </si>
  <si>
    <t>I100919</t>
  </si>
  <si>
    <t>C189282</t>
  </si>
  <si>
    <t>I100921</t>
  </si>
  <si>
    <t>C323178</t>
  </si>
  <si>
    <t>I100922</t>
  </si>
  <si>
    <t>C185007</t>
  </si>
  <si>
    <t>I100923</t>
  </si>
  <si>
    <t>C139812</t>
  </si>
  <si>
    <t>I100929</t>
  </si>
  <si>
    <t>C224506</t>
  </si>
  <si>
    <t>I100932</t>
  </si>
  <si>
    <t>C204475</t>
  </si>
  <si>
    <t>I100936</t>
  </si>
  <si>
    <t>C331442</t>
  </si>
  <si>
    <t>I100953</t>
  </si>
  <si>
    <t>C250015</t>
  </si>
  <si>
    <t>I100960</t>
  </si>
  <si>
    <t>C156642</t>
  </si>
  <si>
    <t>I100961</t>
  </si>
  <si>
    <t>C157517</t>
  </si>
  <si>
    <t>I100963</t>
  </si>
  <si>
    <t>C500323</t>
  </si>
  <si>
    <t>I100964</t>
  </si>
  <si>
    <t>C253827</t>
  </si>
  <si>
    <t>I100965</t>
  </si>
  <si>
    <t>C336119</t>
  </si>
  <si>
    <t>I100969</t>
  </si>
  <si>
    <t>C242347</t>
  </si>
  <si>
    <t>I100977</t>
  </si>
  <si>
    <t>C221903</t>
  </si>
  <si>
    <t>I100978</t>
  </si>
  <si>
    <t>C172330</t>
  </si>
  <si>
    <t>I100981</t>
  </si>
  <si>
    <t>C116368</t>
  </si>
  <si>
    <t>I100983</t>
  </si>
  <si>
    <t>C203462</t>
  </si>
  <si>
    <t>I100988</t>
  </si>
  <si>
    <t>C202289</t>
  </si>
  <si>
    <t>I100991</t>
  </si>
  <si>
    <t>C326660</t>
  </si>
  <si>
    <t>I100998</t>
  </si>
  <si>
    <t>C253884</t>
  </si>
  <si>
    <t>I101008</t>
  </si>
  <si>
    <t>C314812</t>
  </si>
  <si>
    <t>I101010</t>
  </si>
  <si>
    <t>C766878</t>
  </si>
  <si>
    <t>I101017</t>
  </si>
  <si>
    <t>C124932</t>
  </si>
  <si>
    <t>I101018</t>
  </si>
  <si>
    <t>C266367</t>
  </si>
  <si>
    <t>I101022</t>
  </si>
  <si>
    <t>C237146</t>
  </si>
  <si>
    <t>I101031</t>
  </si>
  <si>
    <t>C215753</t>
  </si>
  <si>
    <t>I101034</t>
  </si>
  <si>
    <t>C722304</t>
  </si>
  <si>
    <t>I101037</t>
  </si>
  <si>
    <t>C216533</t>
  </si>
  <si>
    <t>I101038</t>
  </si>
  <si>
    <t>C144914</t>
  </si>
  <si>
    <t>I101043</t>
  </si>
  <si>
    <t>C289681</t>
  </si>
  <si>
    <t>I101048</t>
  </si>
  <si>
    <t>C186345</t>
  </si>
  <si>
    <t>I101051</t>
  </si>
  <si>
    <t>C722098</t>
  </si>
  <si>
    <t>I101052</t>
  </si>
  <si>
    <t>C844541</t>
  </si>
  <si>
    <t>I101059</t>
  </si>
  <si>
    <t>C236719</t>
  </si>
  <si>
    <t>I101060</t>
  </si>
  <si>
    <t>C131806</t>
  </si>
  <si>
    <t>I101070</t>
  </si>
  <si>
    <t>C330130</t>
  </si>
  <si>
    <t>I101083</t>
  </si>
  <si>
    <t>C165321</t>
  </si>
  <si>
    <t>I101084</t>
  </si>
  <si>
    <t>C943266</t>
  </si>
  <si>
    <t>I101086</t>
  </si>
  <si>
    <t>C168165</t>
  </si>
  <si>
    <t>I101088</t>
  </si>
  <si>
    <t>C824542</t>
  </si>
  <si>
    <t>I101089</t>
  </si>
  <si>
    <t>C392188</t>
  </si>
  <si>
    <t>I101093</t>
  </si>
  <si>
    <t>C301696</t>
  </si>
  <si>
    <t>I101103</t>
  </si>
  <si>
    <t>C194266</t>
  </si>
  <si>
    <t>I101113</t>
  </si>
  <si>
    <t>C315161</t>
  </si>
  <si>
    <t>I101115</t>
  </si>
  <si>
    <t>C540954</t>
  </si>
  <si>
    <t>I101130</t>
  </si>
  <si>
    <t>C298295</t>
  </si>
  <si>
    <t>I101131</t>
  </si>
  <si>
    <t>C329519</t>
  </si>
  <si>
    <t>I101133</t>
  </si>
  <si>
    <t>C270664</t>
  </si>
  <si>
    <t>I101135</t>
  </si>
  <si>
    <t>C689947</t>
  </si>
  <si>
    <t>I101140</t>
  </si>
  <si>
    <t>C122069</t>
  </si>
  <si>
    <t>I101143</t>
  </si>
  <si>
    <t>C293655</t>
  </si>
  <si>
    <t>I101146</t>
  </si>
  <si>
    <t>C303865</t>
  </si>
  <si>
    <t>I101148</t>
  </si>
  <si>
    <t>C680169</t>
  </si>
  <si>
    <t>I101152</t>
  </si>
  <si>
    <t>C276049</t>
  </si>
  <si>
    <t>I101154</t>
  </si>
  <si>
    <t>C453116</t>
  </si>
  <si>
    <t>I101155</t>
  </si>
  <si>
    <t>C114131</t>
  </si>
  <si>
    <t>I101156</t>
  </si>
  <si>
    <t>C251408</t>
  </si>
  <si>
    <t>I101165</t>
  </si>
  <si>
    <t>C325003</t>
  </si>
  <si>
    <t>I101167</t>
  </si>
  <si>
    <t>C492992</t>
  </si>
  <si>
    <t>I101171</t>
  </si>
  <si>
    <t>C786797</t>
  </si>
  <si>
    <t>I101176</t>
  </si>
  <si>
    <t>C195529</t>
  </si>
  <si>
    <t>I101181</t>
  </si>
  <si>
    <t>C167199</t>
  </si>
  <si>
    <t>I101183</t>
  </si>
  <si>
    <t>C274709</t>
  </si>
  <si>
    <t>I101185</t>
  </si>
  <si>
    <t>C269338</t>
  </si>
  <si>
    <t>I101189</t>
  </si>
  <si>
    <t>C301407</t>
  </si>
  <si>
    <t>I101190</t>
  </si>
  <si>
    <t>C115198</t>
  </si>
  <si>
    <t>I101192</t>
  </si>
  <si>
    <t>C298571</t>
  </si>
  <si>
    <t>I101193</t>
  </si>
  <si>
    <t>C298074</t>
  </si>
  <si>
    <t>I101201</t>
  </si>
  <si>
    <t>C296680</t>
  </si>
  <si>
    <t>I101204</t>
  </si>
  <si>
    <t>C147656</t>
  </si>
  <si>
    <t>I101210</t>
  </si>
  <si>
    <t>C316485</t>
  </si>
  <si>
    <t>I101214</t>
  </si>
  <si>
    <t>C229296</t>
  </si>
  <si>
    <t>I101219</t>
  </si>
  <si>
    <t>C296170</t>
  </si>
  <si>
    <t>I101220</t>
  </si>
  <si>
    <t>C322664</t>
  </si>
  <si>
    <t>I101229</t>
  </si>
  <si>
    <t>C256902</t>
  </si>
  <si>
    <t>I101237</t>
  </si>
  <si>
    <t>C239679</t>
  </si>
  <si>
    <t>I101239</t>
  </si>
  <si>
    <t>C362001</t>
  </si>
  <si>
    <t>I101247</t>
  </si>
  <si>
    <t>C178321</t>
  </si>
  <si>
    <t>I101252</t>
  </si>
  <si>
    <t>C998123</t>
  </si>
  <si>
    <t>I101255</t>
  </si>
  <si>
    <t>C164171</t>
  </si>
  <si>
    <t>I101256</t>
  </si>
  <si>
    <t>C129775</t>
  </si>
  <si>
    <t>I101263</t>
  </si>
  <si>
    <t>C268120</t>
  </si>
  <si>
    <t>I101279</t>
  </si>
  <si>
    <t>C237894</t>
  </si>
  <si>
    <t>I101280</t>
  </si>
  <si>
    <t>C663744</t>
  </si>
  <si>
    <t>I101281</t>
  </si>
  <si>
    <t>C177781</t>
  </si>
  <si>
    <t>I101282</t>
  </si>
  <si>
    <t>C317379</t>
  </si>
  <si>
    <t>I101283</t>
  </si>
  <si>
    <t>C294350</t>
  </si>
  <si>
    <t>I101288</t>
  </si>
  <si>
    <t>C476777</t>
  </si>
  <si>
    <t>I101290</t>
  </si>
  <si>
    <t>C208569</t>
  </si>
  <si>
    <t>I101296</t>
  </si>
  <si>
    <t>C132787</t>
  </si>
  <si>
    <t>I101301</t>
  </si>
  <si>
    <t>C211329</t>
  </si>
  <si>
    <t>I101305</t>
  </si>
  <si>
    <t>C131548</t>
  </si>
  <si>
    <t>I101306</t>
  </si>
  <si>
    <t>C162468</t>
  </si>
  <si>
    <t>I101308</t>
  </si>
  <si>
    <t>C551127</t>
  </si>
  <si>
    <t>I101312</t>
  </si>
  <si>
    <t>C261678</t>
  </si>
  <si>
    <t>I101313</t>
  </si>
  <si>
    <t>C463777</t>
  </si>
  <si>
    <t>I101314</t>
  </si>
  <si>
    <t>C995203</t>
  </si>
  <si>
    <t>I101316</t>
  </si>
  <si>
    <t>C100544</t>
  </si>
  <si>
    <t>I101318</t>
  </si>
  <si>
    <t>C156439</t>
  </si>
  <si>
    <t>I101320</t>
  </si>
  <si>
    <t>C264902</t>
  </si>
  <si>
    <t>I101325</t>
  </si>
  <si>
    <t>C101956</t>
  </si>
  <si>
    <t>I101328</t>
  </si>
  <si>
    <t>C468550</t>
  </si>
  <si>
    <t>I101339</t>
  </si>
  <si>
    <t>C162091</t>
  </si>
  <si>
    <t>I101343</t>
  </si>
  <si>
    <t>C180911</t>
  </si>
  <si>
    <t>I101344</t>
  </si>
  <si>
    <t>C107378</t>
  </si>
  <si>
    <t>I101347</t>
  </si>
  <si>
    <t>C280063</t>
  </si>
  <si>
    <t>I101348</t>
  </si>
  <si>
    <t>C126235</t>
  </si>
  <si>
    <t>I101351</t>
  </si>
  <si>
    <t>C726291</t>
  </si>
  <si>
    <t>I101352</t>
  </si>
  <si>
    <t>C548721</t>
  </si>
  <si>
    <t>I101353</t>
  </si>
  <si>
    <t>C246402</t>
  </si>
  <si>
    <t>I101354</t>
  </si>
  <si>
    <t>C235189</t>
  </si>
  <si>
    <t>I101356</t>
  </si>
  <si>
    <t>C227436</t>
  </si>
  <si>
    <t>I101359</t>
  </si>
  <si>
    <t>C269676</t>
  </si>
  <si>
    <t>I101360</t>
  </si>
  <si>
    <t>C540352</t>
  </si>
  <si>
    <t>I101361</t>
  </si>
  <si>
    <t>C184579</t>
  </si>
  <si>
    <t>I101363</t>
  </si>
  <si>
    <t>C182070</t>
  </si>
  <si>
    <t>I101366</t>
  </si>
  <si>
    <t>C927671</t>
  </si>
  <si>
    <t>I101368</t>
  </si>
  <si>
    <t>C236364</t>
  </si>
  <si>
    <t>I101370</t>
  </si>
  <si>
    <t>C313925</t>
  </si>
  <si>
    <t>I101372</t>
  </si>
  <si>
    <t>C180019</t>
  </si>
  <si>
    <t>I101378</t>
  </si>
  <si>
    <t>C241757</t>
  </si>
  <si>
    <t>I101379</t>
  </si>
  <si>
    <t>C275478</t>
  </si>
  <si>
    <t>I101383</t>
  </si>
  <si>
    <t>C151482</t>
  </si>
  <si>
    <t>I101390</t>
  </si>
  <si>
    <t>C314514</t>
  </si>
  <si>
    <t>I101393</t>
  </si>
  <si>
    <t>C109321</t>
  </si>
  <si>
    <t>I101394</t>
  </si>
  <si>
    <t>C321439</t>
  </si>
  <si>
    <t>I101398</t>
  </si>
  <si>
    <t>C152504</t>
  </si>
  <si>
    <t>I101407</t>
  </si>
  <si>
    <t>C323409</t>
  </si>
  <si>
    <t>I101409</t>
  </si>
  <si>
    <t>C431191</t>
  </si>
  <si>
    <t>I101410</t>
  </si>
  <si>
    <t>C177708</t>
  </si>
  <si>
    <t>I101414</t>
  </si>
  <si>
    <t>C104129</t>
  </si>
  <si>
    <t>I101418</t>
  </si>
  <si>
    <t>C127683</t>
  </si>
  <si>
    <t>I101419</t>
  </si>
  <si>
    <t>C502529</t>
  </si>
  <si>
    <t>I101423</t>
  </si>
  <si>
    <t>C666388</t>
  </si>
  <si>
    <t>I101426</t>
  </si>
  <si>
    <t>C262766</t>
  </si>
  <si>
    <t>I101428</t>
  </si>
  <si>
    <t>C197332</t>
  </si>
  <si>
    <t>I101429</t>
  </si>
  <si>
    <t>C148693</t>
  </si>
  <si>
    <t>I101433</t>
  </si>
  <si>
    <t>C208860</t>
  </si>
  <si>
    <t>I101434</t>
  </si>
  <si>
    <t>C310631</t>
  </si>
  <si>
    <t>I101435</t>
  </si>
  <si>
    <t>C245633</t>
  </si>
  <si>
    <t>I101442</t>
  </si>
  <si>
    <t>C837574</t>
  </si>
  <si>
    <t>I101444</t>
  </si>
  <si>
    <t>C335486</t>
  </si>
  <si>
    <t>I101445</t>
  </si>
  <si>
    <t>C171342</t>
  </si>
  <si>
    <t>I101449</t>
  </si>
  <si>
    <t>C220137</t>
  </si>
  <si>
    <t>I101452</t>
  </si>
  <si>
    <t>C231594</t>
  </si>
  <si>
    <t>I101453</t>
  </si>
  <si>
    <t>C666613</t>
  </si>
  <si>
    <t>I101454</t>
  </si>
  <si>
    <t>C118691</t>
  </si>
  <si>
    <t>I101455</t>
  </si>
  <si>
    <t>C154531</t>
  </si>
  <si>
    <t>I101456</t>
  </si>
  <si>
    <t>C283434</t>
  </si>
  <si>
    <t>I101458</t>
  </si>
  <si>
    <t>C113888</t>
  </si>
  <si>
    <t>I101460</t>
  </si>
  <si>
    <t>C247762</t>
  </si>
  <si>
    <t>I101465</t>
  </si>
  <si>
    <t>C250819</t>
  </si>
  <si>
    <t>I101466</t>
  </si>
  <si>
    <t>C314331</t>
  </si>
  <si>
    <t>I101467</t>
  </si>
  <si>
    <t>C155383</t>
  </si>
  <si>
    <t>I101472</t>
  </si>
  <si>
    <t>C216194</t>
  </si>
  <si>
    <t>I101475</t>
  </si>
  <si>
    <t>C204569</t>
  </si>
  <si>
    <t>I101476</t>
  </si>
  <si>
    <t>C295108</t>
  </si>
  <si>
    <t>I101480</t>
  </si>
  <si>
    <t>C145217</t>
  </si>
  <si>
    <t>I101483</t>
  </si>
  <si>
    <t>C670088</t>
  </si>
  <si>
    <t>I101489</t>
  </si>
  <si>
    <t>C287411</t>
  </si>
  <si>
    <t>I101498</t>
  </si>
  <si>
    <t>C431849</t>
  </si>
  <si>
    <t>I101499</t>
  </si>
  <si>
    <t>C208394</t>
  </si>
  <si>
    <t>I101509</t>
  </si>
  <si>
    <t>C416542</t>
  </si>
  <si>
    <t>I101511</t>
  </si>
  <si>
    <t>C286261</t>
  </si>
  <si>
    <t>I101512</t>
  </si>
  <si>
    <t>C657278</t>
  </si>
  <si>
    <t>I101518</t>
  </si>
  <si>
    <t>C107937</t>
  </si>
  <si>
    <t>I101520</t>
  </si>
  <si>
    <t>C260507</t>
  </si>
  <si>
    <t>I101521</t>
  </si>
  <si>
    <t>C234258</t>
  </si>
  <si>
    <t>I101525</t>
  </si>
  <si>
    <t>C616099</t>
  </si>
  <si>
    <t>I101526</t>
  </si>
  <si>
    <t>C332894</t>
  </si>
  <si>
    <t>I101528</t>
  </si>
  <si>
    <t>C149902</t>
  </si>
  <si>
    <t>I101529</t>
  </si>
  <si>
    <t>C203227</t>
  </si>
  <si>
    <t>I101532</t>
  </si>
  <si>
    <t>C128002</t>
  </si>
  <si>
    <t>I101535</t>
  </si>
  <si>
    <t>C219503</t>
  </si>
  <si>
    <t>I101536</t>
  </si>
  <si>
    <t>C323102</t>
  </si>
  <si>
    <t>I101537</t>
  </si>
  <si>
    <t>C168070</t>
  </si>
  <si>
    <t>I101541</t>
  </si>
  <si>
    <t>C210572</t>
  </si>
  <si>
    <t>I101544</t>
  </si>
  <si>
    <t>C208879</t>
  </si>
  <si>
    <t>I101546</t>
  </si>
  <si>
    <t>C121708</t>
  </si>
  <si>
    <t>I101549</t>
  </si>
  <si>
    <t>C311614</t>
  </si>
  <si>
    <t>I101551</t>
  </si>
  <si>
    <t>C164448</t>
  </si>
  <si>
    <t>I101554</t>
  </si>
  <si>
    <t>C273482</t>
  </si>
  <si>
    <t>I101555</t>
  </si>
  <si>
    <t>C758873</t>
  </si>
  <si>
    <t>I101569</t>
  </si>
  <si>
    <t>C148240</t>
  </si>
  <si>
    <t>I101572</t>
  </si>
  <si>
    <t>C210353</t>
  </si>
  <si>
    <t>I101573</t>
  </si>
  <si>
    <t>C150669</t>
  </si>
  <si>
    <t>I101574</t>
  </si>
  <si>
    <t>C178897</t>
  </si>
  <si>
    <t>I101576</t>
  </si>
  <si>
    <t>C262719</t>
  </si>
  <si>
    <t>I101578</t>
  </si>
  <si>
    <t>C302346</t>
  </si>
  <si>
    <t>I101580</t>
  </si>
  <si>
    <t>C266174</t>
  </si>
  <si>
    <t>I101585</t>
  </si>
  <si>
    <t>C157226</t>
  </si>
  <si>
    <t>I101587</t>
  </si>
  <si>
    <t>C434876</t>
  </si>
  <si>
    <t>I101588</t>
  </si>
  <si>
    <t>C769285</t>
  </si>
  <si>
    <t>I101592</t>
  </si>
  <si>
    <t>C228966</t>
  </si>
  <si>
    <t>I101594</t>
  </si>
  <si>
    <t>C117752</t>
  </si>
  <si>
    <t>I101596</t>
  </si>
  <si>
    <t>C309263</t>
  </si>
  <si>
    <t>I101598</t>
  </si>
  <si>
    <t>C338372</t>
  </si>
  <si>
    <t>I101603</t>
  </si>
  <si>
    <t>C309591</t>
  </si>
  <si>
    <t>I101605</t>
  </si>
  <si>
    <t>C756859</t>
  </si>
  <si>
    <t>I101606</t>
  </si>
  <si>
    <t>C279630</t>
  </si>
  <si>
    <t>I101612</t>
  </si>
  <si>
    <t>C185174</t>
  </si>
  <si>
    <t>I101618</t>
  </si>
  <si>
    <t>C203219</t>
  </si>
  <si>
    <t>I101620</t>
  </si>
  <si>
    <t>C104200</t>
  </si>
  <si>
    <t>I101621</t>
  </si>
  <si>
    <t>C325188</t>
  </si>
  <si>
    <t>I101624</t>
  </si>
  <si>
    <t>C115743</t>
  </si>
  <si>
    <t>I101627</t>
  </si>
  <si>
    <t>C144374</t>
  </si>
  <si>
    <t>I101629</t>
  </si>
  <si>
    <t>C102585</t>
  </si>
  <si>
    <t>I101634</t>
  </si>
  <si>
    <t>C318714</t>
  </si>
  <si>
    <t>I101635</t>
  </si>
  <si>
    <t>C695700</t>
  </si>
  <si>
    <t>I101638</t>
  </si>
  <si>
    <t>C217867</t>
  </si>
  <si>
    <t>I101641</t>
  </si>
  <si>
    <t>C483550</t>
  </si>
  <si>
    <t>I101642</t>
  </si>
  <si>
    <t>C296856</t>
  </si>
  <si>
    <t>I101645</t>
  </si>
  <si>
    <t>C683241</t>
  </si>
  <si>
    <t>I101649</t>
  </si>
  <si>
    <t>C801987</t>
  </si>
  <si>
    <t>I101653</t>
  </si>
  <si>
    <t>C185129</t>
  </si>
  <si>
    <t>I101658</t>
  </si>
  <si>
    <t>C254846</t>
  </si>
  <si>
    <t>I101659</t>
  </si>
  <si>
    <t>C197249</t>
  </si>
  <si>
    <t>I101661</t>
  </si>
  <si>
    <t>C156543</t>
  </si>
  <si>
    <t>I101667</t>
  </si>
  <si>
    <t>C142998</t>
  </si>
  <si>
    <t>I101669</t>
  </si>
  <si>
    <t>C308898</t>
  </si>
  <si>
    <t>I101670</t>
  </si>
  <si>
    <t>C584201</t>
  </si>
  <si>
    <t>I101672</t>
  </si>
  <si>
    <t>C976493</t>
  </si>
  <si>
    <t>I101674</t>
  </si>
  <si>
    <t>C284838</t>
  </si>
  <si>
    <t>I101675</t>
  </si>
  <si>
    <t>C302289</t>
  </si>
  <si>
    <t>I101676</t>
  </si>
  <si>
    <t>C179567</t>
  </si>
  <si>
    <t>I101677</t>
  </si>
  <si>
    <t>C518156</t>
  </si>
  <si>
    <t>I101682</t>
  </si>
  <si>
    <t>C201671</t>
  </si>
  <si>
    <t>I101684</t>
  </si>
  <si>
    <t>C280909</t>
  </si>
  <si>
    <t>I101686</t>
  </si>
  <si>
    <t>C520399</t>
  </si>
  <si>
    <t>I101691</t>
  </si>
  <si>
    <t>C322262</t>
  </si>
  <si>
    <t>I101700</t>
  </si>
  <si>
    <t>C156564</t>
  </si>
  <si>
    <t>I101703</t>
  </si>
  <si>
    <t>C113813</t>
  </si>
  <si>
    <t>I101704</t>
  </si>
  <si>
    <t>C568729</t>
  </si>
  <si>
    <t>I101708</t>
  </si>
  <si>
    <t>C103055</t>
  </si>
  <si>
    <t>I101709</t>
  </si>
  <si>
    <t>C800815</t>
  </si>
  <si>
    <t>I101711</t>
  </si>
  <si>
    <t>C354279</t>
  </si>
  <si>
    <t>I101714</t>
  </si>
  <si>
    <t>C273113</t>
  </si>
  <si>
    <t>I101716</t>
  </si>
  <si>
    <t>C254712</t>
  </si>
  <si>
    <t>I101717</t>
  </si>
  <si>
    <t>C143132</t>
  </si>
  <si>
    <t>I101720</t>
  </si>
  <si>
    <t>C105307</t>
  </si>
  <si>
    <t>I101724</t>
  </si>
  <si>
    <t>C331264</t>
  </si>
  <si>
    <t>I101727</t>
  </si>
  <si>
    <t>C145580</t>
  </si>
  <si>
    <t>I101728</t>
  </si>
  <si>
    <t>C183537</t>
  </si>
  <si>
    <t>I101730</t>
  </si>
  <si>
    <t>C378627</t>
  </si>
  <si>
    <t>I101731</t>
  </si>
  <si>
    <t>C125296</t>
  </si>
  <si>
    <t>I101734</t>
  </si>
  <si>
    <t>C150574</t>
  </si>
  <si>
    <t>I101739</t>
  </si>
  <si>
    <t>C152510</t>
  </si>
  <si>
    <t>I101740</t>
  </si>
  <si>
    <t>C136633</t>
  </si>
  <si>
    <t>I101741</t>
  </si>
  <si>
    <t>C319933</t>
  </si>
  <si>
    <t>I101742</t>
  </si>
  <si>
    <t>C123907</t>
  </si>
  <si>
    <t>I101743</t>
  </si>
  <si>
    <t>C158928</t>
  </si>
  <si>
    <t>I101745</t>
  </si>
  <si>
    <t>C105559</t>
  </si>
  <si>
    <t>I101752</t>
  </si>
  <si>
    <t>C116715</t>
  </si>
  <si>
    <t>I101753</t>
  </si>
  <si>
    <t>C336142</t>
  </si>
  <si>
    <t>I101754</t>
  </si>
  <si>
    <t>C125307</t>
  </si>
  <si>
    <t>I101755</t>
  </si>
  <si>
    <t>C333796</t>
  </si>
  <si>
    <t>I101765</t>
  </si>
  <si>
    <t>C280567</t>
  </si>
  <si>
    <t>I101767</t>
  </si>
  <si>
    <t>C181289</t>
  </si>
  <si>
    <t>I101768</t>
  </si>
  <si>
    <t>C249684</t>
  </si>
  <si>
    <t>I101769</t>
  </si>
  <si>
    <t>C306686</t>
  </si>
  <si>
    <t>I101775</t>
  </si>
  <si>
    <t>C867251</t>
  </si>
  <si>
    <t>I101779</t>
  </si>
  <si>
    <t>C114592</t>
  </si>
  <si>
    <t>I101782</t>
  </si>
  <si>
    <t>C221270</t>
  </si>
  <si>
    <t>I101785</t>
  </si>
  <si>
    <t>C279161</t>
  </si>
  <si>
    <t>I101790</t>
  </si>
  <si>
    <t>C310170</t>
  </si>
  <si>
    <t>I101795</t>
  </si>
  <si>
    <t>C207950</t>
  </si>
  <si>
    <t>I101799</t>
  </si>
  <si>
    <t>C789602</t>
  </si>
  <si>
    <t>I101806</t>
  </si>
  <si>
    <t>C322425</t>
  </si>
  <si>
    <t>I101809</t>
  </si>
  <si>
    <t>C148190</t>
  </si>
  <si>
    <t>I101810</t>
  </si>
  <si>
    <t>C259949</t>
  </si>
  <si>
    <t>I101819</t>
  </si>
  <si>
    <t>C787263</t>
  </si>
  <si>
    <t>I101820</t>
  </si>
  <si>
    <t>C324317</t>
  </si>
  <si>
    <t>I101822</t>
  </si>
  <si>
    <t>C178709</t>
  </si>
  <si>
    <t>I101823</t>
  </si>
  <si>
    <t>C121785</t>
  </si>
  <si>
    <t>I101827</t>
  </si>
  <si>
    <t>C150375</t>
  </si>
  <si>
    <t>I101829</t>
  </si>
  <si>
    <t>C207614</t>
  </si>
  <si>
    <t>I101832</t>
  </si>
  <si>
    <t>C261194</t>
  </si>
  <si>
    <t>I101834</t>
  </si>
  <si>
    <t>C407525</t>
  </si>
  <si>
    <t>I101837</t>
  </si>
  <si>
    <t>C288430</t>
  </si>
  <si>
    <t>I101840</t>
  </si>
  <si>
    <t>C128251</t>
  </si>
  <si>
    <t>I101842</t>
  </si>
  <si>
    <t>C158131</t>
  </si>
  <si>
    <t>I101843</t>
  </si>
  <si>
    <t>C300621</t>
  </si>
  <si>
    <t>I101852</t>
  </si>
  <si>
    <t>C224985</t>
  </si>
  <si>
    <t>I101854</t>
  </si>
  <si>
    <t>C190002</t>
  </si>
  <si>
    <t>I101855</t>
  </si>
  <si>
    <t>C120734</t>
  </si>
  <si>
    <t>I101857</t>
  </si>
  <si>
    <t>C227245</t>
  </si>
  <si>
    <t>I101862</t>
  </si>
  <si>
    <t>C352919</t>
  </si>
  <si>
    <t>I101865</t>
  </si>
  <si>
    <t>C248634</t>
  </si>
  <si>
    <t>I101869</t>
  </si>
  <si>
    <t>C578801</t>
  </si>
  <si>
    <t>I101870</t>
  </si>
  <si>
    <t>C350587</t>
  </si>
  <si>
    <t>I101871</t>
  </si>
  <si>
    <t>C233682</t>
  </si>
  <si>
    <t>I101873</t>
  </si>
  <si>
    <t>C844870</t>
  </si>
  <si>
    <t>I101879</t>
  </si>
  <si>
    <t>C419320</t>
  </si>
  <si>
    <t>I101882</t>
  </si>
  <si>
    <t>C225381</t>
  </si>
  <si>
    <t>I101885</t>
  </si>
  <si>
    <t>C199456</t>
  </si>
  <si>
    <t>I101887</t>
  </si>
  <si>
    <t>C169919</t>
  </si>
  <si>
    <t>I101888</t>
  </si>
  <si>
    <t>C216076</t>
  </si>
  <si>
    <t>I101889</t>
  </si>
  <si>
    <t>C121577</t>
  </si>
  <si>
    <t>I101891</t>
  </si>
  <si>
    <t>C180405</t>
  </si>
  <si>
    <t>I101893</t>
  </si>
  <si>
    <t>C586871</t>
  </si>
  <si>
    <t>I101896</t>
  </si>
  <si>
    <t>C113243</t>
  </si>
  <si>
    <t>I101901</t>
  </si>
  <si>
    <t>C241557</t>
  </si>
  <si>
    <t>I101902</t>
  </si>
  <si>
    <t>C195949</t>
  </si>
  <si>
    <t>I101904</t>
  </si>
  <si>
    <t>C106038</t>
  </si>
  <si>
    <t>I101905</t>
  </si>
  <si>
    <t>C147666</t>
  </si>
  <si>
    <t>I101906</t>
  </si>
  <si>
    <t>C306258</t>
  </si>
  <si>
    <t>I101910</t>
  </si>
  <si>
    <t>C304301</t>
  </si>
  <si>
    <t>I101912</t>
  </si>
  <si>
    <t>C499795</t>
  </si>
  <si>
    <t>I101915</t>
  </si>
  <si>
    <t>C112646</t>
  </si>
  <si>
    <t>I101919</t>
  </si>
  <si>
    <t>C209103</t>
  </si>
  <si>
    <t>I101920</t>
  </si>
  <si>
    <t>C208660</t>
  </si>
  <si>
    <t>I101921</t>
  </si>
  <si>
    <t>C243839</t>
  </si>
  <si>
    <t>I101925</t>
  </si>
  <si>
    <t>C329689</t>
  </si>
  <si>
    <t>I101927</t>
  </si>
  <si>
    <t>C156809</t>
  </si>
  <si>
    <t>I101934</t>
  </si>
  <si>
    <t>C153128</t>
  </si>
  <si>
    <t>I101940</t>
  </si>
  <si>
    <t>C283119</t>
  </si>
  <si>
    <t>I101953</t>
  </si>
  <si>
    <t>C316666</t>
  </si>
  <si>
    <t>I101967</t>
  </si>
  <si>
    <t>C218507</t>
  </si>
  <si>
    <t>I101968</t>
  </si>
  <si>
    <t>C134978</t>
  </si>
  <si>
    <t>I101972</t>
  </si>
  <si>
    <t>C182834</t>
  </si>
  <si>
    <t>I101974</t>
  </si>
  <si>
    <t>C184510</t>
  </si>
  <si>
    <t>I101975</t>
  </si>
  <si>
    <t>C208782</t>
  </si>
  <si>
    <t>I101978</t>
  </si>
  <si>
    <t>C188650</t>
  </si>
  <si>
    <t>I101979</t>
  </si>
  <si>
    <t>C109876</t>
  </si>
  <si>
    <t>I101982</t>
  </si>
  <si>
    <t>C116333</t>
  </si>
  <si>
    <t>I101983</t>
  </si>
  <si>
    <t>C889640</t>
  </si>
  <si>
    <t>I101984</t>
  </si>
  <si>
    <t>C117381</t>
  </si>
  <si>
    <t>I101989</t>
  </si>
  <si>
    <t>C269810</t>
  </si>
  <si>
    <t>I101993</t>
  </si>
  <si>
    <t>C158626</t>
  </si>
  <si>
    <t>I101996</t>
  </si>
  <si>
    <t>C157238</t>
  </si>
  <si>
    <t>I102001</t>
  </si>
  <si>
    <t>C167373</t>
  </si>
  <si>
    <t>I102006</t>
  </si>
  <si>
    <t>C133645</t>
  </si>
  <si>
    <t>I102008</t>
  </si>
  <si>
    <t>C171022</t>
  </si>
  <si>
    <t>I102009</t>
  </si>
  <si>
    <t>C146739</t>
  </si>
  <si>
    <t>I102014</t>
  </si>
  <si>
    <t>C158673</t>
  </si>
  <si>
    <t>I102015</t>
  </si>
  <si>
    <t>C127328</t>
  </si>
  <si>
    <t>I102020</t>
  </si>
  <si>
    <t>C244182</t>
  </si>
  <si>
    <t>I102021</t>
  </si>
  <si>
    <t>C178086</t>
  </si>
  <si>
    <t>I102024</t>
  </si>
  <si>
    <t>C132062</t>
  </si>
  <si>
    <t>I102025</t>
  </si>
  <si>
    <t>C119370</t>
  </si>
  <si>
    <t>I102031</t>
  </si>
  <si>
    <t>C208014</t>
  </si>
  <si>
    <t>I102037</t>
  </si>
  <si>
    <t>C523688</t>
  </si>
  <si>
    <t>I102038</t>
  </si>
  <si>
    <t>C227579</t>
  </si>
  <si>
    <t>I102040</t>
  </si>
  <si>
    <t>C184203</t>
  </si>
  <si>
    <t>I102041</t>
  </si>
  <si>
    <t>C846159</t>
  </si>
  <si>
    <t>I102042</t>
  </si>
  <si>
    <t>C539103</t>
  </si>
  <si>
    <t>I102045</t>
  </si>
  <si>
    <t>C105667</t>
  </si>
  <si>
    <t>I102047</t>
  </si>
  <si>
    <t>C203711</t>
  </si>
  <si>
    <t>I102048</t>
  </si>
  <si>
    <t>C597678</t>
  </si>
  <si>
    <t>I102049</t>
  </si>
  <si>
    <t>C282234</t>
  </si>
  <si>
    <t>I102051</t>
  </si>
  <si>
    <t>C283917</t>
  </si>
  <si>
    <t>I102053</t>
  </si>
  <si>
    <t>C318494</t>
  </si>
  <si>
    <t>I102054</t>
  </si>
  <si>
    <t>C948047</t>
  </si>
  <si>
    <t>I102058</t>
  </si>
  <si>
    <t>C245703</t>
  </si>
  <si>
    <t>I102059</t>
  </si>
  <si>
    <t>C297169</t>
  </si>
  <si>
    <t>I102061</t>
  </si>
  <si>
    <t>C181574</t>
  </si>
  <si>
    <t>I102065</t>
  </si>
  <si>
    <t>C799164</t>
  </si>
  <si>
    <t>I102068</t>
  </si>
  <si>
    <t>C317485</t>
  </si>
  <si>
    <t>I102069</t>
  </si>
  <si>
    <t>C273829</t>
  </si>
  <si>
    <t>I102070</t>
  </si>
  <si>
    <t>C205475</t>
  </si>
  <si>
    <t>I102072</t>
  </si>
  <si>
    <t>C283005</t>
  </si>
  <si>
    <t>I102075</t>
  </si>
  <si>
    <t>C127805</t>
  </si>
  <si>
    <t>I102082</t>
  </si>
  <si>
    <t>C402987</t>
  </si>
  <si>
    <t>I102084</t>
  </si>
  <si>
    <t>C339822</t>
  </si>
  <si>
    <t>I102088</t>
  </si>
  <si>
    <t>C184837</t>
  </si>
  <si>
    <t>I102091</t>
  </si>
  <si>
    <t>C190233</t>
  </si>
  <si>
    <t>I102092</t>
  </si>
  <si>
    <t>C172569</t>
  </si>
  <si>
    <t>I102100</t>
  </si>
  <si>
    <t>C252261</t>
  </si>
  <si>
    <t>I102101</t>
  </si>
  <si>
    <t>C270792</t>
  </si>
  <si>
    <t>I102102</t>
  </si>
  <si>
    <t>C628484</t>
  </si>
  <si>
    <t>I102107</t>
  </si>
  <si>
    <t>C294500</t>
  </si>
  <si>
    <t>I102108</t>
  </si>
  <si>
    <t>C316403</t>
  </si>
  <si>
    <t>I102112</t>
  </si>
  <si>
    <t>C308314</t>
  </si>
  <si>
    <t>I102115</t>
  </si>
  <si>
    <t>C629211</t>
  </si>
  <si>
    <t>I102118</t>
  </si>
  <si>
    <t>C336690</t>
  </si>
  <si>
    <t>I102119</t>
  </si>
  <si>
    <t>C299453</t>
  </si>
  <si>
    <t>I102120</t>
  </si>
  <si>
    <t>C207445</t>
  </si>
  <si>
    <t>I102128</t>
  </si>
  <si>
    <t>C183134</t>
  </si>
  <si>
    <t>I102131</t>
  </si>
  <si>
    <t>C330136</t>
  </si>
  <si>
    <t>I102133</t>
  </si>
  <si>
    <t>C121237</t>
  </si>
  <si>
    <t>I102141</t>
  </si>
  <si>
    <t>C329384</t>
  </si>
  <si>
    <t>I102142</t>
  </si>
  <si>
    <t>C234980</t>
  </si>
  <si>
    <t>I102143</t>
  </si>
  <si>
    <t>C163307</t>
  </si>
  <si>
    <t>I102144</t>
  </si>
  <si>
    <t>C317414</t>
  </si>
  <si>
    <t>I102148</t>
  </si>
  <si>
    <t>C127692</t>
  </si>
  <si>
    <t>I102149</t>
  </si>
  <si>
    <t>C253677</t>
  </si>
  <si>
    <t>I102150</t>
  </si>
  <si>
    <t>C336009</t>
  </si>
  <si>
    <t>I102151</t>
  </si>
  <si>
    <t>C460226</t>
  </si>
  <si>
    <t>I102157</t>
  </si>
  <si>
    <t>C204532</t>
  </si>
  <si>
    <t>I102159</t>
  </si>
  <si>
    <t>C115523</t>
  </si>
  <si>
    <t>I102162</t>
  </si>
  <si>
    <t>C274417</t>
  </si>
  <si>
    <t>I102166</t>
  </si>
  <si>
    <t>C763155</t>
  </si>
  <si>
    <t>I102167</t>
  </si>
  <si>
    <t>C283282</t>
  </si>
  <si>
    <t>I102171</t>
  </si>
  <si>
    <t>C170678</t>
  </si>
  <si>
    <t>I102173</t>
  </si>
  <si>
    <t>C222171</t>
  </si>
  <si>
    <t>I102175</t>
  </si>
  <si>
    <t>C287261</t>
  </si>
  <si>
    <t>I102178</t>
  </si>
  <si>
    <t>C123925</t>
  </si>
  <si>
    <t>I102182</t>
  </si>
  <si>
    <t>C153009</t>
  </si>
  <si>
    <t>I102184</t>
  </si>
  <si>
    <t>C868347</t>
  </si>
  <si>
    <t>I102188</t>
  </si>
  <si>
    <t>C306087</t>
  </si>
  <si>
    <t>I102189</t>
  </si>
  <si>
    <t>C135789</t>
  </si>
  <si>
    <t>I102191</t>
  </si>
  <si>
    <t>C211798</t>
  </si>
  <si>
    <t>I102193</t>
  </si>
  <si>
    <t>C327121</t>
  </si>
  <si>
    <t>I102194</t>
  </si>
  <si>
    <t>C328882</t>
  </si>
  <si>
    <t>I102195</t>
  </si>
  <si>
    <t>C242866</t>
  </si>
  <si>
    <t>I102199</t>
  </si>
  <si>
    <t>C219898</t>
  </si>
  <si>
    <t>I102200</t>
  </si>
  <si>
    <t>C242359</t>
  </si>
  <si>
    <t>I102201</t>
  </si>
  <si>
    <t>C140670</t>
  </si>
  <si>
    <t>I102202</t>
  </si>
  <si>
    <t>C174973</t>
  </si>
  <si>
    <t>I102205</t>
  </si>
  <si>
    <t>C688295</t>
  </si>
  <si>
    <t>I102218</t>
  </si>
  <si>
    <t>C335848</t>
  </si>
  <si>
    <t>I102221</t>
  </si>
  <si>
    <t>C301581</t>
  </si>
  <si>
    <t>I102222</t>
  </si>
  <si>
    <t>C171465</t>
  </si>
  <si>
    <t>I102223</t>
  </si>
  <si>
    <t>C339595</t>
  </si>
  <si>
    <t>I102224</t>
  </si>
  <si>
    <t>C156712</t>
  </si>
  <si>
    <t>I102225</t>
  </si>
  <si>
    <t>C890104</t>
  </si>
  <si>
    <t>I102229</t>
  </si>
  <si>
    <t>C194316</t>
  </si>
  <si>
    <t>I102232</t>
  </si>
  <si>
    <t>C282538</t>
  </si>
  <si>
    <t>I102233</t>
  </si>
  <si>
    <t>C284826</t>
  </si>
  <si>
    <t>I102234</t>
  </si>
  <si>
    <t>C237184</t>
  </si>
  <si>
    <t>I102237</t>
  </si>
  <si>
    <t>C106693</t>
  </si>
  <si>
    <t>I102240</t>
  </si>
  <si>
    <t>C281387</t>
  </si>
  <si>
    <t>I102241</t>
  </si>
  <si>
    <t>C218554</t>
  </si>
  <si>
    <t>I102244</t>
  </si>
  <si>
    <t>C210214</t>
  </si>
  <si>
    <t>I102250</t>
  </si>
  <si>
    <t>C282314</t>
  </si>
  <si>
    <t>I102254</t>
  </si>
  <si>
    <t>C830416</t>
  </si>
  <si>
    <t>I102256</t>
  </si>
  <si>
    <t>C263791</t>
  </si>
  <si>
    <t>I102258</t>
  </si>
  <si>
    <t>C306120</t>
  </si>
  <si>
    <t>I102260</t>
  </si>
  <si>
    <t>C203685</t>
  </si>
  <si>
    <t>I102261</t>
  </si>
  <si>
    <t>C817162</t>
  </si>
  <si>
    <t>I102264</t>
  </si>
  <si>
    <t>C221936</t>
  </si>
  <si>
    <t>I102268</t>
  </si>
  <si>
    <t>C298559</t>
  </si>
  <si>
    <t>I102276</t>
  </si>
  <si>
    <t>C137086</t>
  </si>
  <si>
    <t>I102278</t>
  </si>
  <si>
    <t>C190867</t>
  </si>
  <si>
    <t>I102279</t>
  </si>
  <si>
    <t>C192527</t>
  </si>
  <si>
    <t>I102283</t>
  </si>
  <si>
    <t>C889444</t>
  </si>
  <si>
    <t>I102284</t>
  </si>
  <si>
    <t>C378236</t>
  </si>
  <si>
    <t>I102286</t>
  </si>
  <si>
    <t>C303985</t>
  </si>
  <si>
    <t>I102287</t>
  </si>
  <si>
    <t>C844764</t>
  </si>
  <si>
    <t>I102296</t>
  </si>
  <si>
    <t>C161661</t>
  </si>
  <si>
    <t>I102300</t>
  </si>
  <si>
    <t>C244793</t>
  </si>
  <si>
    <t>I102303</t>
  </si>
  <si>
    <t>C165489</t>
  </si>
  <si>
    <t>I102304</t>
  </si>
  <si>
    <t>C603018</t>
  </si>
  <si>
    <t>I102306</t>
  </si>
  <si>
    <t>C270038</t>
  </si>
  <si>
    <t>I102311</t>
  </si>
  <si>
    <t>C689496</t>
  </si>
  <si>
    <t>I102314</t>
  </si>
  <si>
    <t>C244044</t>
  </si>
  <si>
    <t>I102316</t>
  </si>
  <si>
    <t>C102664</t>
  </si>
  <si>
    <t>I102320</t>
  </si>
  <si>
    <t>C240298</t>
  </si>
  <si>
    <t>I102323</t>
  </si>
  <si>
    <t>C231102</t>
  </si>
  <si>
    <t>I102324</t>
  </si>
  <si>
    <t>C111343</t>
  </si>
  <si>
    <t>I102330</t>
  </si>
  <si>
    <t>C552450</t>
  </si>
  <si>
    <t>I102332</t>
  </si>
  <si>
    <t>C116250</t>
  </si>
  <si>
    <t>I102340</t>
  </si>
  <si>
    <t>C293553</t>
  </si>
  <si>
    <t>I102344</t>
  </si>
  <si>
    <t>C411285</t>
  </si>
  <si>
    <t>I102345</t>
  </si>
  <si>
    <t>C329679</t>
  </si>
  <si>
    <t>I102347</t>
  </si>
  <si>
    <t>C229953</t>
  </si>
  <si>
    <t>I102348</t>
  </si>
  <si>
    <t>C964439</t>
  </si>
  <si>
    <t>I102355</t>
  </si>
  <si>
    <t>C209984</t>
  </si>
  <si>
    <t>I102361</t>
  </si>
  <si>
    <t>C831180</t>
  </si>
  <si>
    <t>I102365</t>
  </si>
  <si>
    <t>C186468</t>
  </si>
  <si>
    <t>I102371</t>
  </si>
  <si>
    <t>C173386</t>
  </si>
  <si>
    <t>I102374</t>
  </si>
  <si>
    <t>C533960</t>
  </si>
  <si>
    <t>I102375</t>
  </si>
  <si>
    <t>C305450</t>
  </si>
  <si>
    <t>I102376</t>
  </si>
  <si>
    <t>C271700</t>
  </si>
  <si>
    <t>I102377</t>
  </si>
  <si>
    <t>C124677</t>
  </si>
  <si>
    <t>I102389</t>
  </si>
  <si>
    <t>C455912</t>
  </si>
  <si>
    <t>I102395</t>
  </si>
  <si>
    <t>C316538</t>
  </si>
  <si>
    <t>I102396</t>
  </si>
  <si>
    <t>C334331</t>
  </si>
  <si>
    <t>I102397</t>
  </si>
  <si>
    <t>C246554</t>
  </si>
  <si>
    <t>I102398</t>
  </si>
  <si>
    <t>C766818</t>
  </si>
  <si>
    <t>I102403</t>
  </si>
  <si>
    <t>C610622</t>
  </si>
  <si>
    <t>I102404</t>
  </si>
  <si>
    <t>C142061</t>
  </si>
  <si>
    <t>I102405</t>
  </si>
  <si>
    <t>C296119</t>
  </si>
  <si>
    <t>I102408</t>
  </si>
  <si>
    <t>C112153</t>
  </si>
  <si>
    <t>I102413</t>
  </si>
  <si>
    <t>C408282</t>
  </si>
  <si>
    <t>I102415</t>
  </si>
  <si>
    <t>C279084</t>
  </si>
  <si>
    <t>I102416</t>
  </si>
  <si>
    <t>C318747</t>
  </si>
  <si>
    <t>I102417</t>
  </si>
  <si>
    <t>C381679</t>
  </si>
  <si>
    <t>I102427</t>
  </si>
  <si>
    <t>C309294</t>
  </si>
  <si>
    <t>I102433</t>
  </si>
  <si>
    <t>C215256</t>
  </si>
  <si>
    <t>I102437</t>
  </si>
  <si>
    <t>C329779</t>
  </si>
  <si>
    <t>I102440</t>
  </si>
  <si>
    <t>C583660</t>
  </si>
  <si>
    <t>I102443</t>
  </si>
  <si>
    <t>C998094</t>
  </si>
  <si>
    <t>I102444</t>
  </si>
  <si>
    <t>C310499</t>
  </si>
  <si>
    <t>I102451</t>
  </si>
  <si>
    <t>C127080</t>
  </si>
  <si>
    <t>I102453</t>
  </si>
  <si>
    <t>C125666</t>
  </si>
  <si>
    <t>I102459</t>
  </si>
  <si>
    <t>C379128</t>
  </si>
  <si>
    <t>I102460</t>
  </si>
  <si>
    <t>C944064</t>
  </si>
  <si>
    <t>I102468</t>
  </si>
  <si>
    <t>C450900</t>
  </si>
  <si>
    <t>I102470</t>
  </si>
  <si>
    <t>C240359</t>
  </si>
  <si>
    <t>I102477</t>
  </si>
  <si>
    <t>C137641</t>
  </si>
  <si>
    <t>I102480</t>
  </si>
  <si>
    <t>C264394</t>
  </si>
  <si>
    <t>I102481</t>
  </si>
  <si>
    <t>C521673</t>
  </si>
  <si>
    <t>I102483</t>
  </si>
  <si>
    <t>C179176</t>
  </si>
  <si>
    <t>I102486</t>
  </si>
  <si>
    <t>C142171</t>
  </si>
  <si>
    <t>I102487</t>
  </si>
  <si>
    <t>C104393</t>
  </si>
  <si>
    <t>I102488</t>
  </si>
  <si>
    <t>C217895</t>
  </si>
  <si>
    <t>I102489</t>
  </si>
  <si>
    <t>C180255</t>
  </si>
  <si>
    <t>I102490</t>
  </si>
  <si>
    <t>C191187</t>
  </si>
  <si>
    <t>I102491</t>
  </si>
  <si>
    <t>C534732</t>
  </si>
  <si>
    <t>I102494</t>
  </si>
  <si>
    <t>C260867</t>
  </si>
  <si>
    <t>I102495</t>
  </si>
  <si>
    <t>C179897</t>
  </si>
  <si>
    <t>I102497</t>
  </si>
  <si>
    <t>C299013</t>
  </si>
  <si>
    <t>I102500</t>
  </si>
  <si>
    <t>C973474</t>
  </si>
  <si>
    <t>I102501</t>
  </si>
  <si>
    <t>C634728</t>
  </si>
  <si>
    <t>I102502</t>
  </si>
  <si>
    <t>C256344</t>
  </si>
  <si>
    <t>I102504</t>
  </si>
  <si>
    <t>C287619</t>
  </si>
  <si>
    <t>I102509</t>
  </si>
  <si>
    <t>C164347</t>
  </si>
  <si>
    <t>I102512</t>
  </si>
  <si>
    <t>C199702</t>
  </si>
  <si>
    <t>I102513</t>
  </si>
  <si>
    <t>C317824</t>
  </si>
  <si>
    <t>I102514</t>
  </si>
  <si>
    <t>C310453</t>
  </si>
  <si>
    <t>I102518</t>
  </si>
  <si>
    <t>C904918</t>
  </si>
  <si>
    <t>I102520</t>
  </si>
  <si>
    <t>C531894</t>
  </si>
  <si>
    <t>I102521</t>
  </si>
  <si>
    <t>C314327</t>
  </si>
  <si>
    <t>I102525</t>
  </si>
  <si>
    <t>C240268</t>
  </si>
  <si>
    <t>I102526</t>
  </si>
  <si>
    <t>C317197</t>
  </si>
  <si>
    <t>I102528</t>
  </si>
  <si>
    <t>C279943</t>
  </si>
  <si>
    <t>I102533</t>
  </si>
  <si>
    <t>C363843</t>
  </si>
  <si>
    <t>I102534</t>
  </si>
  <si>
    <t>C522955</t>
  </si>
  <si>
    <t>I102535</t>
  </si>
  <si>
    <t>C194716</t>
  </si>
  <si>
    <t>I102541</t>
  </si>
  <si>
    <t>C369611</t>
  </si>
  <si>
    <t>I102542</t>
  </si>
  <si>
    <t>C860947</t>
  </si>
  <si>
    <t>I102543</t>
  </si>
  <si>
    <t>C252688</t>
  </si>
  <si>
    <t>I102546</t>
  </si>
  <si>
    <t>C307847</t>
  </si>
  <si>
    <t>I102547</t>
  </si>
  <si>
    <t>C941147</t>
  </si>
  <si>
    <t>I102553</t>
  </si>
  <si>
    <t>C153282</t>
  </si>
  <si>
    <t>I102556</t>
  </si>
  <si>
    <t>C315965</t>
  </si>
  <si>
    <t>I102558</t>
  </si>
  <si>
    <t>C153506</t>
  </si>
  <si>
    <t>I102559</t>
  </si>
  <si>
    <t>C839296</t>
  </si>
  <si>
    <t>I102561</t>
  </si>
  <si>
    <t>C220525</t>
  </si>
  <si>
    <t>I102562</t>
  </si>
  <si>
    <t>C272836</t>
  </si>
  <si>
    <t>I102564</t>
  </si>
  <si>
    <t>C152318</t>
  </si>
  <si>
    <t>I102567</t>
  </si>
  <si>
    <t>C441192</t>
  </si>
  <si>
    <t>I102569</t>
  </si>
  <si>
    <t>C162413</t>
  </si>
  <si>
    <t>I102573</t>
  </si>
  <si>
    <t>C602990</t>
  </si>
  <si>
    <t>I102578</t>
  </si>
  <si>
    <t>C207183</t>
  </si>
  <si>
    <t>I102587</t>
  </si>
  <si>
    <t>C255931</t>
  </si>
  <si>
    <t>I102589</t>
  </si>
  <si>
    <t>C770363</t>
  </si>
  <si>
    <t>I102595</t>
  </si>
  <si>
    <t>C256607</t>
  </si>
  <si>
    <t>I102600</t>
  </si>
  <si>
    <t>C425591</t>
  </si>
  <si>
    <t>I102604</t>
  </si>
  <si>
    <t>C286659</t>
  </si>
  <si>
    <t>I102607</t>
  </si>
  <si>
    <t>C905205</t>
  </si>
  <si>
    <t>I102610</t>
  </si>
  <si>
    <t>C167297</t>
  </si>
  <si>
    <t>I102612</t>
  </si>
  <si>
    <t>C210929</t>
  </si>
  <si>
    <t>I102613</t>
  </si>
  <si>
    <t>C602495</t>
  </si>
  <si>
    <t>I102619</t>
  </si>
  <si>
    <t>C279714</t>
  </si>
  <si>
    <t>I102623</t>
  </si>
  <si>
    <t>C191191</t>
  </si>
  <si>
    <t>I102625</t>
  </si>
  <si>
    <t>C305261</t>
  </si>
  <si>
    <t>I102628</t>
  </si>
  <si>
    <t>C800190</t>
  </si>
  <si>
    <t>I102629</t>
  </si>
  <si>
    <t>C103453</t>
  </si>
  <si>
    <t>I102632</t>
  </si>
  <si>
    <t>C247827</t>
  </si>
  <si>
    <t>I102634</t>
  </si>
  <si>
    <t>C205293</t>
  </si>
  <si>
    <t>I102635</t>
  </si>
  <si>
    <t>C162707</t>
  </si>
  <si>
    <t>I102636</t>
  </si>
  <si>
    <t>C988123</t>
  </si>
  <si>
    <t>I102641</t>
  </si>
  <si>
    <t>C148509</t>
  </si>
  <si>
    <t>I102642</t>
  </si>
  <si>
    <t>C626080</t>
  </si>
  <si>
    <t>I102645</t>
  </si>
  <si>
    <t>C156538</t>
  </si>
  <si>
    <t>I102647</t>
  </si>
  <si>
    <t>C208778</t>
  </si>
  <si>
    <t>I102652</t>
  </si>
  <si>
    <t>C134226</t>
  </si>
  <si>
    <t>I102653</t>
  </si>
  <si>
    <t>C144135</t>
  </si>
  <si>
    <t>I102656</t>
  </si>
  <si>
    <t>C317978</t>
  </si>
  <si>
    <t>I102666</t>
  </si>
  <si>
    <t>C114925</t>
  </si>
  <si>
    <t>I102669</t>
  </si>
  <si>
    <t>C172671</t>
  </si>
  <si>
    <t>I102675</t>
  </si>
  <si>
    <t>C936544</t>
  </si>
  <si>
    <t>I102677</t>
  </si>
  <si>
    <t>C149751</t>
  </si>
  <si>
    <t>I102681</t>
  </si>
  <si>
    <t>C298900</t>
  </si>
  <si>
    <t>I102686</t>
  </si>
  <si>
    <t>C128656</t>
  </si>
  <si>
    <t>I102690</t>
  </si>
  <si>
    <t>C177682</t>
  </si>
  <si>
    <t>I102691</t>
  </si>
  <si>
    <t>C253781</t>
  </si>
  <si>
    <t>I102692</t>
  </si>
  <si>
    <t>C340001</t>
  </si>
  <si>
    <t>I102694</t>
  </si>
  <si>
    <t>C782676</t>
  </si>
  <si>
    <t>I102697</t>
  </si>
  <si>
    <t>C232551</t>
  </si>
  <si>
    <t>I102700</t>
  </si>
  <si>
    <t>C378568</t>
  </si>
  <si>
    <t>I102703</t>
  </si>
  <si>
    <t>C110600</t>
  </si>
  <si>
    <t>I102713</t>
  </si>
  <si>
    <t>C259637</t>
  </si>
  <si>
    <t>I102714</t>
  </si>
  <si>
    <t>C182058</t>
  </si>
  <si>
    <t>I102715</t>
  </si>
  <si>
    <t>C837237</t>
  </si>
  <si>
    <t>I102716</t>
  </si>
  <si>
    <t>C231411</t>
  </si>
  <si>
    <t>I102719</t>
  </si>
  <si>
    <t>C480086</t>
  </si>
  <si>
    <t>I102721</t>
  </si>
  <si>
    <t>C102359</t>
  </si>
  <si>
    <t>I102725</t>
  </si>
  <si>
    <t>C385326</t>
  </si>
  <si>
    <t>I102726</t>
  </si>
  <si>
    <t>C444281</t>
  </si>
  <si>
    <t>I102729</t>
  </si>
  <si>
    <t>C216936</t>
  </si>
  <si>
    <t>I102730</t>
  </si>
  <si>
    <t>C181990</t>
  </si>
  <si>
    <t>I102732</t>
  </si>
  <si>
    <t>C719232</t>
  </si>
  <si>
    <t>I102734</t>
  </si>
  <si>
    <t>C134006</t>
  </si>
  <si>
    <t>I102735</t>
  </si>
  <si>
    <t>C662013</t>
  </si>
  <si>
    <t>I102737</t>
  </si>
  <si>
    <t>C112982</t>
  </si>
  <si>
    <t>I102751</t>
  </si>
  <si>
    <t>C224224</t>
  </si>
  <si>
    <t>I102754</t>
  </si>
  <si>
    <t>C760072</t>
  </si>
  <si>
    <t>I102758</t>
  </si>
  <si>
    <t>C778349</t>
  </si>
  <si>
    <t>I102759</t>
  </si>
  <si>
    <t>C174415</t>
  </si>
  <si>
    <t>I102760</t>
  </si>
  <si>
    <t>C158547</t>
  </si>
  <si>
    <t>I102761</t>
  </si>
  <si>
    <t>C333330</t>
  </si>
  <si>
    <t>I102764</t>
  </si>
  <si>
    <t>C102832</t>
  </si>
  <si>
    <t>I102766</t>
  </si>
  <si>
    <t>C200431</t>
  </si>
  <si>
    <t>I102767</t>
  </si>
  <si>
    <t>C203666</t>
  </si>
  <si>
    <t>I102773</t>
  </si>
  <si>
    <t>C287506</t>
  </si>
  <si>
    <t>I102776</t>
  </si>
  <si>
    <t>C214209</t>
  </si>
  <si>
    <t>I102782</t>
  </si>
  <si>
    <t>C105352</t>
  </si>
  <si>
    <t>I102783</t>
  </si>
  <si>
    <t>C816576</t>
  </si>
  <si>
    <t>I102786</t>
  </si>
  <si>
    <t>C969271</t>
  </si>
  <si>
    <t>I102790</t>
  </si>
  <si>
    <t>C193288</t>
  </si>
  <si>
    <t>I102792</t>
  </si>
  <si>
    <t>C766287</t>
  </si>
  <si>
    <t>I102797</t>
  </si>
  <si>
    <t>C129206</t>
  </si>
  <si>
    <t>I102799</t>
  </si>
  <si>
    <t>C704920</t>
  </si>
  <si>
    <t>I102800</t>
  </si>
  <si>
    <t>C211156</t>
  </si>
  <si>
    <t>I102801</t>
  </si>
  <si>
    <t>C288748</t>
  </si>
  <si>
    <t>I102802</t>
  </si>
  <si>
    <t>C107887</t>
  </si>
  <si>
    <t>I102818</t>
  </si>
  <si>
    <t>C156505</t>
  </si>
  <si>
    <t>I102819</t>
  </si>
  <si>
    <t>C309720</t>
  </si>
  <si>
    <t>I102824</t>
  </si>
  <si>
    <t>C194938</t>
  </si>
  <si>
    <t>I102825</t>
  </si>
  <si>
    <t>C150885</t>
  </si>
  <si>
    <t>I102832</t>
  </si>
  <si>
    <t>C146777</t>
  </si>
  <si>
    <t>I102836</t>
  </si>
  <si>
    <t>C279148</t>
  </si>
  <si>
    <t>I102837</t>
  </si>
  <si>
    <t>C320088</t>
  </si>
  <si>
    <t>I102840</t>
  </si>
  <si>
    <t>C161257</t>
  </si>
  <si>
    <t>I102843</t>
  </si>
  <si>
    <t>C235737</t>
  </si>
  <si>
    <t>I102845</t>
  </si>
  <si>
    <t>C175442</t>
  </si>
  <si>
    <t>I102847</t>
  </si>
  <si>
    <t>C123536</t>
  </si>
  <si>
    <t>I102848</t>
  </si>
  <si>
    <t>C252901</t>
  </si>
  <si>
    <t>I102849</t>
  </si>
  <si>
    <t>C251633</t>
  </si>
  <si>
    <t>I102855</t>
  </si>
  <si>
    <t>C159521</t>
  </si>
  <si>
    <t>I102873</t>
  </si>
  <si>
    <t>C994454</t>
  </si>
  <si>
    <t>I102876</t>
  </si>
  <si>
    <t>C283599</t>
  </si>
  <si>
    <t>I102877</t>
  </si>
  <si>
    <t>C505213</t>
  </si>
  <si>
    <t>I102879</t>
  </si>
  <si>
    <t>C380202</t>
  </si>
  <si>
    <t>I102881</t>
  </si>
  <si>
    <t>C482255</t>
  </si>
  <si>
    <t>I102883</t>
  </si>
  <si>
    <t>C114509</t>
  </si>
  <si>
    <t>I102884</t>
  </si>
  <si>
    <t>C121907</t>
  </si>
  <si>
    <t>I102885</t>
  </si>
  <si>
    <t>C216254</t>
  </si>
  <si>
    <t>I102886</t>
  </si>
  <si>
    <t>C896170</t>
  </si>
  <si>
    <t>I102893</t>
  </si>
  <si>
    <t>C264654</t>
  </si>
  <si>
    <t>I102902</t>
  </si>
  <si>
    <t>C603291</t>
  </si>
  <si>
    <t>I102905</t>
  </si>
  <si>
    <t>C318145</t>
  </si>
  <si>
    <t>I102906</t>
  </si>
  <si>
    <t>C219499</t>
  </si>
  <si>
    <t>I102917</t>
  </si>
  <si>
    <t>C262929</t>
  </si>
  <si>
    <t>I102923</t>
  </si>
  <si>
    <t>C148421</t>
  </si>
  <si>
    <t>I102925</t>
  </si>
  <si>
    <t>C217020</t>
  </si>
  <si>
    <t>I102926</t>
  </si>
  <si>
    <t>C319883</t>
  </si>
  <si>
    <t>I102928</t>
  </si>
  <si>
    <t>C211300</t>
  </si>
  <si>
    <t>I102931</t>
  </si>
  <si>
    <t>C318182</t>
  </si>
  <si>
    <t>I102935</t>
  </si>
  <si>
    <t>C184509</t>
  </si>
  <si>
    <t>I102939</t>
  </si>
  <si>
    <t>C100110</t>
  </si>
  <si>
    <t>I102941</t>
  </si>
  <si>
    <t>C189039</t>
  </si>
  <si>
    <t>I102944</t>
  </si>
  <si>
    <t>C105025</t>
  </si>
  <si>
    <t>I102945</t>
  </si>
  <si>
    <t>C287896</t>
  </si>
  <si>
    <t>I102946</t>
  </si>
  <si>
    <t>C182144</t>
  </si>
  <si>
    <t>I102954</t>
  </si>
  <si>
    <t>C155342</t>
  </si>
  <si>
    <t>I102958</t>
  </si>
  <si>
    <t>C332958</t>
  </si>
  <si>
    <t>I102960</t>
  </si>
  <si>
    <t>C131004</t>
  </si>
  <si>
    <t>I102964</t>
  </si>
  <si>
    <t>C321846</t>
  </si>
  <si>
    <t>I102969</t>
  </si>
  <si>
    <t>C166525</t>
  </si>
  <si>
    <t>I102977</t>
  </si>
  <si>
    <t>C316330</t>
  </si>
  <si>
    <t>I102979</t>
  </si>
  <si>
    <t>C628682</t>
  </si>
  <si>
    <t>I102985</t>
  </si>
  <si>
    <t>C191792</t>
  </si>
  <si>
    <t>I102989</t>
  </si>
  <si>
    <t>C273531</t>
  </si>
  <si>
    <t>I102990</t>
  </si>
  <si>
    <t>C296573</t>
  </si>
  <si>
    <t>I102991</t>
  </si>
  <si>
    <t>C397967</t>
  </si>
  <si>
    <t>I102993</t>
  </si>
  <si>
    <t>C142692</t>
  </si>
  <si>
    <t>I102994</t>
  </si>
  <si>
    <t>C262644</t>
  </si>
  <si>
    <t>I102999</t>
  </si>
  <si>
    <t>C295992</t>
  </si>
  <si>
    <t>I103002</t>
  </si>
  <si>
    <t>C245635</t>
  </si>
  <si>
    <t>I103004</t>
  </si>
  <si>
    <t>C560575</t>
  </si>
  <si>
    <t>I103006</t>
  </si>
  <si>
    <t>C258085</t>
  </si>
  <si>
    <t>I103010</t>
  </si>
  <si>
    <t>C260917</t>
  </si>
  <si>
    <t>I103014</t>
  </si>
  <si>
    <t>C185481</t>
  </si>
  <si>
    <t>I103016</t>
  </si>
  <si>
    <t>C633152</t>
  </si>
  <si>
    <t>I103019</t>
  </si>
  <si>
    <t>C335724</t>
  </si>
  <si>
    <t>I103020</t>
  </si>
  <si>
    <t>C327792</t>
  </si>
  <si>
    <t>I103021</t>
  </si>
  <si>
    <t>C325728</t>
  </si>
  <si>
    <t>I103026</t>
  </si>
  <si>
    <t>C142823</t>
  </si>
  <si>
    <t>I103028</t>
  </si>
  <si>
    <t>C243168</t>
  </si>
  <si>
    <t>I103029</t>
  </si>
  <si>
    <t>C213516</t>
  </si>
  <si>
    <t>I103031</t>
  </si>
  <si>
    <t>C228178</t>
  </si>
  <si>
    <t>I103032</t>
  </si>
  <si>
    <t>C317778</t>
  </si>
  <si>
    <t>I103033</t>
  </si>
  <si>
    <t>C960822</t>
  </si>
  <si>
    <t>I103035</t>
  </si>
  <si>
    <t>C155712</t>
  </si>
  <si>
    <t>I103036</t>
  </si>
  <si>
    <t>C992589</t>
  </si>
  <si>
    <t>I103044</t>
  </si>
  <si>
    <t>C367741</t>
  </si>
  <si>
    <t>I103045</t>
  </si>
  <si>
    <t>C267316</t>
  </si>
  <si>
    <t>I103046</t>
  </si>
  <si>
    <t>C208145</t>
  </si>
  <si>
    <t>I103055</t>
  </si>
  <si>
    <t>C315737</t>
  </si>
  <si>
    <t>I103056</t>
  </si>
  <si>
    <t>C258161</t>
  </si>
  <si>
    <t>I103059</t>
  </si>
  <si>
    <t>C264391</t>
  </si>
  <si>
    <t>I103061</t>
  </si>
  <si>
    <t>C603549</t>
  </si>
  <si>
    <t>I103062</t>
  </si>
  <si>
    <t>C232094</t>
  </si>
  <si>
    <t>I103064</t>
  </si>
  <si>
    <t>C274479</t>
  </si>
  <si>
    <t>I103065</t>
  </si>
  <si>
    <t>C205710</t>
  </si>
  <si>
    <t>I103066</t>
  </si>
  <si>
    <t>C340003</t>
  </si>
  <si>
    <t>I103067</t>
  </si>
  <si>
    <t>C210847</t>
  </si>
  <si>
    <t>I103068</t>
  </si>
  <si>
    <t>C115494</t>
  </si>
  <si>
    <t>I103070</t>
  </si>
  <si>
    <t>C754112</t>
  </si>
  <si>
    <t>I103071</t>
  </si>
  <si>
    <t>C243412</t>
  </si>
  <si>
    <t>I103072</t>
  </si>
  <si>
    <t>C170969</t>
  </si>
  <si>
    <t>I103076</t>
  </si>
  <si>
    <t>C288406</t>
  </si>
  <si>
    <t>I103081</t>
  </si>
  <si>
    <t>C119424</t>
  </si>
  <si>
    <t>I103082</t>
  </si>
  <si>
    <t>C286580</t>
  </si>
  <si>
    <t>I103083</t>
  </si>
  <si>
    <t>C936888</t>
  </si>
  <si>
    <t>I103085</t>
  </si>
  <si>
    <t>C252697</t>
  </si>
  <si>
    <t>I103086</t>
  </si>
  <si>
    <t>C285452</t>
  </si>
  <si>
    <t>Invoice_no</t>
  </si>
  <si>
    <t>Customer_id</t>
  </si>
  <si>
    <t>Gender</t>
  </si>
  <si>
    <t>Age</t>
  </si>
  <si>
    <t>Category</t>
  </si>
  <si>
    <t>Quantity</t>
  </si>
  <si>
    <t>Price</t>
  </si>
  <si>
    <t>Payment_method</t>
  </si>
  <si>
    <t>Invoice_date</t>
  </si>
  <si>
    <t>Shopping_mall</t>
  </si>
  <si>
    <t>Revenue</t>
  </si>
  <si>
    <t>Age Group</t>
  </si>
  <si>
    <t>Sum of Revenue</t>
  </si>
  <si>
    <t>Grand Total</t>
  </si>
  <si>
    <t>Count of Invoice_no</t>
  </si>
  <si>
    <t>Sum of Quantity</t>
  </si>
  <si>
    <t>18-24</t>
  </si>
  <si>
    <t>25-34</t>
  </si>
  <si>
    <t>35-44</t>
  </si>
  <si>
    <t>45-54</t>
  </si>
  <si>
    <t>55+</t>
  </si>
  <si>
    <t>Age group</t>
  </si>
  <si>
    <t>Payment Method</t>
  </si>
  <si>
    <t>Count of Quantity</t>
  </si>
  <si>
    <t>Shopping Mall</t>
  </si>
  <si>
    <t>Customer ID</t>
  </si>
  <si>
    <t>Monthly Trend</t>
  </si>
  <si>
    <t>Yearly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</si>
</sst>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right"/>
    </xf>
  </cellXfs>
  <cellStyles count="1">
    <cellStyle name="Normal" xfId="0" builtinId="0"/>
  </cellStyles>
  <dxfs count="6">
    <dxf>
      <numFmt numFmtId="0" formatCode="General"/>
    </dxf>
    <dxf>
      <numFmt numFmtId="0" formatCode="General"/>
    </dxf>
    <dxf>
      <numFmt numFmtId="0" formatCode="General"/>
    </dxf>
    <dxf>
      <numFmt numFmtId="164" formatCode="&quot;$&quot;#,##0.0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Analysis Project.xlsx]Pivot Charts!PivotTable10</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Gender Distribution Chart </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Charts'!$B$3</c:f>
              <c:strCache>
                <c:ptCount val="1"/>
                <c:pt idx="0">
                  <c:v>Total</c:v>
                </c:pt>
              </c:strCache>
            </c:strRef>
          </c:tx>
          <c:spPr>
            <a:pattFill prst="ltUpDiag">
              <a:fgClr>
                <a:schemeClr val="accent1"/>
              </a:fgClr>
              <a:bgClr>
                <a:schemeClr val="lt1"/>
              </a:bgClr>
            </a:pattFill>
            <a:ln>
              <a:noFill/>
            </a:ln>
            <a:effectLst/>
          </c:spPr>
          <c:invertIfNegative val="0"/>
          <c:cat>
            <c:strRef>
              <c:f>'Pivot Charts'!$A$4:$A$6</c:f>
              <c:strCache>
                <c:ptCount val="2"/>
                <c:pt idx="0">
                  <c:v>Female</c:v>
                </c:pt>
                <c:pt idx="1">
                  <c:v>Male</c:v>
                </c:pt>
              </c:strCache>
            </c:strRef>
          </c:cat>
          <c:val>
            <c:numRef>
              <c:f>'Pivot Charts'!$B$4:$B$6</c:f>
              <c:numCache>
                <c:formatCode>General</c:formatCode>
                <c:ptCount val="2"/>
                <c:pt idx="0">
                  <c:v>620</c:v>
                </c:pt>
                <c:pt idx="1">
                  <c:v>380</c:v>
                </c:pt>
              </c:numCache>
            </c:numRef>
          </c:val>
          <c:extLst>
            <c:ext xmlns:c16="http://schemas.microsoft.com/office/drawing/2014/chart" uri="{C3380CC4-5D6E-409C-BE32-E72D297353CC}">
              <c16:uniqueId val="{00000000-0026-429A-8B73-AFA27F693D28}"/>
            </c:ext>
          </c:extLst>
        </c:ser>
        <c:dLbls>
          <c:showLegendKey val="0"/>
          <c:showVal val="0"/>
          <c:showCatName val="0"/>
          <c:showSerName val="0"/>
          <c:showPercent val="0"/>
          <c:showBubbleSize val="0"/>
        </c:dLbls>
        <c:gapWidth val="269"/>
        <c:overlap val="-20"/>
        <c:axId val="443745360"/>
        <c:axId val="443718000"/>
      </c:barChart>
      <c:catAx>
        <c:axId val="443745360"/>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43718000"/>
        <c:crosses val="autoZero"/>
        <c:auto val="1"/>
        <c:lblAlgn val="ctr"/>
        <c:lblOffset val="100"/>
        <c:noMultiLvlLbl val="0"/>
      </c:catAx>
      <c:valAx>
        <c:axId val="44371800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Count of Invoice_no</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4374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Analysis Project.xlsx]Pivot Charts!PivotTable2</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Product Purchased by Gender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Charts'!$E$3</c:f>
              <c:strCache>
                <c:ptCount val="1"/>
                <c:pt idx="0">
                  <c:v>Total</c:v>
                </c:pt>
              </c:strCache>
            </c:strRef>
          </c:tx>
          <c:spPr>
            <a:pattFill prst="ltUpDiag">
              <a:fgClr>
                <a:schemeClr val="accent1"/>
              </a:fgClr>
              <a:bgClr>
                <a:schemeClr val="lt1"/>
              </a:bgClr>
            </a:pattFill>
            <a:ln>
              <a:noFill/>
            </a:ln>
            <a:effectLst/>
          </c:spPr>
          <c:invertIfNegative val="0"/>
          <c:cat>
            <c:strRef>
              <c:f>'Pivot Charts'!$D$4:$D$6</c:f>
              <c:strCache>
                <c:ptCount val="2"/>
                <c:pt idx="0">
                  <c:v>Female</c:v>
                </c:pt>
                <c:pt idx="1">
                  <c:v>Male</c:v>
                </c:pt>
              </c:strCache>
            </c:strRef>
          </c:cat>
          <c:val>
            <c:numRef>
              <c:f>'Pivot Charts'!$E$4:$E$6</c:f>
              <c:numCache>
                <c:formatCode>General</c:formatCode>
                <c:ptCount val="2"/>
                <c:pt idx="0">
                  <c:v>1853</c:v>
                </c:pt>
                <c:pt idx="1">
                  <c:v>1128</c:v>
                </c:pt>
              </c:numCache>
            </c:numRef>
          </c:val>
          <c:extLst>
            <c:ext xmlns:c16="http://schemas.microsoft.com/office/drawing/2014/chart" uri="{C3380CC4-5D6E-409C-BE32-E72D297353CC}">
              <c16:uniqueId val="{00000000-3AB8-4B85-BF38-BD8A0A8E30F9}"/>
            </c:ext>
          </c:extLst>
        </c:ser>
        <c:dLbls>
          <c:showLegendKey val="0"/>
          <c:showVal val="0"/>
          <c:showCatName val="0"/>
          <c:showSerName val="0"/>
          <c:showPercent val="0"/>
          <c:showBubbleSize val="0"/>
        </c:dLbls>
        <c:gapWidth val="269"/>
        <c:overlap val="-20"/>
        <c:axId val="231887328"/>
        <c:axId val="231863328"/>
      </c:barChart>
      <c:catAx>
        <c:axId val="231887328"/>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31863328"/>
        <c:crosses val="autoZero"/>
        <c:auto val="1"/>
        <c:lblAlgn val="ctr"/>
        <c:lblOffset val="100"/>
        <c:noMultiLvlLbl val="0"/>
      </c:catAx>
      <c:valAx>
        <c:axId val="23186332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3188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Analysis Project.xlsx]Pivot Charts!PivotTable3</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 generated by Gender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Charts'!$H$3</c:f>
              <c:strCache>
                <c:ptCount val="1"/>
                <c:pt idx="0">
                  <c:v>Total</c:v>
                </c:pt>
              </c:strCache>
            </c:strRef>
          </c:tx>
          <c:spPr>
            <a:pattFill prst="ltUpDiag">
              <a:fgClr>
                <a:schemeClr val="accent1"/>
              </a:fgClr>
              <a:bgClr>
                <a:schemeClr val="lt1"/>
              </a:bgClr>
            </a:pattFill>
            <a:ln>
              <a:noFill/>
            </a:ln>
            <a:effectLst/>
          </c:spPr>
          <c:invertIfNegative val="0"/>
          <c:cat>
            <c:strRef>
              <c:f>'Pivot Charts'!$G$4:$G$6</c:f>
              <c:strCache>
                <c:ptCount val="2"/>
                <c:pt idx="0">
                  <c:v>Female</c:v>
                </c:pt>
                <c:pt idx="1">
                  <c:v>Male</c:v>
                </c:pt>
              </c:strCache>
            </c:strRef>
          </c:cat>
          <c:val>
            <c:numRef>
              <c:f>'Pivot Charts'!$H$4:$H$6</c:f>
              <c:numCache>
                <c:formatCode>"$"#,##0.0</c:formatCode>
                <c:ptCount val="2"/>
                <c:pt idx="0">
                  <c:v>1408881.1099999994</c:v>
                </c:pt>
                <c:pt idx="1">
                  <c:v>956486.65999999875</c:v>
                </c:pt>
              </c:numCache>
            </c:numRef>
          </c:val>
          <c:extLst>
            <c:ext xmlns:c16="http://schemas.microsoft.com/office/drawing/2014/chart" uri="{C3380CC4-5D6E-409C-BE32-E72D297353CC}">
              <c16:uniqueId val="{00000000-11A4-4672-9C9B-979D5F9243D6}"/>
            </c:ext>
          </c:extLst>
        </c:ser>
        <c:dLbls>
          <c:showLegendKey val="0"/>
          <c:showVal val="0"/>
          <c:showCatName val="0"/>
          <c:showSerName val="0"/>
          <c:showPercent val="0"/>
          <c:showBubbleSize val="0"/>
        </c:dLbls>
        <c:gapWidth val="269"/>
        <c:overlap val="-20"/>
        <c:axId val="584941776"/>
        <c:axId val="584929776"/>
      </c:barChart>
      <c:catAx>
        <c:axId val="58494177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84929776"/>
        <c:crosses val="autoZero"/>
        <c:auto val="1"/>
        <c:lblAlgn val="ctr"/>
        <c:lblOffset val="100"/>
        <c:noMultiLvlLbl val="0"/>
      </c:catAx>
      <c:valAx>
        <c:axId val="584929776"/>
        <c:scaling>
          <c:orientation val="minMax"/>
        </c:scaling>
        <c:delete val="0"/>
        <c:axPos val="l"/>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8494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Analysis Project.xlsx]Pivot Charts!PivotTable4</c:name>
    <c:fmtId val="1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Sales by Product Category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74759405074365"/>
          <c:y val="0.16462525517643628"/>
          <c:w val="0.56951137357830273"/>
          <c:h val="0.47831036745406824"/>
        </c:manualLayout>
      </c:layout>
      <c:barChart>
        <c:barDir val="col"/>
        <c:grouping val="clustered"/>
        <c:varyColors val="0"/>
        <c:ser>
          <c:idx val="0"/>
          <c:order val="0"/>
          <c:tx>
            <c:strRef>
              <c:f>'Pivot Charts'!$B$9</c:f>
              <c:strCache>
                <c:ptCount val="1"/>
                <c:pt idx="0">
                  <c:v>Sum of Revenue</c:v>
                </c:pt>
              </c:strCache>
            </c:strRef>
          </c:tx>
          <c:spPr>
            <a:solidFill>
              <a:schemeClr val="accent1"/>
            </a:solidFill>
            <a:ln>
              <a:noFill/>
            </a:ln>
            <a:effectLst/>
          </c:spPr>
          <c:invertIfNegative val="0"/>
          <c:cat>
            <c:strRef>
              <c:f>'Pivot Charts'!$A$10:$A$18</c:f>
              <c:strCache>
                <c:ptCount val="8"/>
                <c:pt idx="0">
                  <c:v>Books</c:v>
                </c:pt>
                <c:pt idx="1">
                  <c:v>Clothing</c:v>
                </c:pt>
                <c:pt idx="2">
                  <c:v>Cosmetics</c:v>
                </c:pt>
                <c:pt idx="3">
                  <c:v>Food &amp; Beverage</c:v>
                </c:pt>
                <c:pt idx="4">
                  <c:v>Shoes</c:v>
                </c:pt>
                <c:pt idx="5">
                  <c:v>Souvenir</c:v>
                </c:pt>
                <c:pt idx="6">
                  <c:v>Technology</c:v>
                </c:pt>
                <c:pt idx="7">
                  <c:v>Toys</c:v>
                </c:pt>
              </c:strCache>
            </c:strRef>
          </c:cat>
          <c:val>
            <c:numRef>
              <c:f>'Pivot Charts'!$B$10:$B$18</c:f>
              <c:numCache>
                <c:formatCode>"$"#,##0.0</c:formatCode>
                <c:ptCount val="8"/>
                <c:pt idx="0">
                  <c:v>10574.700000000004</c:v>
                </c:pt>
                <c:pt idx="1">
                  <c:v>1048179.439999997</c:v>
                </c:pt>
                <c:pt idx="2">
                  <c:v>69081.340000000069</c:v>
                </c:pt>
                <c:pt idx="3">
                  <c:v>6715.3199999999988</c:v>
                </c:pt>
                <c:pt idx="4">
                  <c:v>685394.14000000036</c:v>
                </c:pt>
                <c:pt idx="5">
                  <c:v>9559.9499999999989</c:v>
                </c:pt>
                <c:pt idx="6">
                  <c:v>493500</c:v>
                </c:pt>
                <c:pt idx="7">
                  <c:v>42362.879999999976</c:v>
                </c:pt>
              </c:numCache>
            </c:numRef>
          </c:val>
          <c:extLst>
            <c:ext xmlns:c16="http://schemas.microsoft.com/office/drawing/2014/chart" uri="{C3380CC4-5D6E-409C-BE32-E72D297353CC}">
              <c16:uniqueId val="{00000000-9AFF-4D4D-BF2D-3A4B576AFB42}"/>
            </c:ext>
          </c:extLst>
        </c:ser>
        <c:ser>
          <c:idx val="1"/>
          <c:order val="1"/>
          <c:tx>
            <c:strRef>
              <c:f>'Pivot Charts'!$C$9</c:f>
              <c:strCache>
                <c:ptCount val="1"/>
                <c:pt idx="0">
                  <c:v>Count of Quantity</c:v>
                </c:pt>
              </c:strCache>
            </c:strRef>
          </c:tx>
          <c:spPr>
            <a:solidFill>
              <a:schemeClr val="accent2"/>
            </a:solidFill>
            <a:ln>
              <a:noFill/>
            </a:ln>
            <a:effectLst/>
          </c:spPr>
          <c:invertIfNegative val="0"/>
          <c:cat>
            <c:strRef>
              <c:f>'Pivot Charts'!$A$10:$A$18</c:f>
              <c:strCache>
                <c:ptCount val="8"/>
                <c:pt idx="0">
                  <c:v>Books</c:v>
                </c:pt>
                <c:pt idx="1">
                  <c:v>Clothing</c:v>
                </c:pt>
                <c:pt idx="2">
                  <c:v>Cosmetics</c:v>
                </c:pt>
                <c:pt idx="3">
                  <c:v>Food &amp; Beverage</c:v>
                </c:pt>
                <c:pt idx="4">
                  <c:v>Shoes</c:v>
                </c:pt>
                <c:pt idx="5">
                  <c:v>Souvenir</c:v>
                </c:pt>
                <c:pt idx="6">
                  <c:v>Technology</c:v>
                </c:pt>
                <c:pt idx="7">
                  <c:v>Toys</c:v>
                </c:pt>
              </c:strCache>
            </c:strRef>
          </c:cat>
          <c:val>
            <c:numRef>
              <c:f>'Pivot Charts'!$C$10:$C$18</c:f>
              <c:numCache>
                <c:formatCode>General</c:formatCode>
                <c:ptCount val="8"/>
                <c:pt idx="0">
                  <c:v>67</c:v>
                </c:pt>
                <c:pt idx="1">
                  <c:v>338</c:v>
                </c:pt>
                <c:pt idx="2">
                  <c:v>155</c:v>
                </c:pt>
                <c:pt idx="3">
                  <c:v>125</c:v>
                </c:pt>
                <c:pt idx="4">
                  <c:v>103</c:v>
                </c:pt>
                <c:pt idx="5">
                  <c:v>66</c:v>
                </c:pt>
                <c:pt idx="6">
                  <c:v>42</c:v>
                </c:pt>
                <c:pt idx="7">
                  <c:v>104</c:v>
                </c:pt>
              </c:numCache>
            </c:numRef>
          </c:val>
          <c:extLst>
            <c:ext xmlns:c16="http://schemas.microsoft.com/office/drawing/2014/chart" uri="{C3380CC4-5D6E-409C-BE32-E72D297353CC}">
              <c16:uniqueId val="{00000001-9AFF-4D4D-BF2D-3A4B576AFB42}"/>
            </c:ext>
          </c:extLst>
        </c:ser>
        <c:dLbls>
          <c:showLegendKey val="0"/>
          <c:showVal val="0"/>
          <c:showCatName val="0"/>
          <c:showSerName val="0"/>
          <c:showPercent val="0"/>
          <c:showBubbleSize val="0"/>
        </c:dLbls>
        <c:gapWidth val="267"/>
        <c:overlap val="-43"/>
        <c:axId val="584930256"/>
        <c:axId val="584936496"/>
      </c:barChart>
      <c:catAx>
        <c:axId val="58493025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84936496"/>
        <c:crosses val="autoZero"/>
        <c:auto val="1"/>
        <c:lblAlgn val="ctr"/>
        <c:lblOffset val="100"/>
        <c:noMultiLvlLbl val="0"/>
      </c:catAx>
      <c:valAx>
        <c:axId val="584936496"/>
        <c:scaling>
          <c:orientation val="minMax"/>
        </c:scaling>
        <c:delete val="0"/>
        <c:axPos val="l"/>
        <c:majorGridlines>
          <c:spPr>
            <a:ln w="9525" cap="flat" cmpd="sng" algn="ctr">
              <a:solidFill>
                <a:schemeClr val="dk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8493025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Analysis Project.xlsx]Pivot Charts!PivotTable8</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Payment Method Distribution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s>
    <c:plotArea>
      <c:layout/>
      <c:pieChart>
        <c:varyColors val="1"/>
        <c:ser>
          <c:idx val="0"/>
          <c:order val="0"/>
          <c:tx>
            <c:strRef>
              <c:f>'Pivot Charts'!$E$21</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4869-43D3-9D9C-675AE3B496FB}"/>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4869-43D3-9D9C-675AE3B496FB}"/>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4869-43D3-9D9C-675AE3B496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Charts'!$D$22:$D$25</c:f>
              <c:strCache>
                <c:ptCount val="3"/>
                <c:pt idx="0">
                  <c:v>Cash</c:v>
                </c:pt>
                <c:pt idx="1">
                  <c:v>Credit Card</c:v>
                </c:pt>
                <c:pt idx="2">
                  <c:v>Debit Card</c:v>
                </c:pt>
              </c:strCache>
            </c:strRef>
          </c:cat>
          <c:val>
            <c:numRef>
              <c:f>'Pivot Charts'!$E$22:$E$25</c:f>
              <c:numCache>
                <c:formatCode>General</c:formatCode>
                <c:ptCount val="3"/>
                <c:pt idx="0">
                  <c:v>420</c:v>
                </c:pt>
                <c:pt idx="1">
                  <c:v>366</c:v>
                </c:pt>
                <c:pt idx="2">
                  <c:v>214</c:v>
                </c:pt>
              </c:numCache>
            </c:numRef>
          </c:val>
          <c:extLst>
            <c:ext xmlns:c16="http://schemas.microsoft.com/office/drawing/2014/chart" uri="{C3380CC4-5D6E-409C-BE32-E72D297353CC}">
              <c16:uniqueId val="{00000006-4869-43D3-9D9C-675AE3B496FB}"/>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Analysis Project.xlsx]Pivot Charts!PivotTable5</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Shopping Distribution by Age Group</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Charts'!$F$9</c:f>
              <c:strCache>
                <c:ptCount val="1"/>
                <c:pt idx="0">
                  <c:v>Total</c:v>
                </c:pt>
              </c:strCache>
            </c:strRef>
          </c:tx>
          <c:spPr>
            <a:pattFill prst="ltUpDiag">
              <a:fgClr>
                <a:schemeClr val="accent1"/>
              </a:fgClr>
              <a:bgClr>
                <a:schemeClr val="lt1"/>
              </a:bgClr>
            </a:pattFill>
            <a:ln>
              <a:noFill/>
            </a:ln>
            <a:effectLst/>
          </c:spPr>
          <c:invertIfNegative val="0"/>
          <c:cat>
            <c:strRef>
              <c:f>'Pivot Charts'!$E$10:$E$15</c:f>
              <c:strCache>
                <c:ptCount val="5"/>
                <c:pt idx="0">
                  <c:v>18-24</c:v>
                </c:pt>
                <c:pt idx="1">
                  <c:v>25-34</c:v>
                </c:pt>
                <c:pt idx="2">
                  <c:v>35-44</c:v>
                </c:pt>
                <c:pt idx="3">
                  <c:v>45-54</c:v>
                </c:pt>
                <c:pt idx="4">
                  <c:v>55+</c:v>
                </c:pt>
              </c:strCache>
            </c:strRef>
          </c:cat>
          <c:val>
            <c:numRef>
              <c:f>'Pivot Charts'!$F$10:$F$15</c:f>
              <c:numCache>
                <c:formatCode>General</c:formatCode>
                <c:ptCount val="5"/>
                <c:pt idx="0">
                  <c:v>17</c:v>
                </c:pt>
                <c:pt idx="1">
                  <c:v>16</c:v>
                </c:pt>
                <c:pt idx="2">
                  <c:v>20</c:v>
                </c:pt>
                <c:pt idx="3">
                  <c:v>22</c:v>
                </c:pt>
                <c:pt idx="4">
                  <c:v>33</c:v>
                </c:pt>
              </c:numCache>
            </c:numRef>
          </c:val>
          <c:extLst>
            <c:ext xmlns:c16="http://schemas.microsoft.com/office/drawing/2014/chart" uri="{C3380CC4-5D6E-409C-BE32-E72D297353CC}">
              <c16:uniqueId val="{00000000-FA91-4097-92F8-9A6CB6152C31}"/>
            </c:ext>
          </c:extLst>
        </c:ser>
        <c:dLbls>
          <c:showLegendKey val="0"/>
          <c:showVal val="0"/>
          <c:showCatName val="0"/>
          <c:showSerName val="0"/>
          <c:showPercent val="0"/>
          <c:showBubbleSize val="0"/>
        </c:dLbls>
        <c:gapWidth val="269"/>
        <c:overlap val="-20"/>
        <c:axId val="584979216"/>
        <c:axId val="584980176"/>
      </c:barChart>
      <c:catAx>
        <c:axId val="58497921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84980176"/>
        <c:crosses val="autoZero"/>
        <c:auto val="1"/>
        <c:lblAlgn val="ctr"/>
        <c:lblOffset val="100"/>
        <c:noMultiLvlLbl val="0"/>
      </c:catAx>
      <c:valAx>
        <c:axId val="584980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8497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Analysis Project.xlsx]Pivot Charts!PivotTable13</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	Sales by Shopping Mall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a:noFill/>
          </a:ln>
          <a:effectLst/>
        </c:spPr>
        <c:marker>
          <c:symbol val="none"/>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pattFill prst="ltUpDiag">
            <a:fgClr>
              <a:schemeClr val="accent1"/>
            </a:fgClr>
            <a:bgClr>
              <a:schemeClr val="lt1"/>
            </a:bgClr>
          </a:pattFill>
          <a:ln>
            <a:noFill/>
          </a:ln>
          <a:effectLst/>
        </c:spPr>
        <c:marker>
          <c:symbol val="none"/>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pattFill prst="ltUpDiag">
            <a:fgClr>
              <a:schemeClr val="accent1"/>
            </a:fgClr>
            <a:bgClr>
              <a:schemeClr val="lt1"/>
            </a:bgClr>
          </a:pattFill>
          <a:ln>
            <a:noFill/>
          </a:ln>
          <a:effectLst/>
        </c:spPr>
        <c:marker>
          <c:symbol val="none"/>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pattFill prst="ltUpDiag">
            <a:fgClr>
              <a:schemeClr val="accent1"/>
            </a:fgClr>
            <a:bgClr>
              <a:schemeClr val="lt1"/>
            </a:bgClr>
          </a:pattFill>
          <a:ln>
            <a:noFill/>
          </a:ln>
          <a:effectLst/>
        </c:spPr>
        <c:marker>
          <c:symbol val="none"/>
        </c:marke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pattFill prst="ltUpDiag">
            <a:fgClr>
              <a:schemeClr val="accent1"/>
            </a:fgClr>
            <a:bgClr>
              <a:schemeClr val="lt1"/>
            </a:bgClr>
          </a:pattFill>
          <a:ln>
            <a:noFill/>
          </a:ln>
          <a:effectLst/>
        </c:spPr>
        <c:marker>
          <c:symbol val="none"/>
        </c:marker>
        <c:dLbl>
          <c:idx val="0"/>
          <c:spPr>
            <a:solidFill>
              <a:srgbClr val="A02B93">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pattFill prst="ltUpDiag">
            <a:fgClr>
              <a:schemeClr val="accent1"/>
            </a:fgClr>
            <a:bgClr>
              <a:schemeClr val="lt1"/>
            </a:bgClr>
          </a:pattFill>
          <a:ln>
            <a:noFill/>
          </a:ln>
          <a:effectLst/>
        </c:spPr>
        <c:marker>
          <c:symbol val="none"/>
        </c:marker>
        <c:dLbl>
          <c:idx val="0"/>
          <c:spPr>
            <a:solidFill>
              <a:srgbClr val="4EA72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pattFill prst="ltUpDiag">
            <a:fgClr>
              <a:schemeClr val="accent1"/>
            </a:fgClr>
            <a:bgClr>
              <a:schemeClr val="lt1"/>
            </a:bgClr>
          </a:pattFill>
          <a:ln>
            <a:noFill/>
          </a:ln>
          <a:effectLst/>
        </c:spPr>
        <c:marker>
          <c:symbol val="none"/>
        </c:marker>
        <c:dLbl>
          <c:idx val="0"/>
          <c:spPr>
            <a:solidFill>
              <a:srgbClr val="156082">
                <a:lumMod val="6000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pattFill prst="ltUpDiag">
            <a:fgClr>
              <a:schemeClr val="accent1"/>
            </a:fgClr>
            <a:bgClr>
              <a:schemeClr val="lt1"/>
            </a:bgClr>
          </a:pattFill>
          <a:ln>
            <a:noFill/>
          </a:ln>
          <a:effectLst/>
        </c:spPr>
        <c:marker>
          <c:symbol val="none"/>
        </c:marker>
        <c:dLbl>
          <c:idx val="0"/>
          <c:spPr>
            <a:solidFill>
              <a:srgbClr val="E97132">
                <a:lumMod val="6000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pattFill prst="ltUpDiag">
            <a:fgClr>
              <a:schemeClr val="accent1"/>
            </a:fgClr>
            <a:bgClr>
              <a:schemeClr val="lt1"/>
            </a:bgClr>
          </a:pattFill>
          <a:ln>
            <a:noFill/>
          </a:ln>
          <a:effectLst/>
        </c:spPr>
        <c:marker>
          <c:symbol val="none"/>
        </c:marker>
        <c:dLbl>
          <c:idx val="0"/>
          <c:spPr>
            <a:solidFill>
              <a:srgbClr val="196B24">
                <a:lumMod val="6000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pattFill prst="ltUpDiag">
            <a:fgClr>
              <a:schemeClr val="accent1"/>
            </a:fgClr>
            <a:bgClr>
              <a:schemeClr val="lt1"/>
            </a:bgClr>
          </a:pattFill>
          <a:ln>
            <a:noFill/>
          </a:ln>
          <a:effectLst/>
        </c:spPr>
        <c:marker>
          <c:symbol val="none"/>
        </c:marker>
        <c:dLbl>
          <c:idx val="0"/>
          <c:spPr>
            <a:solidFill>
              <a:srgbClr val="0F9ED5">
                <a:lumMod val="6000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pattFill prst="ltUpDiag">
            <a:fgClr>
              <a:schemeClr val="accent1"/>
            </a:fgClr>
            <a:bgClr>
              <a:schemeClr val="lt1"/>
            </a:bgClr>
          </a:pattFill>
          <a:ln>
            <a:noFill/>
          </a:ln>
          <a:effectLst/>
        </c:spPr>
        <c:marker>
          <c:symbol val="none"/>
        </c:marker>
        <c:dLbl>
          <c:idx val="0"/>
          <c:spPr>
            <a:solidFill>
              <a:srgbClr val="A02B93">
                <a:lumMod val="6000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pattFill prst="ltUpDiag">
            <a:fgClr>
              <a:schemeClr val="accent1"/>
            </a:fgClr>
            <a:bgClr>
              <a:schemeClr val="lt1"/>
            </a:bgClr>
          </a:pattFill>
          <a:ln>
            <a:noFill/>
          </a:ln>
          <a:effectLst/>
        </c:spPr>
        <c:marker>
          <c:symbol val="none"/>
        </c:marker>
        <c:dLbl>
          <c:idx val="0"/>
          <c:spPr>
            <a:solidFill>
              <a:srgbClr val="4EA72E">
                <a:lumMod val="6000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pattFill prst="ltUpDiag">
            <a:fgClr>
              <a:schemeClr val="accent1"/>
            </a:fgClr>
            <a:bgClr>
              <a:schemeClr val="lt1"/>
            </a:bgClr>
          </a:pattFill>
          <a:ln>
            <a:noFill/>
          </a:ln>
          <a:effectLst/>
        </c:spPr>
        <c:marker>
          <c:symbol val="none"/>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pattFill prst="ltUpDiag">
            <a:fgClr>
              <a:schemeClr val="accent1"/>
            </a:fgClr>
            <a:bgClr>
              <a:schemeClr val="lt1"/>
            </a:bgClr>
          </a:pattFill>
          <a:ln>
            <a:noFill/>
          </a:ln>
          <a:effectLst/>
        </c:spPr>
        <c:marker>
          <c:symbol val="none"/>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pattFill prst="ltUpDiag">
            <a:fgClr>
              <a:schemeClr val="accent1"/>
            </a:fgClr>
            <a:bgClr>
              <a:schemeClr val="lt1"/>
            </a:bgClr>
          </a:pattFill>
          <a:ln>
            <a:noFill/>
          </a:ln>
          <a:effectLst/>
        </c:spPr>
        <c:marker>
          <c:symbol val="none"/>
        </c:marke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pattFill prst="ltUpDiag">
            <a:fgClr>
              <a:schemeClr val="accent1"/>
            </a:fgClr>
            <a:bgClr>
              <a:schemeClr val="lt1"/>
            </a:bgClr>
          </a:pattFill>
          <a:ln>
            <a:noFill/>
          </a:ln>
          <a:effectLst/>
        </c:spPr>
        <c:marker>
          <c:symbol val="none"/>
        </c:marker>
        <c:dLbl>
          <c:idx val="0"/>
          <c:spPr>
            <a:solidFill>
              <a:srgbClr val="A02B93">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pattFill prst="ltUpDiag">
            <a:fgClr>
              <a:schemeClr val="accent1"/>
            </a:fgClr>
            <a:bgClr>
              <a:schemeClr val="lt1"/>
            </a:bgClr>
          </a:pattFill>
          <a:ln>
            <a:noFill/>
          </a:ln>
          <a:effectLst/>
        </c:spPr>
        <c:marker>
          <c:symbol val="none"/>
        </c:marker>
        <c:dLbl>
          <c:idx val="0"/>
          <c:spPr>
            <a:solidFill>
              <a:srgbClr val="4EA72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pattFill prst="ltUpDiag">
            <a:fgClr>
              <a:schemeClr val="accent1"/>
            </a:fgClr>
            <a:bgClr>
              <a:schemeClr val="lt1"/>
            </a:bgClr>
          </a:pattFill>
          <a:ln>
            <a:noFill/>
          </a:ln>
          <a:effectLst/>
        </c:spPr>
        <c:marker>
          <c:symbol val="none"/>
        </c:marker>
        <c:dLbl>
          <c:idx val="0"/>
          <c:spPr>
            <a:solidFill>
              <a:srgbClr val="156082">
                <a:lumMod val="6000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pattFill prst="ltUpDiag">
            <a:fgClr>
              <a:schemeClr val="accent1"/>
            </a:fgClr>
            <a:bgClr>
              <a:schemeClr val="lt1"/>
            </a:bgClr>
          </a:pattFill>
          <a:ln>
            <a:noFill/>
          </a:ln>
          <a:effectLst/>
        </c:spPr>
        <c:marker>
          <c:symbol val="none"/>
        </c:marker>
        <c:dLbl>
          <c:idx val="0"/>
          <c:spPr>
            <a:solidFill>
              <a:srgbClr val="E97132">
                <a:lumMod val="6000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pattFill prst="ltUpDiag">
            <a:fgClr>
              <a:schemeClr val="accent1"/>
            </a:fgClr>
            <a:bgClr>
              <a:schemeClr val="lt1"/>
            </a:bgClr>
          </a:pattFill>
          <a:ln>
            <a:noFill/>
          </a:ln>
          <a:effectLst/>
        </c:spPr>
        <c:marker>
          <c:symbol val="none"/>
        </c:marker>
        <c:dLbl>
          <c:idx val="0"/>
          <c:spPr>
            <a:solidFill>
              <a:srgbClr val="196B24">
                <a:lumMod val="6000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pattFill prst="ltUpDiag">
            <a:fgClr>
              <a:schemeClr val="accent1"/>
            </a:fgClr>
            <a:bgClr>
              <a:schemeClr val="lt1"/>
            </a:bgClr>
          </a:pattFill>
          <a:ln>
            <a:noFill/>
          </a:ln>
          <a:effectLst/>
        </c:spPr>
        <c:marker>
          <c:symbol val="none"/>
        </c:marker>
        <c:dLbl>
          <c:idx val="0"/>
          <c:spPr>
            <a:solidFill>
              <a:srgbClr val="0F9ED5">
                <a:lumMod val="6000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pattFill prst="ltUpDiag">
            <a:fgClr>
              <a:schemeClr val="accent1"/>
            </a:fgClr>
            <a:bgClr>
              <a:schemeClr val="lt1"/>
            </a:bgClr>
          </a:pattFill>
          <a:ln>
            <a:noFill/>
          </a:ln>
          <a:effectLst/>
        </c:spPr>
        <c:marker>
          <c:symbol val="none"/>
        </c:marker>
        <c:dLbl>
          <c:idx val="0"/>
          <c:spPr>
            <a:solidFill>
              <a:srgbClr val="A02B93">
                <a:lumMod val="6000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pattFill prst="ltUpDiag">
            <a:fgClr>
              <a:schemeClr val="accent1"/>
            </a:fgClr>
            <a:bgClr>
              <a:schemeClr val="lt1"/>
            </a:bgClr>
          </a:pattFill>
          <a:ln>
            <a:noFill/>
          </a:ln>
          <a:effectLst/>
        </c:spPr>
        <c:marker>
          <c:symbol val="none"/>
        </c:marker>
        <c:dLbl>
          <c:idx val="0"/>
          <c:spPr>
            <a:solidFill>
              <a:srgbClr val="4EA72E">
                <a:lumMod val="6000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pattFill prst="ltUpDiag">
            <a:fgClr>
              <a:schemeClr val="accent1"/>
            </a:fgClr>
            <a:bgClr>
              <a:schemeClr val="lt1"/>
            </a:bgClr>
          </a:pattFill>
          <a:ln>
            <a:noFill/>
          </a:ln>
          <a:effectLst/>
        </c:spPr>
        <c:marker>
          <c:symbol val="none"/>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Charts'!$B$30</c:f>
              <c:strCache>
                <c:ptCount val="1"/>
                <c:pt idx="0">
                  <c:v>Total</c:v>
                </c:pt>
              </c:strCache>
            </c:strRef>
          </c:tx>
          <c:spPr>
            <a:pattFill prst="ltUpDiag">
              <a:fgClr>
                <a:schemeClr val="accent1"/>
              </a:fgClr>
              <a:bgClr>
                <a:schemeClr val="lt1"/>
              </a:bgClr>
            </a:pattFill>
            <a:ln>
              <a:noFill/>
            </a:ln>
            <a:effectLst/>
          </c:spPr>
          <c:invertIfNegative val="0"/>
          <c:cat>
            <c:strRef>
              <c:f>'Pivot Charts'!$A$31:$A$41</c:f>
              <c:strCache>
                <c:ptCount val="10"/>
                <c:pt idx="0">
                  <c:v>Cevahir AVM</c:v>
                </c:pt>
                <c:pt idx="1">
                  <c:v>Emaar Square Mall</c:v>
                </c:pt>
                <c:pt idx="2">
                  <c:v>Forum Istanbul</c:v>
                </c:pt>
                <c:pt idx="3">
                  <c:v>Istinye Park</c:v>
                </c:pt>
                <c:pt idx="4">
                  <c:v>Kanyon</c:v>
                </c:pt>
                <c:pt idx="5">
                  <c:v>Mall of Istanbul</c:v>
                </c:pt>
                <c:pt idx="6">
                  <c:v>Metrocity</c:v>
                </c:pt>
                <c:pt idx="7">
                  <c:v>Metropol AVM</c:v>
                </c:pt>
                <c:pt idx="8">
                  <c:v>Viaport Outlet</c:v>
                </c:pt>
                <c:pt idx="9">
                  <c:v>Zorlu Center</c:v>
                </c:pt>
              </c:strCache>
            </c:strRef>
          </c:cat>
          <c:val>
            <c:numRef>
              <c:f>'Pivot Charts'!$B$31:$B$41</c:f>
              <c:numCache>
                <c:formatCode>General</c:formatCode>
                <c:ptCount val="10"/>
                <c:pt idx="0">
                  <c:v>51</c:v>
                </c:pt>
                <c:pt idx="1">
                  <c:v>53</c:v>
                </c:pt>
                <c:pt idx="2">
                  <c:v>43</c:v>
                </c:pt>
                <c:pt idx="3">
                  <c:v>96</c:v>
                </c:pt>
                <c:pt idx="4">
                  <c:v>195</c:v>
                </c:pt>
                <c:pt idx="5">
                  <c:v>206</c:v>
                </c:pt>
                <c:pt idx="6">
                  <c:v>162</c:v>
                </c:pt>
                <c:pt idx="7">
                  <c:v>95</c:v>
                </c:pt>
                <c:pt idx="8">
                  <c:v>53</c:v>
                </c:pt>
                <c:pt idx="9">
                  <c:v>46</c:v>
                </c:pt>
              </c:numCache>
            </c:numRef>
          </c:val>
          <c:extLst>
            <c:ext xmlns:c16="http://schemas.microsoft.com/office/drawing/2014/chart" uri="{C3380CC4-5D6E-409C-BE32-E72D297353CC}">
              <c16:uniqueId val="{0000006A-DCDF-4D04-9BE8-74FB9C238EC8}"/>
            </c:ext>
          </c:extLst>
        </c:ser>
        <c:dLbls>
          <c:showLegendKey val="0"/>
          <c:showVal val="0"/>
          <c:showCatName val="0"/>
          <c:showSerName val="0"/>
          <c:showPercent val="0"/>
          <c:showBubbleSize val="0"/>
        </c:dLbls>
        <c:gapWidth val="269"/>
        <c:overlap val="-20"/>
        <c:axId val="118057535"/>
        <c:axId val="118076735"/>
      </c:barChart>
      <c:catAx>
        <c:axId val="11805753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8076735"/>
        <c:crosses val="autoZero"/>
        <c:auto val="1"/>
        <c:lblAlgn val="ctr"/>
        <c:lblOffset val="100"/>
        <c:noMultiLvlLbl val="0"/>
      </c:catAx>
      <c:valAx>
        <c:axId val="118076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805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 Analysis Project.xlsx]Pivot Charts!PivotTable17</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Yearly Revenue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580927384077"/>
          <c:y val="0.2993011811023622"/>
          <c:w val="0.64414523184601924"/>
          <c:h val="0.46117782152230974"/>
        </c:manualLayout>
      </c:layout>
      <c:lineChart>
        <c:grouping val="standard"/>
        <c:varyColors val="0"/>
        <c:ser>
          <c:idx val="0"/>
          <c:order val="0"/>
          <c:tx>
            <c:strRef>
              <c:f>'Pivot Charts'!$E$30</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Charts'!$D$31:$D$34</c:f>
              <c:strCache>
                <c:ptCount val="3"/>
                <c:pt idx="0">
                  <c:v>2021</c:v>
                </c:pt>
                <c:pt idx="1">
                  <c:v>2022</c:v>
                </c:pt>
                <c:pt idx="2">
                  <c:v>2023</c:v>
                </c:pt>
              </c:strCache>
            </c:strRef>
          </c:cat>
          <c:val>
            <c:numRef>
              <c:f>'Pivot Charts'!$E$31:$E$34</c:f>
              <c:numCache>
                <c:formatCode>"$"#,##0.00</c:formatCode>
                <c:ptCount val="3"/>
                <c:pt idx="0">
                  <c:v>982280.00999999931</c:v>
                </c:pt>
                <c:pt idx="1">
                  <c:v>1229548.0499999993</c:v>
                </c:pt>
                <c:pt idx="2">
                  <c:v>153539.71000000005</c:v>
                </c:pt>
              </c:numCache>
            </c:numRef>
          </c:val>
          <c:smooth val="0"/>
          <c:extLst>
            <c:ext xmlns:c16="http://schemas.microsoft.com/office/drawing/2014/chart" uri="{C3380CC4-5D6E-409C-BE32-E72D297353CC}">
              <c16:uniqueId val="{00000000-7681-4E19-BA9F-E2EE6FA3520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6565423"/>
        <c:axId val="46577423"/>
      </c:lineChart>
      <c:catAx>
        <c:axId val="4656542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6577423"/>
        <c:crosses val="autoZero"/>
        <c:auto val="1"/>
        <c:lblAlgn val="ctr"/>
        <c:lblOffset val="100"/>
        <c:noMultiLvlLbl val="0"/>
      </c:catAx>
      <c:valAx>
        <c:axId val="46577423"/>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656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xdr:colOff>
      <xdr:row>4</xdr:row>
      <xdr:rowOff>14287</xdr:rowOff>
    </xdr:from>
    <xdr:to>
      <xdr:col>7</xdr:col>
      <xdr:colOff>209550</xdr:colOff>
      <xdr:row>18</xdr:row>
      <xdr:rowOff>90487</xdr:rowOff>
    </xdr:to>
    <xdr:graphicFrame macro="">
      <xdr:nvGraphicFramePr>
        <xdr:cNvPr id="2" name="Chart 1">
          <a:extLst>
            <a:ext uri="{FF2B5EF4-FFF2-40B4-BE49-F238E27FC236}">
              <a16:creationId xmlns:a16="http://schemas.microsoft.com/office/drawing/2014/main" id="{AD471236-BAD6-D792-9EE5-6CDF717A3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114300</xdr:colOff>
      <xdr:row>4</xdr:row>
      <xdr:rowOff>10755</xdr:rowOff>
    </xdr:from>
    <xdr:to>
      <xdr:col>15</xdr:col>
      <xdr:colOff>136116</xdr:colOff>
      <xdr:row>18</xdr:row>
      <xdr:rowOff>9525</xdr:rowOff>
    </xdr:to>
    <xdr:graphicFrame macro="">
      <xdr:nvGraphicFramePr>
        <xdr:cNvPr id="3" name="Chart 3">
          <a:extLst>
            <a:ext uri="{FF2B5EF4-FFF2-40B4-BE49-F238E27FC236}">
              <a16:creationId xmlns:a16="http://schemas.microsoft.com/office/drawing/2014/main" id="{64130B5B-6675-FE48-0E87-089D98074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23812</xdr:rowOff>
    </xdr:from>
    <xdr:to>
      <xdr:col>7</xdr:col>
      <xdr:colOff>200025</xdr:colOff>
      <xdr:row>37</xdr:row>
      <xdr:rowOff>100012</xdr:rowOff>
    </xdr:to>
    <xdr:graphicFrame macro="">
      <xdr:nvGraphicFramePr>
        <xdr:cNvPr id="4" name="Chart 4">
          <a:extLst>
            <a:ext uri="{FF2B5EF4-FFF2-40B4-BE49-F238E27FC236}">
              <a16:creationId xmlns:a16="http://schemas.microsoft.com/office/drawing/2014/main" id="{80200691-A939-1ED2-73C3-23502BEAF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600075</xdr:colOff>
      <xdr:row>23</xdr:row>
      <xdr:rowOff>23812</xdr:rowOff>
    </xdr:from>
    <xdr:to>
      <xdr:col>15</xdr:col>
      <xdr:colOff>47625</xdr:colOff>
      <xdr:row>37</xdr:row>
      <xdr:rowOff>100012</xdr:rowOff>
    </xdr:to>
    <xdr:graphicFrame macro="">
      <xdr:nvGraphicFramePr>
        <xdr:cNvPr id="5" name="Chart 5">
          <a:extLst>
            <a:ext uri="{FF2B5EF4-FFF2-40B4-BE49-F238E27FC236}">
              <a16:creationId xmlns:a16="http://schemas.microsoft.com/office/drawing/2014/main" id="{D9A163D7-8616-1075-839F-C0BEAFBC7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41</xdr:row>
      <xdr:rowOff>14287</xdr:rowOff>
    </xdr:from>
    <xdr:to>
      <xdr:col>7</xdr:col>
      <xdr:colOff>200025</xdr:colOff>
      <xdr:row>55</xdr:row>
      <xdr:rowOff>90487</xdr:rowOff>
    </xdr:to>
    <xdr:graphicFrame macro="">
      <xdr:nvGraphicFramePr>
        <xdr:cNvPr id="6" name="Chart 6">
          <a:extLst>
            <a:ext uri="{FF2B5EF4-FFF2-40B4-BE49-F238E27FC236}">
              <a16:creationId xmlns:a16="http://schemas.microsoft.com/office/drawing/2014/main" id="{65303EF7-2970-5EB2-921A-F8D9B0ED5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41</xdr:row>
      <xdr:rowOff>4762</xdr:rowOff>
    </xdr:from>
    <xdr:to>
      <xdr:col>15</xdr:col>
      <xdr:colOff>304800</xdr:colOff>
      <xdr:row>55</xdr:row>
      <xdr:rowOff>80962</xdr:rowOff>
    </xdr:to>
    <xdr:graphicFrame macro="">
      <xdr:nvGraphicFramePr>
        <xdr:cNvPr id="7" name="Chart 11">
          <a:extLst>
            <a:ext uri="{FF2B5EF4-FFF2-40B4-BE49-F238E27FC236}">
              <a16:creationId xmlns:a16="http://schemas.microsoft.com/office/drawing/2014/main" id="{B04E2E61-FA56-30FA-9F34-4537FC0BA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58</xdr:row>
      <xdr:rowOff>185737</xdr:rowOff>
    </xdr:from>
    <xdr:to>
      <xdr:col>7</xdr:col>
      <xdr:colOff>304800</xdr:colOff>
      <xdr:row>73</xdr:row>
      <xdr:rowOff>71437</xdr:rowOff>
    </xdr:to>
    <xdr:graphicFrame macro="">
      <xdr:nvGraphicFramePr>
        <xdr:cNvPr id="8" name="Chart 1">
          <a:extLst>
            <a:ext uri="{FF2B5EF4-FFF2-40B4-BE49-F238E27FC236}">
              <a16:creationId xmlns:a16="http://schemas.microsoft.com/office/drawing/2014/main" id="{ACC8B96C-C6BC-75E3-170B-712439607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542925</xdr:colOff>
      <xdr:row>58</xdr:row>
      <xdr:rowOff>185737</xdr:rowOff>
    </xdr:from>
    <xdr:to>
      <xdr:col>16</xdr:col>
      <xdr:colOff>238125</xdr:colOff>
      <xdr:row>73</xdr:row>
      <xdr:rowOff>71437</xdr:rowOff>
    </xdr:to>
    <xdr:graphicFrame macro="">
      <xdr:nvGraphicFramePr>
        <xdr:cNvPr id="9" name="Chart 2">
          <a:extLst>
            <a:ext uri="{FF2B5EF4-FFF2-40B4-BE49-F238E27FC236}">
              <a16:creationId xmlns:a16="http://schemas.microsoft.com/office/drawing/2014/main" id="{6C146F51-D902-08AD-4CC4-2320F010D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0</xdr:row>
      <xdr:rowOff>0</xdr:rowOff>
    </xdr:from>
    <xdr:to>
      <xdr:col>17</xdr:col>
      <xdr:colOff>552450</xdr:colOff>
      <xdr:row>3</xdr:row>
      <xdr:rowOff>142875</xdr:rowOff>
    </xdr:to>
    <xdr:sp macro="" textlink="">
      <xdr:nvSpPr>
        <xdr:cNvPr id="10" name="Rectangle: Rounded Corners 9">
          <a:extLst>
            <a:ext uri="{FF2B5EF4-FFF2-40B4-BE49-F238E27FC236}">
              <a16:creationId xmlns:a16="http://schemas.microsoft.com/office/drawing/2014/main" id="{D0DA9E03-68BA-EC1F-5CEA-911038F712A0}"/>
            </a:ext>
          </a:extLst>
        </xdr:cNvPr>
        <xdr:cNvSpPr/>
      </xdr:nvSpPr>
      <xdr:spPr>
        <a:xfrm>
          <a:off x="0" y="0"/>
          <a:ext cx="10915650" cy="714375"/>
        </a:xfrm>
        <a:prstGeom prst="roundRect">
          <a:avLst/>
        </a:prstGeom>
        <a:solidFill>
          <a:schemeClr val="tx2">
            <a:lumMod val="10000"/>
            <a:lumOff val="9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3200" b="1">
              <a:solidFill>
                <a:schemeClr val="accent1"/>
              </a:solidFill>
            </a:rPr>
            <a:t>CUSTOMER </a:t>
          </a:r>
          <a:r>
            <a:rPr lang="en-US" sz="3200" b="1" baseline="0">
              <a:solidFill>
                <a:schemeClr val="accent1"/>
              </a:solidFill>
            </a:rPr>
            <a:t> DATA  ANALYSIS</a:t>
          </a:r>
          <a:endParaRPr lang="en-US" sz="3200" b="1">
            <a:solidFill>
              <a:schemeClr val="accent1"/>
            </a:solidFill>
          </a:endParaRPr>
        </a:p>
      </xdr:txBody>
    </xdr:sp>
    <xdr:clientData/>
  </xdr:twoCellAnchor>
  <xdr:twoCellAnchor editAs="oneCell">
    <xdr:from>
      <xdr:col>15</xdr:col>
      <xdr:colOff>352425</xdr:colOff>
      <xdr:row>4</xdr:row>
      <xdr:rowOff>19050</xdr:rowOff>
    </xdr:from>
    <xdr:to>
      <xdr:col>18</xdr:col>
      <xdr:colOff>9525</xdr:colOff>
      <xdr:row>10</xdr:row>
      <xdr:rowOff>85725</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E6FEF0C3-B2DD-7915-A67C-70B2FC9A0E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496425" y="781050"/>
              <a:ext cx="14859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209550</xdr:colOff>
      <xdr:row>11</xdr:row>
      <xdr:rowOff>57150</xdr:rowOff>
    </xdr:from>
    <xdr:to>
      <xdr:col>18</xdr:col>
      <xdr:colOff>171450</xdr:colOff>
      <xdr:row>20</xdr:row>
      <xdr:rowOff>114300</xdr:rowOff>
    </xdr:to>
    <mc:AlternateContent xmlns:mc="http://schemas.openxmlformats.org/markup-compatibility/2006" xmlns:a14="http://schemas.microsoft.com/office/drawing/2010/main">
      <mc:Choice Requires="a14">
        <xdr:graphicFrame macro="">
          <xdr:nvGraphicFramePr>
            <xdr:cNvPr id="12" name="Age Group">
              <a:extLst>
                <a:ext uri="{FF2B5EF4-FFF2-40B4-BE49-F238E27FC236}">
                  <a16:creationId xmlns:a16="http://schemas.microsoft.com/office/drawing/2014/main" id="{34027D1B-8BFA-C097-5D27-74CC638A129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9353550" y="2152650"/>
              <a:ext cx="179070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371475</xdr:colOff>
      <xdr:row>4</xdr:row>
      <xdr:rowOff>19050</xdr:rowOff>
    </xdr:from>
    <xdr:to>
      <xdr:col>21</xdr:col>
      <xdr:colOff>371475</xdr:colOff>
      <xdr:row>13</xdr:row>
      <xdr:rowOff>104775</xdr:rowOff>
    </xdr:to>
    <mc:AlternateContent xmlns:mc="http://schemas.openxmlformats.org/markup-compatibility/2006" xmlns:a14="http://schemas.microsoft.com/office/drawing/2010/main">
      <mc:Choice Requires="a14">
        <xdr:graphicFrame macro="">
          <xdr:nvGraphicFramePr>
            <xdr:cNvPr id="13" name="Monthly Trend">
              <a:extLst>
                <a:ext uri="{FF2B5EF4-FFF2-40B4-BE49-F238E27FC236}">
                  <a16:creationId xmlns:a16="http://schemas.microsoft.com/office/drawing/2014/main" id="{692D65AF-EB26-3110-52EB-3E1600A0261C}"/>
                </a:ext>
              </a:extLst>
            </xdr:cNvPr>
            <xdr:cNvGraphicFramePr/>
          </xdr:nvGraphicFramePr>
          <xdr:xfrm>
            <a:off x="0" y="0"/>
            <a:ext cx="0" cy="0"/>
          </xdr:xfrm>
          <a:graphic>
            <a:graphicData uri="http://schemas.microsoft.com/office/drawing/2010/slicer">
              <sle:slicer xmlns:sle="http://schemas.microsoft.com/office/drawing/2010/slicer" name="Monthly Trend"/>
            </a:graphicData>
          </a:graphic>
        </xdr:graphicFrame>
      </mc:Choice>
      <mc:Fallback xmlns="">
        <xdr:sp macro="" textlink="">
          <xdr:nvSpPr>
            <xdr:cNvPr id="0" name=""/>
            <xdr:cNvSpPr>
              <a:spLocks noTextEdit="1"/>
            </xdr:cNvSpPr>
          </xdr:nvSpPr>
          <xdr:spPr>
            <a:xfrm>
              <a:off x="11344275" y="781050"/>
              <a:ext cx="1828800" cy="1800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I COMPUTERS" refreshedDate="46117.89476909722" createdVersion="8" refreshedVersion="8" minRefreshableVersion="3" recordCount="1000" xr:uid="{5B674D60-8021-465D-8CDA-CFD4C91F48A5}">
  <cacheSource type="worksheet">
    <worksheetSource name="Table1"/>
  </cacheSource>
  <cacheFields count="15">
    <cacheField name="Invoice_no" numFmtId="0">
      <sharedItems count="1000">
        <s v="I100027"/>
        <s v="I100028"/>
        <s v="I100031"/>
        <s v="I100053"/>
        <s v="I100128"/>
        <s v="I100145"/>
        <s v="I100146"/>
        <s v="I100200"/>
        <s v="I100207"/>
        <s v="I100240"/>
        <s v="I100291"/>
        <s v="I100292"/>
        <s v="I100299"/>
        <s v="I100301"/>
        <s v="I100308"/>
        <s v="I100320"/>
        <s v="I100354"/>
        <s v="I100357"/>
        <s v="I100358"/>
        <s v="I100387"/>
        <s v="I100445"/>
        <s v="I100458"/>
        <s v="I100487"/>
        <s v="I100501"/>
        <s v="I100508"/>
        <s v="I100542"/>
        <s v="I100566"/>
        <s v="I100567"/>
        <s v="I100591"/>
        <s v="I100593"/>
        <s v="I100618"/>
        <s v="I100634"/>
        <s v="I100704"/>
        <s v="I100738"/>
        <s v="I100760"/>
        <s v="I100771"/>
        <s v="I100775"/>
        <s v="I100797"/>
        <s v="I100818"/>
        <s v="I100820"/>
        <s v="I100875"/>
        <s v="I100900"/>
        <s v="I100903"/>
        <s v="I100911"/>
        <s v="I100914"/>
        <s v="I100978"/>
        <s v="I100998"/>
        <s v="I101034"/>
        <s v="I101048"/>
        <s v="I101070"/>
        <s v="I101131"/>
        <s v="I101140"/>
        <s v="I101210"/>
        <s v="I101229"/>
        <s v="I101252"/>
        <s v="I101308"/>
        <s v="I101314"/>
        <s v="I101320"/>
        <s v="I101353"/>
        <s v="I101363"/>
        <s v="I101372"/>
        <s v="I101394"/>
        <s v="I101409"/>
        <s v="I101414"/>
        <s v="I101428"/>
        <s v="I101445"/>
        <s v="I101465"/>
        <s v="I101526"/>
        <s v="I101529"/>
        <s v="I101569"/>
        <s v="I101618"/>
        <s v="I101621"/>
        <s v="I101634"/>
        <s v="I101635"/>
        <s v="I101672"/>
        <s v="I101674"/>
        <s v="I101675"/>
        <s v="I101677"/>
        <s v="I101704"/>
        <s v="I101709"/>
        <s v="I101716"/>
        <s v="I101740"/>
        <s v="I101809"/>
        <s v="I101862"/>
        <s v="I101891"/>
        <s v="I101904"/>
        <s v="I101940"/>
        <s v="I101975"/>
        <s v="I102015"/>
        <s v="I102020"/>
        <s v="I102024"/>
        <s v="I102048"/>
        <s v="I102051"/>
        <s v="I102068"/>
        <s v="I102092"/>
        <s v="I102120"/>
        <s v="I102128"/>
        <s v="I102142"/>
        <s v="I102159"/>
        <s v="I102184"/>
        <s v="I102188"/>
        <s v="I102200"/>
        <s v="I102201"/>
        <s v="I102205"/>
        <s v="I102224"/>
        <s v="I102244"/>
        <s v="I102261"/>
        <s v="I102278"/>
        <s v="I102314"/>
        <s v="I102330"/>
        <s v="I102347"/>
        <s v="I102365"/>
        <s v="I102371"/>
        <s v="I102389"/>
        <s v="I102398"/>
        <s v="I102405"/>
        <s v="I102433"/>
        <s v="I102451"/>
        <s v="I102509"/>
        <s v="I102521"/>
        <s v="I102543"/>
        <s v="I102567"/>
        <s v="I102619"/>
        <s v="I102634"/>
        <s v="I102677"/>
        <s v="I102681"/>
        <s v="I102761"/>
        <s v="I102767"/>
        <s v="I102776"/>
        <s v="I102790"/>
        <s v="I102802"/>
        <s v="I102837"/>
        <s v="I102855"/>
        <s v="I102876"/>
        <s v="I102883"/>
        <s v="I102906"/>
        <s v="I102990"/>
        <s v="I103028"/>
        <s v="I103029"/>
        <s v="I103035"/>
        <s v="I103067"/>
        <s v="I103070"/>
        <s v="I103072"/>
        <s v="I103076"/>
        <s v="I100057"/>
        <s v="I100071"/>
        <s v="I100090"/>
        <s v="I100126"/>
        <s v="I100155"/>
        <s v="I100161"/>
        <s v="I100181"/>
        <s v="I100184"/>
        <s v="I100193"/>
        <s v="I100195"/>
        <s v="I100199"/>
        <s v="I100205"/>
        <s v="I100215"/>
        <s v="I100216"/>
        <s v="I100220"/>
        <s v="I100229"/>
        <s v="I100288"/>
        <s v="I100293"/>
        <s v="I100312"/>
        <s v="I100315"/>
        <s v="I100330"/>
        <s v="I100361"/>
        <s v="I100397"/>
        <s v="I100401"/>
        <s v="I100423"/>
        <s v="I100439"/>
        <s v="I100443"/>
        <s v="I100466"/>
        <s v="I100470"/>
        <s v="I100502"/>
        <s v="I100522"/>
        <s v="I100552"/>
        <s v="I100558"/>
        <s v="I100561"/>
        <s v="I100599"/>
        <s v="I100624"/>
        <s v="I100628"/>
        <s v="I100659"/>
        <s v="I100671"/>
        <s v="I100684"/>
        <s v="I100697"/>
        <s v="I100731"/>
        <s v="I100756"/>
        <s v="I100793"/>
        <s v="I100829"/>
        <s v="I100851"/>
        <s v="I100881"/>
        <s v="I100899"/>
        <s v="I100904"/>
        <s v="I100919"/>
        <s v="I100922"/>
        <s v="I100964"/>
        <s v="I100977"/>
        <s v="I100981"/>
        <s v="I100991"/>
        <s v="I101018"/>
        <s v="I101022"/>
        <s v="I101037"/>
        <s v="I101043"/>
        <s v="I101084"/>
        <s v="I101088"/>
        <s v="I101115"/>
        <s v="I101146"/>
        <s v="I101148"/>
        <s v="I101152"/>
        <s v="I101165"/>
        <s v="I101176"/>
        <s v="I101181"/>
        <s v="I101239"/>
        <s v="I101290"/>
        <s v="I101318"/>
        <s v="I101325"/>
        <s v="I101352"/>
        <s v="I101383"/>
        <s v="I101398"/>
        <s v="I101407"/>
        <s v="I101434"/>
        <s v="I101435"/>
        <s v="I101442"/>
        <s v="I101449"/>
        <s v="I101480"/>
        <s v="I101520"/>
        <s v="I101537"/>
        <s v="I101555"/>
        <s v="I101574"/>
        <s v="I101605"/>
        <s v="I101606"/>
        <s v="I101638"/>
        <s v="I101669"/>
        <s v="I101670"/>
        <s v="I101684"/>
        <s v="I101686"/>
        <s v="I101714"/>
        <s v="I101734"/>
        <s v="I101742"/>
        <s v="I101753"/>
        <s v="I101767"/>
        <s v="I101782"/>
        <s v="I101785"/>
        <s v="I101827"/>
        <s v="I101837"/>
        <s v="I101852"/>
        <s v="I101855"/>
        <s v="I101857"/>
        <s v="I101869"/>
        <s v="I101871"/>
        <s v="I101887"/>
        <s v="I101919"/>
        <s v="I101967"/>
        <s v="I101979"/>
        <s v="I101996"/>
        <s v="I102009"/>
        <s v="I102070"/>
        <s v="I102082"/>
        <s v="I102084"/>
        <s v="I102091"/>
        <s v="I102101"/>
        <s v="I102107"/>
        <s v="I102108"/>
        <s v="I102112"/>
        <s v="I102141"/>
        <s v="I102191"/>
        <s v="I102195"/>
        <s v="I102221"/>
        <s v="I102223"/>
        <s v="I102240"/>
        <s v="I102303"/>
        <s v="I102304"/>
        <s v="I102345"/>
        <s v="I102361"/>
        <s v="I102444"/>
        <s v="I102477"/>
        <s v="I102480"/>
        <s v="I102483"/>
        <s v="I102500"/>
        <s v="I102504"/>
        <s v="I102520"/>
        <s v="I102526"/>
        <s v="I102533"/>
        <s v="I102535"/>
        <s v="I102542"/>
        <s v="I102546"/>
        <s v="I102556"/>
        <s v="I102558"/>
        <s v="I102559"/>
        <s v="I102587"/>
        <s v="I102604"/>
        <s v="I102625"/>
        <s v="I102628"/>
        <s v="I102653"/>
        <s v="I102713"/>
        <s v="I102716"/>
        <s v="I102759"/>
        <s v="I102799"/>
        <s v="I102824"/>
        <s v="I102873"/>
        <s v="I102877"/>
        <s v="I102879"/>
        <s v="I102925"/>
        <s v="I102931"/>
        <s v="I102939"/>
        <s v="I102944"/>
        <s v="I102945"/>
        <s v="I102954"/>
        <s v="I102960"/>
        <s v="I102977"/>
        <s v="I102991"/>
        <s v="I102999"/>
        <s v="I103004"/>
        <s v="I103020"/>
        <s v="I103046"/>
        <s v="I103056"/>
        <s v="I103065"/>
        <s v="I103071"/>
        <s v="I103082"/>
        <s v="I103085"/>
        <s v="I100015"/>
        <s v="I100049"/>
        <s v="I100082"/>
        <s v="I100105"/>
        <s v="I100106"/>
        <s v="I100127"/>
        <s v="I100137"/>
        <s v="I100142"/>
        <s v="I100152"/>
        <s v="I100168"/>
        <s v="I100174"/>
        <s v="I100187"/>
        <s v="I100214"/>
        <s v="I100218"/>
        <s v="I100225"/>
        <s v="I100228"/>
        <s v="I100243"/>
        <s v="I100249"/>
        <s v="I100251"/>
        <s v="I100261"/>
        <s v="I100271"/>
        <s v="I100281"/>
        <s v="I100316"/>
        <s v="I100336"/>
        <s v="I100381"/>
        <s v="I100408"/>
        <s v="I100412"/>
        <s v="I100441"/>
        <s v="I100454"/>
        <s v="I100459"/>
        <s v="I100464"/>
        <s v="I100472"/>
        <s v="I100512"/>
        <s v="I100526"/>
        <s v="I100540"/>
        <s v="I100550"/>
        <s v="I100555"/>
        <s v="I100565"/>
        <s v="I100579"/>
        <s v="I100614"/>
        <s v="I100651"/>
        <s v="I100663"/>
        <s v="I100691"/>
        <s v="I100696"/>
        <s v="I100699"/>
        <s v="I100703"/>
        <s v="I100709"/>
        <s v="I100723"/>
        <s v="I100733"/>
        <s v="I100735"/>
        <s v="I100741"/>
        <s v="I100763"/>
        <s v="I100777"/>
        <s v="I100791"/>
        <s v="I100803"/>
        <s v="I100814"/>
        <s v="I100835"/>
        <s v="I100856"/>
        <s v="I100863"/>
        <s v="I100865"/>
        <s v="I100880"/>
        <s v="I100884"/>
        <s v="I100885"/>
        <s v="I100886"/>
        <s v="I100901"/>
        <s v="I100913"/>
        <s v="I100923"/>
        <s v="I100932"/>
        <s v="I100936"/>
        <s v="I100963"/>
        <s v="I100988"/>
        <s v="I101017"/>
        <s v="I101038"/>
        <s v="I101059"/>
        <s v="I101089"/>
        <s v="I101093"/>
        <s v="I101167"/>
        <s v="I101183"/>
        <s v="I101204"/>
        <s v="I101214"/>
        <s v="I101247"/>
        <s v="I101280"/>
        <s v="I101288"/>
        <s v="I101296"/>
        <s v="I101301"/>
        <s v="I101306"/>
        <s v="I101316"/>
        <s v="I101356"/>
        <s v="I101359"/>
        <s v="I101360"/>
        <s v="I101361"/>
        <s v="I101390"/>
        <s v="I101433"/>
        <s v="I101456"/>
        <s v="I101458"/>
        <s v="I101466"/>
        <s v="I101512"/>
        <s v="I101518"/>
        <s v="I101535"/>
        <s v="I101554"/>
        <s v="I101596"/>
        <s v="I101612"/>
        <s v="I101629"/>
        <s v="I101641"/>
        <s v="I101642"/>
        <s v="I101649"/>
        <s v="I101667"/>
        <s v="I101676"/>
        <s v="I101717"/>
        <s v="I101730"/>
        <s v="I101731"/>
        <s v="I101745"/>
        <s v="I101765"/>
        <s v="I101795"/>
        <s v="I101806"/>
        <s v="I101832"/>
        <s v="I101854"/>
        <s v="I101882"/>
        <s v="I101893"/>
        <s v="I101905"/>
        <s v="I101910"/>
        <s v="I101915"/>
        <s v="I101920"/>
        <s v="I101921"/>
        <s v="I101934"/>
        <s v="I101978"/>
        <s v="I101982"/>
        <s v="I102014"/>
        <s v="I102021"/>
        <s v="I102031"/>
        <s v="I102040"/>
        <s v="I102042"/>
        <s v="I102045"/>
        <s v="I102054"/>
        <s v="I102061"/>
        <s v="I102065"/>
        <s v="I102072"/>
        <s v="I102088"/>
        <s v="I102119"/>
        <s v="I102133"/>
        <s v="I102157"/>
        <s v="I102173"/>
        <s v="I102182"/>
        <s v="I102193"/>
        <s v="I102225"/>
        <s v="I102232"/>
        <s v="I102241"/>
        <s v="I102256"/>
        <s v="I102260"/>
        <s v="I102283"/>
        <s v="I102287"/>
        <s v="I102311"/>
        <s v="I102324"/>
        <s v="I102340"/>
        <s v="I102377"/>
        <s v="I102403"/>
        <s v="I102404"/>
        <s v="I102413"/>
        <s v="I102417"/>
        <s v="I102427"/>
        <s v="I102486"/>
        <s v="I102487"/>
        <s v="I102490"/>
        <s v="I102491"/>
        <s v="I102569"/>
        <s v="I102578"/>
        <s v="I102589"/>
        <s v="I102610"/>
        <s v="I102642"/>
        <s v="I102647"/>
        <s v="I102656"/>
        <s v="I102669"/>
        <s v="I102686"/>
        <s v="I102691"/>
        <s v="I102703"/>
        <s v="I102715"/>
        <s v="I102729"/>
        <s v="I102758"/>
        <s v="I102764"/>
        <s v="I102766"/>
        <s v="I102773"/>
        <s v="I102786"/>
        <s v="I102792"/>
        <s v="I102800"/>
        <s v="I102832"/>
        <s v="I102840"/>
        <s v="I102845"/>
        <s v="I102885"/>
        <s v="I102905"/>
        <s v="I102979"/>
        <s v="I102985"/>
        <s v="I103006"/>
        <s v="I103021"/>
        <s v="I103033"/>
        <s v="I103036"/>
        <s v="I103055"/>
        <s v="I103061"/>
        <s v="I103064"/>
        <s v="I100041"/>
        <s v="I100059"/>
        <s v="I100068"/>
        <s v="I100077"/>
        <s v="I100078"/>
        <s v="I100098"/>
        <s v="I100108"/>
        <s v="I100111"/>
        <s v="I100113"/>
        <s v="I100138"/>
        <s v="I100148"/>
        <s v="I100202"/>
        <s v="I100223"/>
        <s v="I100282"/>
        <s v="I100290"/>
        <s v="I100294"/>
        <s v="I100310"/>
        <s v="I100364"/>
        <s v="I100365"/>
        <s v="I100399"/>
        <s v="I100417"/>
        <s v="I100419"/>
        <s v="I100425"/>
        <s v="I100426"/>
        <s v="I100462"/>
        <s v="I100473"/>
        <s v="I100484"/>
        <s v="I100496"/>
        <s v="I100499"/>
        <s v="I100519"/>
        <s v="I100527"/>
        <s v="I100543"/>
        <s v="I100547"/>
        <s v="I100601"/>
        <s v="I100622"/>
        <s v="I100627"/>
        <s v="I100656"/>
        <s v="I100721"/>
        <s v="I100744"/>
        <s v="I100749"/>
        <s v="I100762"/>
        <s v="I100764"/>
        <s v="I100768"/>
        <s v="I100815"/>
        <s v="I100842"/>
        <s v="I100843"/>
        <s v="I100861"/>
        <s v="I100866"/>
        <s v="I100870"/>
        <s v="I100921"/>
        <s v="I100953"/>
        <s v="I100961"/>
        <s v="I100969"/>
        <s v="I101031"/>
        <s v="I101060"/>
        <s v="I101086"/>
        <s v="I101103"/>
        <s v="I101130"/>
        <s v="I101135"/>
        <s v="I101143"/>
        <s v="I101201"/>
        <s v="I101219"/>
        <s v="I101256"/>
        <s v="I101279"/>
        <s v="I101281"/>
        <s v="I101282"/>
        <s v="I101283"/>
        <s v="I101312"/>
        <s v="I101328"/>
        <s v="I101339"/>
        <s v="I101343"/>
        <s v="I101344"/>
        <s v="I101351"/>
        <s v="I101366"/>
        <s v="I101378"/>
        <s v="I101418"/>
        <s v="I101419"/>
        <s v="I101423"/>
        <s v="I101429"/>
        <s v="I101444"/>
        <s v="I101452"/>
        <s v="I101454"/>
        <s v="I101460"/>
        <s v="I101467"/>
        <s v="I101472"/>
        <s v="I101475"/>
        <s v="I101483"/>
        <s v="I101498"/>
        <s v="I101499"/>
        <s v="I101509"/>
        <s v="I101521"/>
        <s v="I101544"/>
        <s v="I101546"/>
        <s v="I101549"/>
        <s v="I101551"/>
        <s v="I101572"/>
        <s v="I101580"/>
        <s v="I101587"/>
        <s v="I101592"/>
        <s v="I101594"/>
        <s v="I101661"/>
        <s v="I101682"/>
        <s v="I101711"/>
        <s v="I101728"/>
        <s v="I101739"/>
        <s v="I101743"/>
        <s v="I101752"/>
        <s v="I101754"/>
        <s v="I101755"/>
        <s v="I101822"/>
        <s v="I101829"/>
        <s v="I101865"/>
        <s v="I101879"/>
        <s v="I101889"/>
        <s v="I101896"/>
        <s v="I101901"/>
        <s v="I101912"/>
        <s v="I101927"/>
        <s v="I101953"/>
        <s v="I101984"/>
        <s v="I101993"/>
        <s v="I102001"/>
        <s v="I102008"/>
        <s v="I102025"/>
        <s v="I102041"/>
        <s v="I102058"/>
        <s v="I102059"/>
        <s v="I102115"/>
        <s v="I102144"/>
        <s v="I102149"/>
        <s v="I102150"/>
        <s v="I102167"/>
        <s v="I102171"/>
        <s v="I102178"/>
        <s v="I102199"/>
        <s v="I102233"/>
        <s v="I102234"/>
        <s v="I102258"/>
        <s v="I102268"/>
        <s v="I102276"/>
        <s v="I102286"/>
        <s v="I102300"/>
        <s v="I102374"/>
        <s v="I102376"/>
        <s v="I102395"/>
        <s v="I102396"/>
        <s v="I102415"/>
        <s v="I102416"/>
        <s v="I102437"/>
        <s v="I102443"/>
        <s v="I102468"/>
        <s v="I102494"/>
        <s v="I102495"/>
        <s v="I102501"/>
        <s v="I102502"/>
        <s v="I102514"/>
        <s v="I102518"/>
        <s v="I102528"/>
        <s v="I102534"/>
        <s v="I102553"/>
        <s v="I102562"/>
        <s v="I102564"/>
        <s v="I102595"/>
        <s v="I102600"/>
        <s v="I102613"/>
        <s v="I102629"/>
        <s v="I102635"/>
        <s v="I102641"/>
        <s v="I102645"/>
        <s v="I102675"/>
        <s v="I102697"/>
        <s v="I102719"/>
        <s v="I102725"/>
        <s v="I102732"/>
        <s v="I102734"/>
        <s v="I102782"/>
        <s v="I102797"/>
        <s v="I102819"/>
        <s v="I102843"/>
        <s v="I102847"/>
        <s v="I102881"/>
        <s v="I102884"/>
        <s v="I102941"/>
        <s v="I102958"/>
        <s v="I103010"/>
        <s v="I103044"/>
        <s v="I103062"/>
        <s v="I103083"/>
        <s v="I103086"/>
        <s v="I100008"/>
        <s v="I100014"/>
        <s v="I100024"/>
        <s v="I100033"/>
        <s v="I100037"/>
        <s v="I100072"/>
        <s v="I100080"/>
        <s v="I100084"/>
        <s v="I100089"/>
        <s v="I100094"/>
        <s v="I100095"/>
        <s v="I100097"/>
        <s v="I100116"/>
        <s v="I100149"/>
        <s v="I100151"/>
        <s v="I100156"/>
        <s v="I100173"/>
        <s v="I100186"/>
        <s v="I100192"/>
        <s v="I100198"/>
        <s v="I100201"/>
        <s v="I100211"/>
        <s v="I100212"/>
        <s v="I100227"/>
        <s v="I100231"/>
        <s v="I100267"/>
        <s v="I100273"/>
        <s v="I100284"/>
        <s v="I100307"/>
        <s v="I100311"/>
        <s v="I100313"/>
        <s v="I100321"/>
        <s v="I100323"/>
        <s v="I100324"/>
        <s v="I100328"/>
        <s v="I100338"/>
        <s v="I100355"/>
        <s v="I100366"/>
        <s v="I100367"/>
        <s v="I100368"/>
        <s v="I100377"/>
        <s v="I100400"/>
        <s v="I100404"/>
        <s v="I100406"/>
        <s v="I100414"/>
        <s v="I100420"/>
        <s v="I100434"/>
        <s v="I100455"/>
        <s v="I100465"/>
        <s v="I100491"/>
        <s v="I100494"/>
        <s v="I100498"/>
        <s v="I100504"/>
        <s v="I100537"/>
        <s v="I100538"/>
        <s v="I100541"/>
        <s v="I100571"/>
        <s v="I100572"/>
        <s v="I100578"/>
        <s v="I100580"/>
        <s v="I100582"/>
        <s v="I100586"/>
        <s v="I100607"/>
        <s v="I100610"/>
        <s v="I100611"/>
        <s v="I100615"/>
        <s v="I100617"/>
        <s v="I100630"/>
        <s v="I100635"/>
        <s v="I100639"/>
        <s v="I100652"/>
        <s v="I100664"/>
        <s v="I100666"/>
        <s v="I100682"/>
        <s v="I100685"/>
        <s v="I100694"/>
        <s v="I100700"/>
        <s v="I100719"/>
        <s v="I100742"/>
        <s v="I100770"/>
        <s v="I100780"/>
        <s v="I100782"/>
        <s v="I100795"/>
        <s v="I100812"/>
        <s v="I100813"/>
        <s v="I100822"/>
        <s v="I100837"/>
        <s v="I100855"/>
        <s v="I100897"/>
        <s v="I100929"/>
        <s v="I100960"/>
        <s v="I100965"/>
        <s v="I100983"/>
        <s v="I101008"/>
        <s v="I101010"/>
        <s v="I101051"/>
        <s v="I101052"/>
        <s v="I101083"/>
        <s v="I101113"/>
        <s v="I101133"/>
        <s v="I101154"/>
        <s v="I101155"/>
        <s v="I101156"/>
        <s v="I101171"/>
        <s v="I101185"/>
        <s v="I101189"/>
        <s v="I101190"/>
        <s v="I101192"/>
        <s v="I101193"/>
        <s v="I101220"/>
        <s v="I101237"/>
        <s v="I101255"/>
        <s v="I101263"/>
        <s v="I101305"/>
        <s v="I101313"/>
        <s v="I101347"/>
        <s v="I101348"/>
        <s v="I101354"/>
        <s v="I101368"/>
        <s v="I101370"/>
        <s v="I101379"/>
        <s v="I101393"/>
        <s v="I101410"/>
        <s v="I101426"/>
        <s v="I101453"/>
        <s v="I101455"/>
        <s v="I101476"/>
        <s v="I101489"/>
        <s v="I101511"/>
        <s v="I101525"/>
        <s v="I101528"/>
        <s v="I101532"/>
        <s v="I101536"/>
        <s v="I101541"/>
        <s v="I101573"/>
        <s v="I101576"/>
        <s v="I101578"/>
        <s v="I101585"/>
        <s v="I101588"/>
        <s v="I101598"/>
        <s v="I101603"/>
        <s v="I101620"/>
        <s v="I101624"/>
        <s v="I101627"/>
        <s v="I101645"/>
        <s v="I101653"/>
        <s v="I101658"/>
        <s v="I101659"/>
        <s v="I101691"/>
        <s v="I101700"/>
        <s v="I101703"/>
        <s v="I101708"/>
        <s v="I101720"/>
        <s v="I101724"/>
        <s v="I101727"/>
        <s v="I101741"/>
        <s v="I101768"/>
        <s v="I101769"/>
        <s v="I101775"/>
        <s v="I101779"/>
        <s v="I101790"/>
        <s v="I101799"/>
        <s v="I101810"/>
        <s v="I101819"/>
        <s v="I101820"/>
        <s v="I101823"/>
        <s v="I101834"/>
        <s v="I101840"/>
        <s v="I101842"/>
        <s v="I101843"/>
        <s v="I101870"/>
        <s v="I101873"/>
        <s v="I101885"/>
        <s v="I101888"/>
        <s v="I101902"/>
        <s v="I101906"/>
        <s v="I101925"/>
        <s v="I101968"/>
        <s v="I101972"/>
        <s v="I101974"/>
        <s v="I101983"/>
        <s v="I101989"/>
        <s v="I102006"/>
        <s v="I102037"/>
        <s v="I102038"/>
        <s v="I102047"/>
        <s v="I102049"/>
        <s v="I102053"/>
        <s v="I102069"/>
        <s v="I102075"/>
        <s v="I102100"/>
        <s v="I102102"/>
        <s v="I102118"/>
        <s v="I102131"/>
        <s v="I102143"/>
        <s v="I102148"/>
        <s v="I102151"/>
        <s v="I102162"/>
        <s v="I102166"/>
        <s v="I102175"/>
        <s v="I102189"/>
        <s v="I102194"/>
        <s v="I102202"/>
        <s v="I102218"/>
        <s v="I102222"/>
        <s v="I102229"/>
        <s v="I102237"/>
        <s v="I102250"/>
        <s v="I102254"/>
        <s v="I102264"/>
        <s v="I102279"/>
        <s v="I102284"/>
        <s v="I102296"/>
        <s v="I102306"/>
        <s v="I102316"/>
        <s v="I102320"/>
        <s v="I102323"/>
        <s v="I102332"/>
        <s v="I102344"/>
        <s v="I102348"/>
        <s v="I102355"/>
        <s v="I102375"/>
        <s v="I102397"/>
        <s v="I102408"/>
        <s v="I102440"/>
        <s v="I102453"/>
        <s v="I102459"/>
        <s v="I102460"/>
        <s v="I102470"/>
        <s v="I102481"/>
        <s v="I102488"/>
        <s v="I102489"/>
        <s v="I102497"/>
        <s v="I102512"/>
        <s v="I102513"/>
        <s v="I102525"/>
        <s v="I102541"/>
        <s v="I102547"/>
        <s v="I102561"/>
        <s v="I102573"/>
        <s v="I102607"/>
        <s v="I102612"/>
        <s v="I102623"/>
        <s v="I102632"/>
        <s v="I102636"/>
        <s v="I102652"/>
        <s v="I102666"/>
        <s v="I102690"/>
        <s v="I102692"/>
        <s v="I102694"/>
        <s v="I102700"/>
        <s v="I102714"/>
        <s v="I102721"/>
        <s v="I102726"/>
        <s v="I102730"/>
        <s v="I102735"/>
        <s v="I102737"/>
        <s v="I102751"/>
        <s v="I102754"/>
        <s v="I102760"/>
        <s v="I102783"/>
        <s v="I102801"/>
        <s v="I102818"/>
        <s v="I102825"/>
        <s v="I102836"/>
        <s v="I102848"/>
        <s v="I102849"/>
        <s v="I102886"/>
        <s v="I102893"/>
        <s v="I102902"/>
        <s v="I102917"/>
        <s v="I102923"/>
        <s v="I102926"/>
        <s v="I102928"/>
        <s v="I102935"/>
        <s v="I102946"/>
        <s v="I102964"/>
        <s v="I102969"/>
        <s v="I102989"/>
        <s v="I102993"/>
        <s v="I102994"/>
        <s v="I103002"/>
        <s v="I103014"/>
        <s v="I103016"/>
        <s v="I103019"/>
        <s v="I103026"/>
        <s v="I103031"/>
        <s v="I103032"/>
        <s v="I103045"/>
        <s v="I103059"/>
        <s v="I103066"/>
        <s v="I103068"/>
        <s v="I103081"/>
      </sharedItems>
    </cacheField>
    <cacheField name="Customer_id" numFmtId="0">
      <sharedItems count="1000">
        <s v="C150002"/>
        <s v="C325553"/>
        <s v="C378408"/>
        <s v="C217294"/>
        <s v="C168282"/>
        <s v="C153189"/>
        <s v="C320745"/>
        <s v="C948033"/>
        <s v="C452901"/>
        <s v="C240922"/>
        <s v="C832260"/>
        <s v="C721616"/>
        <s v="C179079"/>
        <s v="C553904"/>
        <s v="C104593"/>
        <s v="C152872"/>
        <s v="C135028"/>
        <s v="C494452"/>
        <s v="C339237"/>
        <s v="C234074"/>
        <s v="C307576"/>
        <s v="C150447"/>
        <s v="C213360"/>
        <s v="C338282"/>
        <s v="C249896"/>
        <s v="C273404"/>
        <s v="C266257"/>
        <s v="C272165"/>
        <s v="C881158"/>
        <s v="C240318"/>
        <s v="C911820"/>
        <s v="C461631"/>
        <s v="C864065"/>
        <s v="C155129"/>
        <s v="C800785"/>
        <s v="C235228"/>
        <s v="C981100"/>
        <s v="C224221"/>
        <s v="C151068"/>
        <s v="C180870"/>
        <s v="C232349"/>
        <s v="C221280"/>
        <s v="C702152"/>
        <s v="C330379"/>
        <s v="C299493"/>
        <s v="C172330"/>
        <s v="C253884"/>
        <s v="C722304"/>
        <s v="C186345"/>
        <s v="C330130"/>
        <s v="C329519"/>
        <s v="C122069"/>
        <s v="C316485"/>
        <s v="C256902"/>
        <s v="C998123"/>
        <s v="C551127"/>
        <s v="C995203"/>
        <s v="C264902"/>
        <s v="C246402"/>
        <s v="C182070"/>
        <s v="C180019"/>
        <s v="C321439"/>
        <s v="C431191"/>
        <s v="C104129"/>
        <s v="C197332"/>
        <s v="C171342"/>
        <s v="C250819"/>
        <s v="C332894"/>
        <s v="C203227"/>
        <s v="C148240"/>
        <s v="C203219"/>
        <s v="C325188"/>
        <s v="C318714"/>
        <s v="C695700"/>
        <s v="C976493"/>
        <s v="C284838"/>
        <s v="C302289"/>
        <s v="C518156"/>
        <s v="C568729"/>
        <s v="C800815"/>
        <s v="C254712"/>
        <s v="C136633"/>
        <s v="C148190"/>
        <s v="C352919"/>
        <s v="C180405"/>
        <s v="C106038"/>
        <s v="C283119"/>
        <s v="C208782"/>
        <s v="C127328"/>
        <s v="C244182"/>
        <s v="C132062"/>
        <s v="C597678"/>
        <s v="C283917"/>
        <s v="C317485"/>
        <s v="C172569"/>
        <s v="C207445"/>
        <s v="C183134"/>
        <s v="C234980"/>
        <s v="C115523"/>
        <s v="C868347"/>
        <s v="C306087"/>
        <s v="C242359"/>
        <s v="C140670"/>
        <s v="C688295"/>
        <s v="C156712"/>
        <s v="C210214"/>
        <s v="C817162"/>
        <s v="C190867"/>
        <s v="C244044"/>
        <s v="C552450"/>
        <s v="C229953"/>
        <s v="C186468"/>
        <s v="C173386"/>
        <s v="C455912"/>
        <s v="C766818"/>
        <s v="C296119"/>
        <s v="C215256"/>
        <s v="C127080"/>
        <s v="C164347"/>
        <s v="C314327"/>
        <s v="C252688"/>
        <s v="C441192"/>
        <s v="C279714"/>
        <s v="C205293"/>
        <s v="C149751"/>
        <s v="C298900"/>
        <s v="C333330"/>
        <s v="C203666"/>
        <s v="C214209"/>
        <s v="C193288"/>
        <s v="C107887"/>
        <s v="C320088"/>
        <s v="C159521"/>
        <s v="C283599"/>
        <s v="C114509"/>
        <s v="C219499"/>
        <s v="C296573"/>
        <s v="C243168"/>
        <s v="C213516"/>
        <s v="C155712"/>
        <s v="C210847"/>
        <s v="C754112"/>
        <s v="C170969"/>
        <s v="C288406"/>
        <s v="C225062"/>
        <s v="C522050"/>
        <s v="C801451"/>
        <s v="C103405"/>
        <s v="C312476"/>
        <s v="C262871"/>
        <s v="C123341"/>
        <s v="C131276"/>
        <s v="C149918"/>
        <s v="C322199"/>
        <s v="C275614"/>
        <s v="C220151"/>
        <s v="C198589"/>
        <s v="C145243"/>
        <s v="C122251"/>
        <s v="C397160"/>
        <s v="C435081"/>
        <s v="C991830"/>
        <s v="C280934"/>
        <s v="C242277"/>
        <s v="C453598"/>
        <s v="C224357"/>
        <s v="C262466"/>
        <s v="C291610"/>
        <s v="C664680"/>
        <s v="C224698"/>
        <s v="C826051"/>
        <s v="C235798"/>
        <s v="C219411"/>
        <s v="C238358"/>
        <s v="C100218"/>
        <s v="C213606"/>
        <s v="C209906"/>
        <s v="C255643"/>
        <s v="C114161"/>
        <s v="C552809"/>
        <s v="C135129"/>
        <s v="C562791"/>
        <s v="C284324"/>
        <s v="C175424"/>
        <s v="C159194"/>
        <s v="C868764"/>
        <s v="C771102"/>
        <s v="C328805"/>
        <s v="C115788"/>
        <s v="C256797"/>
        <s v="C332806"/>
        <s v="C256232"/>
        <s v="C138573"/>
        <s v="C189282"/>
        <s v="C185007"/>
        <s v="C253827"/>
        <s v="C221903"/>
        <s v="C116368"/>
        <s v="C326660"/>
        <s v="C266367"/>
        <s v="C237146"/>
        <s v="C216533"/>
        <s v="C289681"/>
        <s v="C943266"/>
        <s v="C824542"/>
        <s v="C540954"/>
        <s v="C303865"/>
        <s v="C680169"/>
        <s v="C276049"/>
        <s v="C325003"/>
        <s v="C195529"/>
        <s v="C167199"/>
        <s v="C362001"/>
        <s v="C208569"/>
        <s v="C156439"/>
        <s v="C101956"/>
        <s v="C548721"/>
        <s v="C151482"/>
        <s v="C152504"/>
        <s v="C323409"/>
        <s v="C310631"/>
        <s v="C245633"/>
        <s v="C837574"/>
        <s v="C220137"/>
        <s v="C145217"/>
        <s v="C260507"/>
        <s v="C168070"/>
        <s v="C758873"/>
        <s v="C178897"/>
        <s v="C756859"/>
        <s v="C279630"/>
        <s v="C217867"/>
        <s v="C308898"/>
        <s v="C584201"/>
        <s v="C280909"/>
        <s v="C520399"/>
        <s v="C273113"/>
        <s v="C150574"/>
        <s v="C123907"/>
        <s v="C336142"/>
        <s v="C181289"/>
        <s v="C221270"/>
        <s v="C279161"/>
        <s v="C150375"/>
        <s v="C288430"/>
        <s v="C224985"/>
        <s v="C120734"/>
        <s v="C227245"/>
        <s v="C578801"/>
        <s v="C233682"/>
        <s v="C169919"/>
        <s v="C209103"/>
        <s v="C218507"/>
        <s v="C109876"/>
        <s v="C157238"/>
        <s v="C146739"/>
        <s v="C205475"/>
        <s v="C402987"/>
        <s v="C339822"/>
        <s v="C190233"/>
        <s v="C270792"/>
        <s v="C294500"/>
        <s v="C316403"/>
        <s v="C308314"/>
        <s v="C329384"/>
        <s v="C211798"/>
        <s v="C242866"/>
        <s v="C301581"/>
        <s v="C339595"/>
        <s v="C281387"/>
        <s v="C165489"/>
        <s v="C603018"/>
        <s v="C329679"/>
        <s v="C831180"/>
        <s v="C310499"/>
        <s v="C137641"/>
        <s v="C264394"/>
        <s v="C179176"/>
        <s v="C973474"/>
        <s v="C287619"/>
        <s v="C531894"/>
        <s v="C317197"/>
        <s v="C363843"/>
        <s v="C194716"/>
        <s v="C860947"/>
        <s v="C307847"/>
        <s v="C315965"/>
        <s v="C153506"/>
        <s v="C839296"/>
        <s v="C255931"/>
        <s v="C286659"/>
        <s v="C305261"/>
        <s v="C800190"/>
        <s v="C144135"/>
        <s v="C259637"/>
        <s v="C231411"/>
        <s v="C174415"/>
        <s v="C704920"/>
        <s v="C194938"/>
        <s v="C994454"/>
        <s v="C505213"/>
        <s v="C380202"/>
        <s v="C217020"/>
        <s v="C318182"/>
        <s v="C100110"/>
        <s v="C105025"/>
        <s v="C287896"/>
        <s v="C155342"/>
        <s v="C131004"/>
        <s v="C316330"/>
        <s v="C397967"/>
        <s v="C295992"/>
        <s v="C560575"/>
        <s v="C327792"/>
        <s v="C208145"/>
        <s v="C258161"/>
        <s v="C205710"/>
        <s v="C243412"/>
        <s v="C286580"/>
        <s v="C252697"/>
        <s v="C132779"/>
        <s v="C297871"/>
        <s v="C357288"/>
        <s v="C246820"/>
        <s v="C850385"/>
        <s v="C708853"/>
        <s v="C233463"/>
        <s v="C161659"/>
        <s v="C265676"/>
        <s v="C135319"/>
        <s v="C286570"/>
        <s v="C178869"/>
        <s v="C989972"/>
        <s v="C205490"/>
        <s v="C128382"/>
        <s v="C248381"/>
        <s v="C332855"/>
        <s v="C209647"/>
        <s v="C228482"/>
        <s v="C315632"/>
        <s v="C892772"/>
        <s v="C711548"/>
        <s v="C248553"/>
        <s v="C202040"/>
        <s v="C243648"/>
        <s v="C128638"/>
        <s v="C313809"/>
        <s v="C202089"/>
        <s v="C851133"/>
        <s v="C194835"/>
        <s v="C129826"/>
        <s v="C176862"/>
        <s v="C208841"/>
        <s v="C356129"/>
        <s v="C641482"/>
        <s v="C123577"/>
        <s v="C701082"/>
        <s v="C833577"/>
        <s v="C260481"/>
        <s v="C261517"/>
        <s v="C180588"/>
        <s v="C322131"/>
        <s v="C116434"/>
        <s v="C131827"/>
        <s v="C844692"/>
        <s v="C263996"/>
        <s v="C156430"/>
        <s v="C150582"/>
        <s v="C932952"/>
        <s v="C107829"/>
        <s v="C828874"/>
        <s v="C264447"/>
        <s v="C303252"/>
        <s v="C289735"/>
        <s v="C273636"/>
        <s v="C130818"/>
        <s v="C259176"/>
        <s v="C475330"/>
        <s v="C302400"/>
        <s v="C234663"/>
        <s v="C217725"/>
        <s v="C729531"/>
        <s v="C102033"/>
        <s v="C676444"/>
        <s v="C178198"/>
        <s v="C229817"/>
        <s v="C139812"/>
        <s v="C204475"/>
        <s v="C331442"/>
        <s v="C500323"/>
        <s v="C202289"/>
        <s v="C124932"/>
        <s v="C144914"/>
        <s v="C236719"/>
        <s v="C392188"/>
        <s v="C301696"/>
        <s v="C492992"/>
        <s v="C274709"/>
        <s v="C147656"/>
        <s v="C229296"/>
        <s v="C178321"/>
        <s v="C663744"/>
        <s v="C476777"/>
        <s v="C132787"/>
        <s v="C211329"/>
        <s v="C162468"/>
        <s v="C100544"/>
        <s v="C227436"/>
        <s v="C269676"/>
        <s v="C540352"/>
        <s v="C184579"/>
        <s v="C314514"/>
        <s v="C208860"/>
        <s v="C283434"/>
        <s v="C113888"/>
        <s v="C314331"/>
        <s v="C657278"/>
        <s v="C107937"/>
        <s v="C219503"/>
        <s v="C273482"/>
        <s v="C309263"/>
        <s v="C185174"/>
        <s v="C102585"/>
        <s v="C483550"/>
        <s v="C296856"/>
        <s v="C801987"/>
        <s v="C142998"/>
        <s v="C179567"/>
        <s v="C143132"/>
        <s v="C378627"/>
        <s v="C125296"/>
        <s v="C105559"/>
        <s v="C280567"/>
        <s v="C207950"/>
        <s v="C322425"/>
        <s v="C261194"/>
        <s v="C190002"/>
        <s v="C225381"/>
        <s v="C586871"/>
        <s v="C147666"/>
        <s v="C304301"/>
        <s v="C112646"/>
        <s v="C208660"/>
        <s v="C243839"/>
        <s v="C153128"/>
        <s v="C188650"/>
        <s v="C116333"/>
        <s v="C158673"/>
        <s v="C178086"/>
        <s v="C208014"/>
        <s v="C184203"/>
        <s v="C539103"/>
        <s v="C105667"/>
        <s v="C948047"/>
        <s v="C181574"/>
        <s v="C799164"/>
        <s v="C283005"/>
        <s v="C184837"/>
        <s v="C299453"/>
        <s v="C121237"/>
        <s v="C204532"/>
        <s v="C222171"/>
        <s v="C153009"/>
        <s v="C327121"/>
        <s v="C890104"/>
        <s v="C282538"/>
        <s v="C218554"/>
        <s v="C263791"/>
        <s v="C203685"/>
        <s v="C889444"/>
        <s v="C844764"/>
        <s v="C689496"/>
        <s v="C111343"/>
        <s v="C293553"/>
        <s v="C124677"/>
        <s v="C610622"/>
        <s v="C142061"/>
        <s v="C408282"/>
        <s v="C381679"/>
        <s v="C309294"/>
        <s v="C142171"/>
        <s v="C104393"/>
        <s v="C191187"/>
        <s v="C534732"/>
        <s v="C162413"/>
        <s v="C207183"/>
        <s v="C770363"/>
        <s v="C167297"/>
        <s v="C626080"/>
        <s v="C208778"/>
        <s v="C317978"/>
        <s v="C172671"/>
        <s v="C128656"/>
        <s v="C253781"/>
        <s v="C110600"/>
        <s v="C837237"/>
        <s v="C216936"/>
        <s v="C778349"/>
        <s v="C102832"/>
        <s v="C200431"/>
        <s v="C287506"/>
        <s v="C969271"/>
        <s v="C766287"/>
        <s v="C211156"/>
        <s v="C146777"/>
        <s v="C161257"/>
        <s v="C175442"/>
        <s v="C216254"/>
        <s v="C318145"/>
        <s v="C628682"/>
        <s v="C191792"/>
        <s v="C258085"/>
        <s v="C325728"/>
        <s v="C960822"/>
        <s v="C992589"/>
        <s v="C315737"/>
        <s v="C603549"/>
        <s v="C274479"/>
        <s v="C326923"/>
        <s v="C292544"/>
        <s v="C647308"/>
        <s v="C356550"/>
        <s v="C272831"/>
        <s v="C228071"/>
        <s v="C331773"/>
        <s v="C314731"/>
        <s v="C136435"/>
        <s v="C237364"/>
        <s v="C200488"/>
        <s v="C182496"/>
        <s v="C212702"/>
        <s v="C836957"/>
        <s v="C118172"/>
        <s v="C277127"/>
        <s v="C183161"/>
        <s v="C231500"/>
        <s v="C624809"/>
        <s v="C250107"/>
        <s v="C310007"/>
        <s v="C937473"/>
        <s v="C386315"/>
        <s v="C133701"/>
        <s v="C363980"/>
        <s v="C607315"/>
        <s v="C135857"/>
        <s v="C174558"/>
        <s v="C114407"/>
        <s v="C233898"/>
        <s v="C274542"/>
        <s v="C193964"/>
        <s v="C173500"/>
        <s v="C180415"/>
        <s v="C306817"/>
        <s v="C132581"/>
        <s v="C337441"/>
        <s v="C993556"/>
        <s v="C146601"/>
        <s v="C272878"/>
        <s v="C183883"/>
        <s v="C564073"/>
        <s v="C223065"/>
        <s v="C222582"/>
        <s v="C143467"/>
        <s v="C170564"/>
        <s v="C281937"/>
        <s v="C265260"/>
        <s v="C236060"/>
        <s v="C323178"/>
        <s v="C250015"/>
        <s v="C157517"/>
        <s v="C242347"/>
        <s v="C215753"/>
        <s v="C131806"/>
        <s v="C168165"/>
        <s v="C194266"/>
        <s v="C298295"/>
        <s v="C689947"/>
        <s v="C293655"/>
        <s v="C296680"/>
        <s v="C296170"/>
        <s v="C129775"/>
        <s v="C237894"/>
        <s v="C177781"/>
        <s v="C317379"/>
        <s v="C294350"/>
        <s v="C261678"/>
        <s v="C468550"/>
        <s v="C162091"/>
        <s v="C180911"/>
        <s v="C107378"/>
        <s v="C726291"/>
        <s v="C927671"/>
        <s v="C241757"/>
        <s v="C127683"/>
        <s v="C502529"/>
        <s v="C666388"/>
        <s v="C148693"/>
        <s v="C335486"/>
        <s v="C231594"/>
        <s v="C118691"/>
        <s v="C247762"/>
        <s v="C155383"/>
        <s v="C216194"/>
        <s v="C204569"/>
        <s v="C670088"/>
        <s v="C431849"/>
        <s v="C208394"/>
        <s v="C416542"/>
        <s v="C234258"/>
        <s v="C208879"/>
        <s v="C121708"/>
        <s v="C311614"/>
        <s v="C164448"/>
        <s v="C210353"/>
        <s v="C266174"/>
        <s v="C434876"/>
        <s v="C228966"/>
        <s v="C117752"/>
        <s v="C156543"/>
        <s v="C201671"/>
        <s v="C354279"/>
        <s v="C183537"/>
        <s v="C152510"/>
        <s v="C158928"/>
        <s v="C116715"/>
        <s v="C125307"/>
        <s v="C333796"/>
        <s v="C178709"/>
        <s v="C207614"/>
        <s v="C248634"/>
        <s v="C419320"/>
        <s v="C121577"/>
        <s v="C113243"/>
        <s v="C241557"/>
        <s v="C499795"/>
        <s v="C156809"/>
        <s v="C316666"/>
        <s v="C117381"/>
        <s v="C158626"/>
        <s v="C167373"/>
        <s v="C171022"/>
        <s v="C119370"/>
        <s v="C846159"/>
        <s v="C245703"/>
        <s v="C297169"/>
        <s v="C629211"/>
        <s v="C317414"/>
        <s v="C253677"/>
        <s v="C336009"/>
        <s v="C283282"/>
        <s v="C170678"/>
        <s v="C123925"/>
        <s v="C219898"/>
        <s v="C284826"/>
        <s v="C237184"/>
        <s v="C306120"/>
        <s v="C298559"/>
        <s v="C137086"/>
        <s v="C303985"/>
        <s v="C244793"/>
        <s v="C533960"/>
        <s v="C271700"/>
        <s v="C316538"/>
        <s v="C334331"/>
        <s v="C279084"/>
        <s v="C318747"/>
        <s v="C329779"/>
        <s v="C998094"/>
        <s v="C450900"/>
        <s v="C260867"/>
        <s v="C179897"/>
        <s v="C634728"/>
        <s v="C256344"/>
        <s v="C310453"/>
        <s v="C904918"/>
        <s v="C279943"/>
        <s v="C522955"/>
        <s v="C153282"/>
        <s v="C272836"/>
        <s v="C152318"/>
        <s v="C256607"/>
        <s v="C425591"/>
        <s v="C602495"/>
        <s v="C103453"/>
        <s v="C162707"/>
        <s v="C148509"/>
        <s v="C156538"/>
        <s v="C936544"/>
        <s v="C232551"/>
        <s v="C480086"/>
        <s v="C385326"/>
        <s v="C719232"/>
        <s v="C134006"/>
        <s v="C105352"/>
        <s v="C129206"/>
        <s v="C309720"/>
        <s v="C235737"/>
        <s v="C123536"/>
        <s v="C482255"/>
        <s v="C121907"/>
        <s v="C189039"/>
        <s v="C332958"/>
        <s v="C260917"/>
        <s v="C367741"/>
        <s v="C232094"/>
        <s v="C936888"/>
        <s v="C285452"/>
        <s v="C199951"/>
        <s v="C138893"/>
        <s v="C244411"/>
        <s v="C278721"/>
        <s v="C122873"/>
        <s v="C143773"/>
        <s v="C696236"/>
        <s v="C226369"/>
        <s v="C123196"/>
        <s v="C246470"/>
        <s v="C608046"/>
        <s v="C673123"/>
        <s v="C235320"/>
        <s v="C193896"/>
        <s v="C315218"/>
        <s v="C462935"/>
        <s v="C190374"/>
        <s v="C222236"/>
        <s v="C161234"/>
        <s v="C136883"/>
        <s v="C982027"/>
        <s v="C239527"/>
        <s v="C282695"/>
        <s v="C364271"/>
        <s v="C274640"/>
        <s v="C299948"/>
        <s v="C291963"/>
        <s v="C174674"/>
        <s v="C887007"/>
        <s v="C115462"/>
        <s v="C144410"/>
        <s v="C113910"/>
        <s v="C107529"/>
        <s v="C288166"/>
        <s v="C152052"/>
        <s v="C779694"/>
        <s v="C189409"/>
        <s v="C296054"/>
        <s v="C268495"/>
        <s v="C168429"/>
        <s v="C272529"/>
        <s v="C271625"/>
        <s v="C116794"/>
        <s v="C146640"/>
        <s v="C233655"/>
        <s v="C261035"/>
        <s v="C295965"/>
        <s v="C191387"/>
        <s v="C211946"/>
        <s v="C212593"/>
        <s v="C227575"/>
        <s v="C498727"/>
        <s v="C703075"/>
        <s v="C392460"/>
        <s v="C312561"/>
        <s v="C155234"/>
        <s v="C668914"/>
        <s v="C245347"/>
        <s v="C108143"/>
        <s v="C131158"/>
        <s v="C638859"/>
        <s v="C580838"/>
        <s v="C315778"/>
        <s v="C122598"/>
        <s v="C234086"/>
        <s v="C197426"/>
        <s v="C745941"/>
        <s v="C753708"/>
        <s v="C289537"/>
        <s v="C231484"/>
        <s v="C214732"/>
        <s v="C603641"/>
        <s v="C996052"/>
        <s v="C134970"/>
        <s v="C263059"/>
        <s v="C318405"/>
        <s v="C831975"/>
        <s v="C193403"/>
        <s v="C422142"/>
        <s v="C140792"/>
        <s v="C191396"/>
        <s v="C582964"/>
        <s v="C232822"/>
        <s v="C208761"/>
        <s v="C250804"/>
        <s v="C336505"/>
        <s v="C827434"/>
        <s v="C125109"/>
        <s v="C402407"/>
        <s v="C224506"/>
        <s v="C156642"/>
        <s v="C336119"/>
        <s v="C203462"/>
        <s v="C314812"/>
        <s v="C766878"/>
        <s v="C722098"/>
        <s v="C844541"/>
        <s v="C165321"/>
        <s v="C315161"/>
        <s v="C270664"/>
        <s v="C453116"/>
        <s v="C114131"/>
        <s v="C251408"/>
        <s v="C786797"/>
        <s v="C269338"/>
        <s v="C301407"/>
        <s v="C115198"/>
        <s v="C298571"/>
        <s v="C298074"/>
        <s v="C322664"/>
        <s v="C239679"/>
        <s v="C164171"/>
        <s v="C268120"/>
        <s v="C131548"/>
        <s v="C463777"/>
        <s v="C280063"/>
        <s v="C126235"/>
        <s v="C235189"/>
        <s v="C236364"/>
        <s v="C313925"/>
        <s v="C275478"/>
        <s v="C109321"/>
        <s v="C177708"/>
        <s v="C262766"/>
        <s v="C666613"/>
        <s v="C154531"/>
        <s v="C295108"/>
        <s v="C287411"/>
        <s v="C286261"/>
        <s v="C616099"/>
        <s v="C149902"/>
        <s v="C128002"/>
        <s v="C323102"/>
        <s v="C210572"/>
        <s v="C150669"/>
        <s v="C262719"/>
        <s v="C302346"/>
        <s v="C157226"/>
        <s v="C769285"/>
        <s v="C338372"/>
        <s v="C309591"/>
        <s v="C104200"/>
        <s v="C115743"/>
        <s v="C144374"/>
        <s v="C683241"/>
        <s v="C185129"/>
        <s v="C254846"/>
        <s v="C197249"/>
        <s v="C322262"/>
        <s v="C156564"/>
        <s v="C113813"/>
        <s v="C103055"/>
        <s v="C105307"/>
        <s v="C331264"/>
        <s v="C145580"/>
        <s v="C319933"/>
        <s v="C249684"/>
        <s v="C306686"/>
        <s v="C867251"/>
        <s v="C114592"/>
        <s v="C310170"/>
        <s v="C789602"/>
        <s v="C259949"/>
        <s v="C787263"/>
        <s v="C324317"/>
        <s v="C121785"/>
        <s v="C407525"/>
        <s v="C128251"/>
        <s v="C158131"/>
        <s v="C300621"/>
        <s v="C350587"/>
        <s v="C844870"/>
        <s v="C199456"/>
        <s v="C216076"/>
        <s v="C195949"/>
        <s v="C306258"/>
        <s v="C329689"/>
        <s v="C134978"/>
        <s v="C182834"/>
        <s v="C184510"/>
        <s v="C889640"/>
        <s v="C269810"/>
        <s v="C133645"/>
        <s v="C523688"/>
        <s v="C227579"/>
        <s v="C203711"/>
        <s v="C282234"/>
        <s v="C318494"/>
        <s v="C273829"/>
        <s v="C127805"/>
        <s v="C252261"/>
        <s v="C628484"/>
        <s v="C336690"/>
        <s v="C330136"/>
        <s v="C163307"/>
        <s v="C127692"/>
        <s v="C460226"/>
        <s v="C274417"/>
        <s v="C763155"/>
        <s v="C287261"/>
        <s v="C135789"/>
        <s v="C328882"/>
        <s v="C174973"/>
        <s v="C335848"/>
        <s v="C171465"/>
        <s v="C194316"/>
        <s v="C106693"/>
        <s v="C282314"/>
        <s v="C830416"/>
        <s v="C221936"/>
        <s v="C192527"/>
        <s v="C378236"/>
        <s v="C161661"/>
        <s v="C270038"/>
        <s v="C102664"/>
        <s v="C240298"/>
        <s v="C231102"/>
        <s v="C116250"/>
        <s v="C411285"/>
        <s v="C964439"/>
        <s v="C209984"/>
        <s v="C305450"/>
        <s v="C246554"/>
        <s v="C112153"/>
        <s v="C583660"/>
        <s v="C125666"/>
        <s v="C379128"/>
        <s v="C944064"/>
        <s v="C240359"/>
        <s v="C521673"/>
        <s v="C217895"/>
        <s v="C180255"/>
        <s v="C299013"/>
        <s v="C199702"/>
        <s v="C317824"/>
        <s v="C240268"/>
        <s v="C369611"/>
        <s v="C941147"/>
        <s v="C220525"/>
        <s v="C602990"/>
        <s v="C905205"/>
        <s v="C210929"/>
        <s v="C191191"/>
        <s v="C247827"/>
        <s v="C988123"/>
        <s v="C134226"/>
        <s v="C114925"/>
        <s v="C177682"/>
        <s v="C340001"/>
        <s v="C782676"/>
        <s v="C378568"/>
        <s v="C182058"/>
        <s v="C102359"/>
        <s v="C444281"/>
        <s v="C181990"/>
        <s v="C662013"/>
        <s v="C112982"/>
        <s v="C224224"/>
        <s v="C760072"/>
        <s v="C158547"/>
        <s v="C816576"/>
        <s v="C288748"/>
        <s v="C156505"/>
        <s v="C150885"/>
        <s v="C279148"/>
        <s v="C252901"/>
        <s v="C251633"/>
        <s v="C896170"/>
        <s v="C264654"/>
        <s v="C603291"/>
        <s v="C262929"/>
        <s v="C148421"/>
        <s v="C319883"/>
        <s v="C211300"/>
        <s v="C184509"/>
        <s v="C182144"/>
        <s v="C321846"/>
        <s v="C166525"/>
        <s v="C273531"/>
        <s v="C142692"/>
        <s v="C262644"/>
        <s v="C245635"/>
        <s v="C185481"/>
        <s v="C633152"/>
        <s v="C335724"/>
        <s v="C142823"/>
        <s v="C228178"/>
        <s v="C317778"/>
        <s v="C267316"/>
        <s v="C264391"/>
        <s v="C340003"/>
        <s v="C115494"/>
        <s v="C119424"/>
      </sharedItems>
    </cacheField>
    <cacheField name="Gender" numFmtId="0">
      <sharedItems count="2">
        <s v="Female"/>
        <s v="Male"/>
      </sharedItems>
    </cacheField>
    <cacheField name="Age" numFmtId="0">
      <sharedItems containsSemiMixedTypes="0" containsString="0" containsNumber="1" containsInteger="1" minValue="18" maxValue="69" count="52">
        <n v="19"/>
        <n v="18"/>
        <n v="21"/>
        <n v="23"/>
        <n v="20"/>
        <n v="24"/>
        <n v="22"/>
        <n v="25"/>
        <n v="30"/>
        <n v="27"/>
        <n v="31"/>
        <n v="33"/>
        <n v="32"/>
        <n v="34"/>
        <n v="28"/>
        <n v="26"/>
        <n v="29"/>
        <n v="35"/>
        <n v="39"/>
        <n v="44"/>
        <n v="36"/>
        <n v="38"/>
        <n v="37"/>
        <n v="43"/>
        <n v="41"/>
        <n v="42"/>
        <n v="40"/>
        <n v="50"/>
        <n v="52"/>
        <n v="46"/>
        <n v="49"/>
        <n v="45"/>
        <n v="48"/>
        <n v="54"/>
        <n v="47"/>
        <n v="53"/>
        <n v="51"/>
        <n v="65"/>
        <n v="55"/>
        <n v="67"/>
        <n v="56"/>
        <n v="63"/>
        <n v="64"/>
        <n v="68"/>
        <n v="60"/>
        <n v="69"/>
        <n v="62"/>
        <n v="57"/>
        <n v="58"/>
        <n v="59"/>
        <n v="66"/>
        <n v="61"/>
      </sharedItems>
    </cacheField>
    <cacheField name="Category" numFmtId="0">
      <sharedItems count="8">
        <s v="Technology"/>
        <s v="Clothing"/>
        <s v="Food &amp; Beverage"/>
        <s v="Cosmetics"/>
        <s v="Shoes"/>
        <s v="Toys"/>
        <s v="Souvenir"/>
        <s v="Books"/>
      </sharedItems>
    </cacheField>
    <cacheField name="Quantity" numFmtId="0">
      <sharedItems containsSemiMixedTypes="0" containsString="0" containsNumber="1" containsInteger="1" minValue="1" maxValue="5"/>
    </cacheField>
    <cacheField name="Price" numFmtId="0">
      <sharedItems containsSemiMixedTypes="0" containsString="0" containsNumber="1" minValue="5.23" maxValue="5250"/>
    </cacheField>
    <cacheField name="Payment_method" numFmtId="0">
      <sharedItems count="3">
        <s v="Cash"/>
        <s v="Credit Card"/>
        <s v="Debit Card"/>
      </sharedItems>
    </cacheField>
    <cacheField name="Invoice_date" numFmtId="14">
      <sharedItems containsNonDate="0" containsDate="1" containsMixedTypes="1" minDate="2021-01-01T00:00:00" maxDate="2023-12-03T00:00:00" count="995">
        <d v="2022-05-18T00:00:00"/>
        <d v="2021-06-19T00:00:00"/>
        <d v="2022-06-23T00:00:00"/>
        <d v="2023-01-02T00:00:00"/>
        <d v="2022-07-16T00:00:00"/>
        <d v="2022-12-10T00:00:00"/>
        <d v="2022-04-25T00:00:00"/>
        <d v="2021-07-28T00:00:00"/>
        <d v="2021-04-19T00:00:00"/>
        <d v="2022-10-20T00:00:00"/>
        <d v="2021-08-03T00:00:00"/>
        <d v="2022-08-16T00:00:00"/>
        <d v="2022-09-30T00:00:00"/>
        <d v="2021-08-20T00:00:00"/>
        <d v="2022-07-11T00:00:00"/>
        <d v="2022-10-10T00:00:00"/>
        <d v="2021-08-24T00:00:00"/>
        <d v="2021-05-02T00:00:00"/>
        <d v="2021-09-22T00:00:00"/>
        <d v="2021-05-16T00:00:00"/>
        <d v="2021-11-02T00:00:00"/>
        <d v="2022-04-12T00:00:00"/>
        <d v="2021-02-19T00:00:00"/>
        <d v="2021-08-31T00:00:00"/>
        <d v="2021-03-24T00:00:00"/>
        <d v="2021-06-05T00:00:00"/>
        <d v="2021-01-03T00:00:00"/>
        <d v="2022-02-20T00:00:00"/>
        <d v="2021-06-11T00:00:00"/>
        <d v="2021-03-04T00:00:00"/>
        <d v="2022-05-23T00:00:00"/>
        <d v="2021-04-30T00:00:00"/>
        <d v="2022-03-31T00:00:00"/>
        <d v="2021-01-19T00:00:00"/>
        <d v="2022-03-07T00:00:00"/>
        <d v="2021-04-02T00:00:00"/>
        <d v="2021-10-17T00:00:00"/>
        <d v="2021-01-08T00:00:00"/>
        <d v="2021-12-26T00:00:00"/>
        <d v="2021-09-02T00:00:00"/>
        <d v="2021-08-22T00:00:00"/>
        <d v="2021-12-20T00:00:00"/>
        <d v="2021-08-29T00:00:00"/>
        <d v="2022-09-17T00:00:00"/>
        <d v="2022-06-18T00:00:00"/>
        <d v="2021-09-10T00:00:00"/>
        <d v="2022-02-26T00:00:00"/>
        <d v="2022-09-06T00:00:00"/>
        <d v="2022-04-21T00:00:00"/>
        <d v="2022-08-22T00:00:00"/>
        <d v="2022-07-26T00:00:00"/>
        <d v="2022-07-04T00:00:00"/>
        <d v="2022-07-05T00:00:00"/>
        <d v="2021-01-21T00:00:00"/>
        <d v="2021-03-12T00:00:00"/>
        <d v="2022-05-01T00:00:00"/>
        <d v="2022-03-25T00:00:00"/>
        <d v="2022-11-26T00:00:00"/>
        <d v="2022-06-07T00:00:00"/>
        <d v="2022-11-10T00:00:00"/>
        <d v="2021-08-12T00:00:00"/>
        <d v="2021-07-08T00:00:00"/>
        <d v="2022-05-02T00:00:00"/>
        <d v="2021-06-16T00:00:00"/>
        <d v="2022-08-18T00:00:00"/>
        <d v="2021-01-17T00:00:00"/>
        <d v="2022-07-14T00:00:00"/>
        <d v="2021-01-10T00:00:00"/>
        <d v="2022-03-19T00:00:00"/>
        <d v="2022-03-11T00:00:00"/>
        <d v="2022-06-03T00:00:00"/>
        <d v="2021-01-23T00:00:00"/>
        <d v="2021-06-12T00:00:00"/>
        <d v="2022-10-06T00:00:00"/>
        <d v="2021-05-10T00:00:00"/>
        <d v="2021-11-04T00:00:00"/>
        <d v="2021-11-12T00:00:00"/>
        <d v="2021-11-10T00:00:00"/>
        <d v="2022-12-02T00:00:00"/>
        <d v="2022-09-20T00:00:00"/>
        <d v="2021-02-22T00:00:00"/>
        <d v="2022-12-25T00:00:00"/>
        <d v="2022-01-07T00:00:00"/>
        <d v="2022-01-23T00:00:00"/>
        <d v="2022-08-10T00:00:00"/>
        <d v="2021-08-05T00:00:00"/>
        <d v="2021-07-07T00:00:00"/>
        <d v="2022-11-16T00:00:00"/>
        <d v="2022-08-14T00:00:00"/>
        <d v="2022-08-04T00:00:00"/>
        <d v="2022-12-24T00:00:00"/>
        <d v="2022-06-02T00:00:00"/>
        <d v="2023-02-11T00:00:00"/>
        <d v="2021-01-25T00:00:00"/>
        <d v="2023-01-04T00:00:00"/>
        <d v="2022-07-10T00:00:00"/>
        <d v="2022-01-28T00:00:00"/>
        <d v="2022-08-08T00:00:00"/>
        <d v="2022-05-31T00:00:00"/>
        <d v="2022-10-17T00:00:00"/>
        <d v="2022-08-30T00:00:00"/>
        <d v="2022-11-20T00:00:00"/>
        <d v="2022-09-05T00:00:00"/>
        <d v="2022-06-12T00:00:00"/>
        <d v="2021-06-28T00:00:00"/>
        <d v="2021-01-24T00:00:00"/>
        <d v="2022-11-06T00:00:00"/>
        <d v="2021-08-15T00:00:00"/>
        <d v="2021-03-05T00:00:00"/>
        <d v="2023-03-06T00:00:00"/>
        <d v="2022-05-12T00:00:00"/>
        <d v="2023-02-18T00:00:00"/>
        <d v="2022-04-05T00:00:00"/>
        <d v="2022-09-24T00:00:00"/>
        <d v="2021-03-19T00:00:00"/>
        <d v="2021-11-06T00:00:00"/>
        <d v="2022-07-20T00:00:00"/>
        <d v="2021-07-24T00:00:00"/>
        <d v="2021-11-27T00:00:00"/>
        <d v="2022-10-15T00:00:00"/>
        <d v="2023-02-27T00:00:00"/>
        <d v="2021-10-08T00:00:00"/>
        <d v="2021-10-16T00:00:00"/>
        <d v="2021-06-21T00:00:00"/>
        <d v="2021-11-25T00:00:00"/>
        <d v="2021-12-31T00:00:00"/>
        <d v="2022-04-04T00:00:00"/>
        <d v="2021-10-13T00:00:00"/>
        <d v="2021-04-17T00:00:00"/>
        <d v="2022-03-26T00:00:00"/>
        <d v="2021-06-29T00:00:00"/>
        <d v="2021-04-11T00:00:00"/>
        <d v="2022-04-18T00:00:00"/>
        <d v="2022-09-18T00:00:00"/>
        <d v="2022-12-20T00:00:00"/>
        <d v="2022-02-25T00:00:00"/>
        <d v="2021-06-26T00:00:00"/>
        <d v="2021-04-12T00:00:00"/>
        <d v="2022-03-09T00:00:00"/>
        <d v="2021-05-26T00:00:00"/>
        <d v="2023-02-28T00:00:00"/>
        <d v="2022-02-13T00:00:00"/>
        <d v="2022-11-28T00:00:00"/>
        <d v="2022-10-29T00:00:00"/>
        <d v="2021-08-04T00:00:00"/>
        <d v="2022-07-15T00:00:00"/>
        <d v="2021-09-24T00:00:00"/>
        <d v="2021-04-22T00:00:00"/>
        <d v="2023-03-02T00:00:00"/>
        <d v="2021-04-16T00:00:00"/>
        <d v="2021-09-30T00:00:00"/>
        <d v="2021-11-08T00:00:00"/>
        <d v="2021-10-10T00:00:00"/>
        <d v="2021-11-09T00:00:00"/>
        <d v="2021-05-25T00:00:00"/>
        <d v="2021-11-24T00:00:00"/>
        <d v="2022-04-09T00:00:00"/>
        <d v="2021-07-14T00:00:00"/>
        <d v="2021-05-03T00:00:00"/>
        <d v="2021-08-11T00:00:00"/>
        <d v="2021-12-19T00:00:00"/>
        <d v="2022-12-29T00:00:00"/>
        <d v="2023-02-17T00:00:00"/>
        <d v="2021-03-15T00:00:00"/>
        <d v="2021-07-30T00:00:00"/>
        <d v="2022-09-10T00:00:00"/>
        <d v="2021-05-06T00:00:00"/>
        <d v="2022-12-23T00:00:00"/>
        <d v="2021-05-04T00:00:00"/>
        <d v="2021-07-19T00:00:00"/>
        <d v="2023-01-29T00:00:00"/>
        <d v="2021-03-07T00:00:00"/>
        <d v="2021-09-21T00:00:00"/>
        <d v="2021-09-07T00:00:00"/>
        <d v="2022-12-01T00:00:00"/>
        <d v="2022-10-18T00:00:00"/>
        <d v="2021-01-01T00:00:00"/>
        <d v="2021-08-01T00:00:00"/>
        <d v="2022-08-21T00:00:00"/>
        <d v="2021-06-17T00:00:00"/>
        <d v="2022-12-22T00:00:00"/>
        <d v="2021-03-14T00:00:00"/>
        <d v="2023-02-13T00:00:00"/>
        <d v="2021-03-06T00:00:00"/>
        <d v="2021-02-25T00:00:00"/>
        <d v="2021-01-22T00:00:00"/>
        <d v="2022-09-14T00:00:00"/>
        <d v="2021-11-29T00:00:00"/>
        <d v="2021-09-05T00:00:00"/>
        <d v="2021-12-05T00:00:00"/>
        <d v="2023-01-15T00:00:00"/>
        <d v="2022-06-05T00:00:00"/>
        <d v="2023-02-02T00:00:00"/>
        <d v="2023-01-25T00:00:00"/>
        <d v="2021-11-28T00:00:00"/>
        <d v="2022-07-22T00:00:00"/>
        <d v="2022-08-01T00:00:00"/>
        <d v="2021-02-02T00:00:00"/>
        <d v="2022-08-28T00:00:00"/>
        <d v="2021-12-03T00:00:00"/>
        <d v="2022-10-11T00:00:00"/>
        <d v="2021-09-08T00:00:00"/>
        <d v="2021-04-25T00:00:00"/>
        <d v="2022-10-22T00:00:00"/>
        <d v="2021-06-22T00:00:00"/>
        <d v="2022-07-13T00:00:00"/>
        <d v="2022-11-11T00:00:00"/>
        <d v="2022-05-14T00:00:00"/>
        <d v="2023-03-04T00:00:00"/>
        <d v="2022-04-29T00:00:00"/>
        <d v="2023-01-22T00:00:00"/>
        <d v="2021-08-16T00:00:00"/>
        <d v="2021-10-20T00:00:00"/>
        <d v="2023-02-25T00:00:00"/>
        <d v="2023-02-22T00:00:00"/>
        <d v="2021-06-15T00:00:00"/>
        <d v="2021-11-13T00:00:00"/>
        <d v="2021-04-20T00:00:00"/>
        <d v="2022-06-20T00:00:00"/>
        <d v="2022-02-19T00:00:00"/>
        <d v="2022-03-15T00:00:00"/>
        <d v="2022-07-21T00:00:00"/>
        <d v="2021-06-25T00:00:00"/>
        <d v="2021-12-25T00:00:00"/>
        <d v="2022-02-28T00:00:00"/>
        <d v="2021-02-21T00:00:00"/>
        <d v="2022-11-07T00:00:00"/>
        <d v="2022-01-31T00:00:00"/>
        <d v="2021-04-04T00:00:00"/>
        <d v="2021-01-29T00:00:00"/>
        <d v="2022-04-28T00:00:00"/>
        <d v="2021-03-23T00:00:00"/>
        <d v="2022-03-27T00:00:00"/>
        <d v="2021-02-24T00:00:00"/>
        <d v="2021-04-05T00:00:00"/>
        <d v="2022-05-16T00:00:00"/>
        <d v="2022-03-01T00:00:00"/>
        <d v="2021-02-20T00:00:00"/>
        <d v="2021-10-06T00:00:00"/>
        <d v="2023-01-16T00:00:00"/>
        <d v="2021-09-14T00:00:00"/>
        <d v="2022-02-23T00:00:00"/>
        <d v="2021-07-03T00:00:00"/>
        <d v="2021-05-28T00:00:00"/>
        <d v="2022-05-26T00:00:00"/>
        <d v="2022-11-15T00:00:00"/>
        <d v="2022-11-12T00:00:00"/>
        <d v="2022-08-24T00:00:00"/>
        <d v="2022-11-25T00:00:00"/>
        <d v="2022-09-03T00:00:00"/>
        <d v="2023-01-13T00:00:00"/>
        <d v="2022-06-25T00:00:00"/>
        <d v="2021-02-06T00:00:00"/>
        <d v="2022-10-30T00:00:00"/>
        <d v="2021-10-12T00:00:00"/>
        <d v="2021-08-17T00:00:00"/>
        <d v="2022-02-04T00:00:00"/>
        <d v="2021-01-26T00:00:00"/>
        <d v="2022-12-09T00:00:00"/>
        <d v="2022-10-12T00:00:00"/>
        <d v="2022-08-27T00:00:00"/>
        <d v="2022-04-15T00:00:00"/>
        <d v="2021-09-12T00:00:00"/>
        <d v="2021-11-16T00:00:00"/>
        <d v="2021-08-28T00:00:00"/>
        <d v="2021-11-15T00:00:00"/>
        <d v="2021-12-07T00:00:00"/>
        <d v="2022-03-06T00:00:00"/>
        <d v="2023-02-21T00:00:00"/>
        <d v="2023-01-12T00:00:00"/>
        <d v="2022-12-19T00:00:00"/>
        <d v="2022-05-29T00:00:00"/>
        <d v="2023-03-03T00:00:00"/>
        <d v="2021-02-13T00:00:00"/>
        <d v="2022-12-13T00:00:00"/>
        <d v="2021-08-09T00:00:00"/>
        <d v="2022-09-09T00:00:00"/>
        <d v="2023-02-24T00:00:00"/>
        <d v="2021-09-18T00:00:00"/>
        <d v="2021-05-01T00:00:00"/>
        <d v="2021-09-01T00:00:00"/>
        <d v="2022-04-13T00:00:00"/>
        <d v="2022-08-17T00:00:00"/>
        <d v="2022-06-14T00:00:00"/>
        <d v="2022-11-22T00:00:00"/>
        <d v="2021-07-11T00:00:00"/>
        <d v="2021-09-15T00:00:00"/>
        <d v="2021-09-26T00:00:00"/>
        <d v="2022-04-26T00:00:00"/>
        <d v="2021-07-12T00:00:00"/>
        <d v="2021-08-18T00:00:00"/>
        <d v="2021-02-08T00:00:00"/>
        <d v="2022-02-02T00:00:00"/>
        <d v="2021-01-05T00:00:00"/>
        <d v="2021-10-29T00:00:00"/>
        <d v="2021-10-11T00:00:00"/>
        <d v="2022-08-12T00:00:00"/>
        <d v="2022-06-09T00:00:00"/>
        <d v="2022-02-10T00:00:00"/>
        <d v="2021-01-13T00:00:00"/>
        <d v="2023-02-15T00:00:00"/>
        <d v="2022-06-17T00:00:00"/>
        <d v="2022-08-26T00:00:00"/>
        <d v="2022-04-08T00:00:00"/>
        <d v="2022-10-28T00:00:00"/>
        <d v="2022-09-27T00:00:00"/>
        <d v="2022-07-24T00:00:00"/>
        <d v="2021-07-02T00:00:00"/>
        <d v="2021-08-25T00:00:00"/>
        <d v="2021-07-05T00:00:00"/>
        <d v="2022-03-10T00:00:00"/>
        <d v="2022-08-06T00:00:00"/>
        <d v="2021-03-11T00:00:00"/>
        <d v="2023-01-14T00:00:00"/>
        <d v="2022-12-12T00:00:00"/>
        <d v="2022-05-21T00:00:00"/>
        <d v="2022-06-24T00:00:00"/>
        <d v="2022-03-23T00:00:00"/>
        <d v="2021-12-08T00:00:00"/>
        <d v="2021-05-29T00:00:00"/>
        <d v="2022-12-26T00:00:00"/>
        <d v="2022-09-29T00:00:00"/>
        <d v="2023-03-01T00:00:00"/>
        <d v="2021-08-30T00:00:00"/>
        <d v="2022-12-28T00:00:00"/>
        <d v="2021-09-25T00:00:00"/>
        <d v="2021-12-06T00:00:00"/>
        <d v="2021-10-22T00:00:00"/>
        <d v="2023-02-10T00:00:00"/>
        <d v="2023-01-23T00:00:00"/>
        <d v="2021-08-07T00:00:00"/>
        <d v="2022-01-05T00:00:00"/>
        <d v="2022-10-14T00:00:00"/>
        <d v="2022-06-10T00:00:00"/>
        <d v="2022-03-29T00:00:00"/>
        <d v="2022-09-22T00:00:00"/>
        <d v="2021-10-26T00:00:00"/>
        <d v="2023-02-16T00:00:00"/>
        <d v="2021-02-01T00:00:00"/>
        <d v="2021-02-26T00:00:00"/>
        <d v="2022-04-07T00:00:00"/>
        <d v="2021-07-20T00:00:00"/>
        <d v="2021-05-22T00:00:00"/>
        <d v="2022-05-07T00:00:00"/>
        <d v="2022-04-23T00:00:00"/>
        <d v="2022-10-05T00:00:00"/>
        <d v="2021-05-08T00:00:00"/>
        <d v="2022-05-20T00:00:00"/>
        <d v="2022-01-10T00:00:00"/>
        <d v="2022-09-28T00:00:00"/>
        <d v="2021-03-22T00:00:00"/>
        <d v="2022-01-08T00:00:00"/>
        <d v="2022-01-12T00:00:00"/>
        <d v="2022-12-03T00:00:00"/>
        <d v="2021-09-16T00:00:00"/>
        <d v="2021-11-11T00:00:00"/>
        <d v="2022-03-16T00:00:00"/>
        <d v="2021-04-21T00:00:00"/>
        <d v="2021-09-20T00:00:00"/>
        <d v="2022-09-07T00:00:00"/>
        <d v="2022-11-27T00:00:00"/>
        <d v="2021-12-13T00:00:00"/>
        <d v="2021-02-03T00:00:00"/>
        <d v="2022-12-18T00:00:00"/>
        <d v="2022-09-15T00:00:00"/>
        <d v="2022-11-24T00:00:00"/>
        <d v="2022-10-27T00:00:00"/>
        <d v="2022-03-24T00:00:00"/>
        <d v="2023-02-01T00:00:00"/>
        <d v="2021-11-21T00:00:00"/>
        <d v="2022-08-19T00:00:00"/>
        <d v="2021-01-07T00:00:00"/>
        <d v="2023-01-05T00:00:00"/>
        <d v="2022-06-29T00:00:00"/>
        <d v="2022-07-17T00:00:00"/>
        <d v="2022-01-02T00:00:00"/>
        <d v="2021-05-27T00:00:00"/>
        <d v="2023-03-05T00:00:00"/>
        <d v="2021-11-07T00:00:00"/>
        <d v="2021-06-01T00:00:00"/>
        <d v="2021-06-14T00:00:00"/>
        <d v="2021-08-13T00:00:00"/>
        <d v="2021-07-10T00:00:00"/>
        <d v="2021-08-06T00:00:00"/>
        <d v="2022-09-13T00:00:00"/>
        <d v="2021-01-31T00:00:00"/>
        <d v="2022-04-16T00:00:00"/>
        <d v="2022-11-21T00:00:00"/>
        <d v="2022-07-30T00:00:00"/>
        <d v="2021-12-24T00:00:00"/>
        <d v="2022-04-22T00:00:00"/>
        <d v="2021-04-15T00:00:00"/>
        <d v="2021-05-19T00:00:00"/>
        <d v="2022-02-01T00:00:00"/>
        <d v="2021-01-04T00:00:00"/>
        <d v="2021-11-26T00:00:00"/>
        <d v="2021-05-09T00:00:00"/>
        <d v="2022-06-26T00:00:00"/>
        <d v="2022-03-05T00:00:00"/>
        <d v="2023-01-18T00:00:00"/>
        <d v="2023-01-11T00:00:00"/>
        <d v="2023-02-07T00:00:00"/>
        <d v="2022-05-28T00:00:00"/>
        <d v="2022-04-19T00:00:00"/>
        <d v="2021-06-08T00:00:00"/>
        <d v="2022-01-17T00:00:00"/>
        <d v="2022-04-27T00:00:00"/>
        <d v="2021-06-09T00:00:00"/>
        <d v="2021-11-18T00:00:00"/>
        <d v="2022-02-12T00:00:00"/>
        <d v="2022-04-30T00:00:00"/>
        <d v="2022-06-22T00:00:00"/>
        <d v="2022-03-02T00:00:00"/>
        <d v="2022-06-30T00:00:00"/>
        <d v="2022-06-19T00:00:00"/>
        <d v="2021-09-29T00:00:00"/>
        <d v="2021-06-02T00:00:00"/>
        <d v="2021-06-10T00:00:00"/>
        <d v="2021-10-19T00:00:00"/>
        <d v="2021-12-30T00:00:00"/>
        <d v="2021-02-27T00:00:00"/>
        <d v="2023-02-03T00:00:00"/>
        <d v="2021-12-17T00:00:00"/>
        <d v="2021-10-15T00:00:00"/>
        <d v="2022-04-20T00:00:00"/>
        <d v="2022-01-11T00:00:00"/>
        <d v="2021-07-06T00:00:00"/>
        <d v="2022-01-14T00:00:00"/>
        <d v="2022-06-16T00:00:00"/>
        <d v="2022-03-28T00:00:00"/>
        <d v="2021-12-27T00:00:00"/>
        <d v="2021-04-03T00:00:00"/>
        <d v="2021-10-25T00:00:00"/>
        <d v="2021-08-08T00:00:00"/>
        <d v="2022-12-07T00:00:00"/>
        <d v="2021-06-18T00:00:00"/>
        <d v="2021-02-04T00:00:00"/>
        <d v="2022-02-17T00:00:00"/>
        <d v="2021-04-27T00:00:00"/>
        <d v="2022-07-29T00:00:00"/>
        <d v="2021-02-16T00:00:00"/>
        <d v="2022-10-01T00:00:00"/>
        <d v="2021-10-02T00:00:00"/>
        <d v="2021-05-24T00:00:00"/>
        <d v="2021-08-21T00:00:00"/>
        <d v="2022-03-22T00:00:00"/>
        <d v="2022-10-23T00:00:00"/>
        <d v="2022-01-15T00:00:00"/>
        <d v="2021-11-17T00:00:00"/>
        <d v="2021-12-01T00:00:00"/>
        <d v="2021-07-31T00:00:00"/>
        <d v="2022-03-30T00:00:00"/>
        <d v="2022-11-23T00:00:00"/>
        <d v="2021-01-12T00:00:00"/>
        <d v="2022-09-25T00:00:00"/>
        <d v="2023-01-01T00:00:00"/>
        <d v="2022-05-25T00:00:00"/>
        <d v="2021-09-13T00:00:00"/>
        <d v="2021-10-27T00:00:00"/>
        <d v="2021-01-16T00:00:00"/>
        <d v="2022-11-30T00:00:00"/>
        <d v="2022-09-16T00:00:00"/>
        <d v="2021-06-13T00:00:00"/>
        <d v="2022-05-13T00:00:00"/>
        <d v="2021-03-28T00:00:00"/>
        <d v="2021-10-14T00:00:00"/>
        <d v="2022-06-08T00:00:00"/>
        <d v="2021-04-24T00:00:00"/>
        <d v="2021-11-01T00:00:00"/>
        <d v="2022-10-26T00:00:00"/>
        <d v="2022-11-02T00:00:00"/>
        <d v="2021-08-02T00:00:00"/>
        <d v="2022-02-15T00:00:00"/>
        <d v="2021-06-06T00:00:00"/>
        <d v="2021-08-10T00:00:00"/>
        <d v="2022-10-09T00:00:00"/>
        <d v="2021-12-18T00:00:00"/>
        <d v="2021-11-23T00:00:00"/>
        <d v="2022-11-18T00:00:00"/>
        <d v="2021-07-23T00:00:00"/>
        <d v="2021-05-18T00:00:00"/>
        <d v="2023-01-30T00:00:00"/>
        <d v="2021-07-18T00:00:00"/>
        <d v="2021-03-20T00:00:00"/>
        <d v="2021-02-10T00:00:00"/>
        <d v="2022-12-11T00:00:00"/>
        <d v="2022-08-13T00:00:00"/>
        <d v="2022-01-24T00:00:00"/>
        <d v="2022-11-17T00:00:00"/>
        <d v="2022-05-19T00:00:00"/>
        <d v="2022-12-30T00:00:00"/>
        <d v="2022-10-25T00:00:00"/>
        <d v="2021-11-22T00:00:00"/>
        <d v="2021-12-23T00:00:00"/>
        <d v="2021-11-03T00:00:00"/>
        <d v="2023-01-10T00:00:00"/>
        <d v="2022-09-04T00:00:00"/>
        <d v="2021-03-29T00:00:00"/>
        <d v="2021-03-31T00:00:00"/>
        <d v="2022-01-19T00:00:00"/>
        <d v="2023-01-07T00:00:00"/>
        <d v="2022-03-18T00:00:00"/>
        <d v="2022-04-06T00:00:00"/>
        <d v="2022-03-21T00:00:00"/>
        <d v="2022-07-06T00:00:00"/>
        <d v="2022-04-02T00:00:00"/>
        <d v="2021-06-03T00:00:00"/>
        <d v="2023-01-17T00:00:00"/>
        <d v="2021-10-24T00:00:00"/>
        <d v="2021-04-10T00:00:00"/>
        <d v="2021-04-06T00:00:00"/>
        <d v="2021-02-12T00:00:00"/>
        <d v="2023-01-31T00:00:00"/>
        <d v="2022-01-22T00:00:00"/>
        <d v="2021-09-23T00:00:00"/>
        <d v="2022-05-11T00:00:00"/>
        <d v="2021-12-11T00:00:00"/>
        <d v="2021-02-09T00:00:00"/>
        <d v="2022-08-31T00:00:00"/>
        <d v="2022-09-12T00:00:00"/>
        <d v="2021-02-07T00:00:00"/>
        <d v="2022-07-31T00:00:00"/>
        <d v="2022-06-13T00:00:00"/>
        <d v="2021-04-29T00:00:00"/>
        <d v="2021-04-09T00:00:00"/>
        <d v="2022-05-06T00:00:00"/>
        <d v="2022-03-14T00:00:00"/>
        <d v="2022-07-01T00:00:00"/>
        <d v="2022-07-28T00:00:00"/>
        <d v="2022-09-26T00:00:00"/>
        <d v="2021-05-17T00:00:00"/>
        <d v="2021-10-05T00:00:00"/>
        <d v="2022-11-29T00:00:00"/>
        <d v="2022-03-04T00:00:00"/>
        <d v="2022-11-01T00:00:00"/>
        <d v="2022-05-04T00:00:00"/>
        <d v="2021-07-21T00:00:00"/>
        <d v="2023-02-14T00:00:00"/>
        <d v="2021-09-06T00:00:00"/>
        <d v="2021-08-14T00:00:00"/>
        <d v="2021-04-23T00:00:00"/>
        <d v="2021-12-14T00:00:00"/>
        <d v="2021-04-18T00:00:00"/>
        <d v="2023-01-24T00:00:00"/>
        <d v="2022-02-03T00:00:00"/>
        <d v="2022-10-21T00:00:00"/>
        <d v="2021-05-13T00:00:00"/>
        <d v="2022-01-25T00:00:00"/>
        <d v="2022-06-11T00:00:00"/>
        <d v="2023-02-12T00:00:00"/>
        <d v="2022-07-03T00:00:00"/>
        <d v="2022-08-23T00:00:00"/>
        <d v="2021-09-27T00:00:00"/>
        <d v="2021-04-01T00:00:00"/>
        <d v="2022-02-05T00:00:00"/>
        <d v="2022-09-01T00:00:00"/>
        <d v="2022-08-05T00:00:00"/>
        <d v="2021-06-30T00:00:00"/>
        <d v="2022-07-08T00:00:00"/>
        <d v="2022-10-02T00:00:00"/>
        <d v="2021-07-25T00:00:00"/>
        <d v="2021-05-21T00:00:00"/>
        <d v="2021-10-09T00:00:00"/>
        <d v="2022-10-16T00:00:00"/>
        <d v="2022-01-16T00:00:00"/>
        <d v="2021-06-20T00:00:00"/>
        <d v="2021-01-02T00:00:00"/>
        <d v="2022-01-03T00:00:00"/>
        <d v="2022-07-09T00:00:00"/>
        <d v="2023-01-08T00:00:00"/>
        <d v="2022-08-09T00:00:00"/>
        <d v="2023-02-05T00:00:00"/>
        <d v="2022-07-07T00:00:00"/>
        <d v="2022-08-03T00:00:00"/>
        <d v="2022-09-21T00:00:00"/>
        <d v="2021-03-01T00:00:00"/>
        <d v="2021-10-21T00:00:00"/>
        <d v="2021-09-17T00:00:00"/>
        <d v="2021-03-21T00:00:00"/>
        <d v="2022-07-27T00:00:00"/>
        <d v="2022-10-07T00:00:00" u="1"/>
        <s v="18-06-2021" u="1"/>
        <d v="2023-05-01T00:00:00" u="1"/>
        <s v="18-05-2022" u="1"/>
        <s v="19-06-2021" u="1"/>
        <s v="23-06-2022" u="1"/>
        <s v="19-10-2021" u="1"/>
        <s v="24-07-2022" u="1"/>
        <s v="26-12-2021" u="1"/>
        <s v="13-10-2021" u="1"/>
        <s v="14-06-2021" u="1"/>
        <s v="13-08-2021" u="1"/>
        <s v="16-10-2021" u="1"/>
        <d v="2021-03-02T00:00:00" u="1"/>
        <d v="2021-10-07T00:00:00" u="1"/>
        <s v="26-04-2022" u="1"/>
        <s v="31-12-2021" u="1"/>
        <s v="27-03-2022" u="1"/>
        <s v="17-04-2021" u="1"/>
        <s v="18-12-2021" u="1"/>
        <s v="23-11-2021" u="1"/>
        <s v="24-08-2022" u="1"/>
        <s v="16-11-2021" u="1"/>
        <s v="15-04-2022" u="1"/>
        <d v="2021-12-09T00:00:00" u="1"/>
        <s v="13-09-2022" u="1"/>
        <s v="31-01-2021" u="1"/>
        <s v="18-11-2022" u="1"/>
        <s v="26-03-2022" u="1"/>
        <s v="16-07-2022" u="1"/>
        <s v="16-05-2021" u="1"/>
        <s v="28-08-2021" u="1"/>
        <s v="25-04-2022" u="1"/>
        <s v="16-04-2022" u="1"/>
        <s v="17-11-2021" u="1"/>
        <s v="23-07-2021" u="1"/>
        <s v="25-02-2021" u="1"/>
        <s v="29-06-2021" u="1"/>
        <s v="25-01-2021" u="1"/>
        <s v="15-11-2021" u="1"/>
        <s v="18-05-2021" u="1"/>
        <s v="18-04-2022" u="1"/>
        <s v="18-09-2022" u="1"/>
        <s v="30-01-2023" u="1"/>
        <s v="28-07-2021" u="1"/>
        <s v="26-02-2022" u="1"/>
        <s v="20-12-2022" u="1"/>
        <s v="18-07-2021" u="1"/>
        <s v="25-02-2022" u="1"/>
        <s v="20-03-2021" u="1"/>
        <s v="20-11-2022" u="1"/>
        <s v="26-06-2021" u="1"/>
        <s v="19-04-2021" u="1"/>
        <s v="31-08-2021" u="1"/>
        <d v="2021-12-04T00:00:00" u="1"/>
        <s v="15-10-2022" u="1"/>
        <s v="26-05-2021" u="1"/>
        <s v="21-11-2022" u="1"/>
        <s v="13-05-2022" u="1"/>
        <s v="21-02-2023" u="1"/>
        <s v="28-02-2023" u="1"/>
        <s v="19-07-2021" u="1"/>
        <s v="20-10-2022" u="1"/>
        <d v="2023-12-01T00:00:00" u="1"/>
        <s v="19-12-2022" u="1"/>
        <s v="29-05-2022" u="1"/>
        <s v="13-02-2021" u="1"/>
        <s v="28-06-2021" u="1"/>
        <s v="30-07-2022" u="1"/>
        <s v="13-08-2022" u="1"/>
        <s v="13-02-2022" u="1"/>
        <s v="24-12-2021" u="1"/>
        <d v="2021-03-08T00:00:00" u="1"/>
        <s v="16-08-2022" u="1"/>
        <s v="28-11-2022" u="1"/>
        <s v="30-09-2022" u="1"/>
        <s v="20-08-2021" u="1"/>
        <s v="24-01-2022" u="1"/>
        <s v="22-04-2022" u="1"/>
        <s v="20-04-2022" u="1"/>
        <s v="29-10-2022" u="1"/>
        <s v="17-11-2022" u="1"/>
        <d v="2021-04-08T00:00:00" u="1"/>
        <s v="13-12-2022" u="1"/>
        <s v="23-05-2022" u="1"/>
        <s v="19-05-2022" u="1"/>
        <s v="30-12-2022" u="1"/>
        <s v="15-07-2022" u="1"/>
        <s v="29-06-2022" u="1"/>
        <s v="24-08-2021" u="1"/>
        <s v="25-10-2022" u="1"/>
        <d v="2021-02-05T00:00:00" u="1"/>
        <s v="22-09-2021" u="1"/>
        <s v="15-04-2021" u="1"/>
        <s v="19-05-2021" u="1"/>
        <d v="2021-05-07T00:00:00" u="1"/>
        <s v="22-11-2021" u="1"/>
        <s v="17-01-2022" u="1"/>
        <s v="23-12-2021" u="1"/>
        <s v="24-09-2021" u="1"/>
        <s v="16-01-2021" u="1"/>
        <d v="2023-06-03T00:00:00" u="1"/>
        <s v="16-06-2021" u="1"/>
        <d v="2023-10-01T00:00:00" u="1"/>
        <s v="17-07-2022" u="1"/>
        <s v="21-04-2022" u="1"/>
        <d v="2021-06-07T00:00:00" u="1"/>
        <s v="22-04-2021" u="1"/>
        <s v="29-08-2021" u="1"/>
        <s v="24-12-2022" u="1"/>
        <s v="14-07-2021" u="1"/>
        <s v="16-04-2021" u="1"/>
        <d v="2021-02-11T00:00:00" u="1"/>
        <s v="24-02-2023" u="1"/>
        <d v="2022-12-04T00:00:00" u="1"/>
        <s v="18-09-2021" u="1"/>
        <s v="14-01-2022" u="1"/>
        <s v="30-09-2021" u="1"/>
        <d v="2021-01-09T00:00:00" u="1"/>
        <s v="26-01-2021" u="1"/>
        <s v="19-02-2021" u="1"/>
        <s v="29-03-2021" u="1"/>
        <s v="19-12-2021" u="1"/>
        <s v="26-11-2021" u="1"/>
        <s v="31-03-2021" u="1"/>
        <s v="24-03-2021" u="1"/>
        <s v="13-04-2022" u="1"/>
        <s v="17-08-2022" u="1"/>
        <s v="26-06-2022" u="1"/>
        <s v="19-01-2022" u="1"/>
        <s v="14-06-2022" u="1"/>
        <d v="2022-05-03T00:00:00" u="1"/>
        <s v="22-11-2022" u="1"/>
        <d v="2021-09-11T00:00:00" u="1"/>
        <s v="25-05-2021" u="1"/>
        <s v="17-09-2022" u="1"/>
        <d v="2023-07-01T00:00:00" u="1"/>
        <s v="30-07-2021" u="1"/>
        <s v="24-09-2022" u="1"/>
        <s v="14-09-2022" u="1"/>
        <s v="18-03-2022" u="1"/>
        <s v="20-02-2022" u="1"/>
        <s v="24-11-2021" u="1"/>
        <s v="27-11-2021" u="1"/>
        <d v="2022-06-04T00:00:00" u="1"/>
        <s v="21-03-2022" u="1"/>
        <d v="2022-12-05T00:00:00" u="1"/>
        <s v="18-01-2023" u="1"/>
        <s v="15-09-2021" u="1"/>
        <s v="17-01-2023" u="1"/>
        <s v="18-02-2023" u="1"/>
        <s v="26-09-2021" u="1"/>
        <s v="22-03-2021" u="1"/>
        <s v="24-05-2021" u="1"/>
        <s v="27-11-2022" u="1"/>
        <s v="24-10-2021" u="1"/>
        <s v="30-04-2021" u="1"/>
        <s v="18-08-2021" u="1"/>
        <s v="29-12-2022" u="1"/>
        <s v="28-02-2022" u="1"/>
        <s v="31-03-2022" u="1"/>
        <s v="17-02-2023" u="1"/>
        <s v="19-01-2021" u="1"/>
        <d v="2023-11-01T00:00:00" u="1"/>
        <d v="2023-07-02T00:00:00" u="1"/>
        <s v="28-05-2022" u="1"/>
        <d v="2021-10-04T00:00:00" u="1"/>
        <s v="29-10-2021" u="1"/>
        <d v="2021-06-04T00:00:00" u="1"/>
        <d v="2022-11-03T00:00:00" u="1"/>
        <s v="15-03-2021" u="1"/>
        <s v="17-10-2021" u="1"/>
        <s v="24-03-2022" u="1"/>
        <d v="2022-12-08T00:00:00" u="1"/>
        <s v="19-04-2022" u="1"/>
        <s v="27-08-2022" u="1"/>
        <s v="25-06-2021" u="1"/>
        <d v="2023-04-01T00:00:00" u="1"/>
        <s v="16-08-2021" u="1"/>
        <s v="13-01-2021" u="1"/>
        <s v="15-02-2023" u="1"/>
        <d v="2022-05-10T00:00:00" u="1"/>
        <s v="22-08-2021" u="1"/>
        <s v="17-06-2022" u="1"/>
        <s v="20-12-2021" u="1"/>
        <s v="23-12-2022" u="1"/>
        <s v="26-08-2022" u="1"/>
        <s v="25-08-2021" u="1"/>
        <d v="2021-12-02T00:00:00" u="1"/>
        <s v="28-10-2022" u="1"/>
        <s v="21-06-2021" u="1"/>
        <s v="31-01-2023" u="1"/>
        <s v="27-04-2022" u="1"/>
        <s v="17-06-2021" u="1"/>
        <d v="2022-05-09T00:00:00" u="1"/>
        <s v="18-06-2022" u="1"/>
        <s v="29-01-2023" u="1"/>
        <s v="27-09-2022" u="1"/>
        <s v="21-09-2021" u="1"/>
        <s v="18-11-2021" u="1"/>
        <d v="2021-07-09T00:00:00" u="1"/>
        <s v="13-06-2021" u="1"/>
        <s v="25-06-2022" u="1"/>
        <s v="18-10-2022" u="1"/>
        <s v="22-08-2022" u="1"/>
        <s v="22-01-2022" u="1"/>
        <s v="26-07-2022" u="1"/>
        <s v="25-12-2022" u="1"/>
        <s v="21-08-2022" u="1"/>
        <s v="31-01-2022" u="1"/>
        <s v="23-09-2021" u="1"/>
        <s v="22-12-2022" u="1"/>
        <d v="2022-10-03T00:00:00" u="1"/>
        <s v="20-05-2022" u="1"/>
        <d v="2022-11-05T00:00:00" u="1"/>
        <s v="20-06-2022" u="1"/>
        <s v="30-04-2022" u="1"/>
        <s v="14-03-2021" u="1"/>
        <s v="21-01-2021" u="1"/>
        <s v="22-06-2022" u="1"/>
        <s v="30-06-2022" u="1"/>
        <s v="19-06-2022" u="1"/>
        <s v="13-02-2023" u="1"/>
        <s v="14-01-2023" u="1"/>
        <s v="21-05-2022" u="1"/>
        <s v="29-09-2021" u="1"/>
        <s v="24-06-2022" u="1"/>
        <s v="21-04-2021" u="1"/>
        <s v="31-08-2022" u="1"/>
        <s v="22-01-2021" u="1"/>
        <s v="25-03-2022" u="1"/>
        <s v="23-03-2022" u="1"/>
        <s v="29-05-2021" u="1"/>
        <s v="26-11-2022" u="1"/>
        <s v="22-10-2021" u="1"/>
        <s v="30-12-2021" u="1"/>
        <s v="16-01-2023" u="1"/>
        <s v="31-07-2022" u="1"/>
        <s v="13-06-2022" u="1"/>
        <s v="27-02-2021" u="1"/>
        <s v="29-04-2021" u="1"/>
        <d v="2022-10-08T00:00:00" u="1"/>
        <s v="29-11-2021" u="1"/>
        <s v="17-12-2021" u="1"/>
        <d v="2021-05-12T00:00:00" u="1"/>
        <s v="15-10-2021" u="1"/>
        <d v="2021-09-04T00:00:00" u="1"/>
        <s v="26-12-2022" u="1"/>
        <s v="21-07-2022" u="1"/>
        <s v="29-09-2022" u="1"/>
        <s v="15-01-2023" u="1"/>
        <s v="14-03-2022" u="1"/>
        <s v="30-08-2021" u="1"/>
        <s v="16-06-2022" u="1"/>
        <s v="23-04-2022" u="1"/>
        <s v="28-03-2022" u="1"/>
        <s v="18-08-2022" u="1"/>
        <s v="17-01-2021" u="1"/>
        <d v="2023-01-03T00:00:00" u="1"/>
        <d v="2022-07-12T00:00:00" u="1"/>
        <s v="13-12-2021" u="1"/>
        <s v="20-07-2021" u="1"/>
        <s v="27-12-2021" u="1"/>
        <s v="14-07-2022" u="1"/>
        <s v="28-07-2022" u="1"/>
        <d v="2023-04-03T00:00:00" u="1"/>
        <s v="26-09-2022" u="1"/>
        <s v="17-05-2021" u="1"/>
        <s v="25-10-2021" u="1"/>
        <s v="25-01-2023" u="1"/>
        <s v="28-11-2021" u="1"/>
        <s v="28-12-2022" u="1"/>
        <d v="2021-10-01T00:00:00" u="1"/>
        <s v="19-03-2022" u="1"/>
        <s v="25-09-2021" u="1"/>
        <s v="22-07-2022" u="1"/>
        <s v="29-11-2022" u="1"/>
        <s v="23-01-2021" u="1"/>
        <d v="2023-10-02T00:00:00" u="1"/>
        <s v="28-08-2022" u="1"/>
        <d v="2022-04-03T00:00:00" u="1"/>
        <s v="29-03-2022" u="1"/>
        <s v="16-03-2022" u="1"/>
        <s v="23-01-2023" u="1"/>
        <s v="21-07-2021" u="1"/>
        <s v="25-04-2021" u="1"/>
        <s v="22-10-2022" u="1"/>
        <s v="14-02-2023" u="1"/>
        <s v="22-06-2021" u="1"/>
        <s v="13-07-2022" u="1"/>
        <s v="14-08-2021" u="1"/>
        <s v="25-11-2021" u="1"/>
        <s v="23-04-2021" u="1"/>
        <s v="14-05-2022" u="1"/>
        <s v="27-04-2021" u="1"/>
        <s v="14-10-2022" u="1"/>
        <s v="29-04-2022" u="1"/>
        <s v="22-01-2023" u="1"/>
        <s v="14-12-2021" u="1"/>
        <s v="18-04-2021" u="1"/>
        <s v="22-02-2021" u="1"/>
        <s v="17-02-2022" u="1"/>
        <s v="20-09-2022" u="1"/>
        <s v="24-02-2021" u="1"/>
        <s v="29-07-2022" u="1"/>
        <s v="22-09-2022" u="1"/>
        <s v="20-10-2021" u="1"/>
        <s v="26-10-2021" u="1"/>
        <s v="16-02-2023" u="1"/>
        <s v="15-06-2021" u="1"/>
        <s v="16-02-2021" u="1"/>
        <s v="25-02-2023" u="1"/>
        <s v="24-01-2023" u="1"/>
        <s v="14-08-2022" u="1"/>
        <s v="22-02-2023" u="1"/>
        <s v="16-09-2021" u="1"/>
        <s v="28-03-2021" u="1"/>
        <d v="2021-07-01T00:00:00" u="1"/>
        <s v="13-11-2021" u="1"/>
        <s v="26-02-2021" u="1"/>
        <s v="23-01-2022" u="1"/>
        <s v="21-10-2022" u="1"/>
        <s v="21-08-2021" u="1"/>
        <s v="22-05-2021" u="1"/>
        <d v="2021-01-06T00:00:00" u="1"/>
        <s v="13-05-2021" u="1"/>
        <s v="25-01-2022" u="1"/>
        <s v="20-04-2021" u="1"/>
        <s v="19-02-2022" u="1"/>
        <s v="15-03-2022" u="1"/>
        <s v="16-11-2022" u="1"/>
        <s v="25-12-2021" u="1"/>
        <s v="15-01-2022" u="1"/>
        <s v="22-03-2022" u="1"/>
        <s v="23-10-2022" u="1"/>
        <s v="28-09-2022" u="1"/>
        <d v="2022-02-06T00:00:00" u="1"/>
        <d v="2023-12-02T00:00:00" u="1"/>
        <d v="2023-11-02T00:00:00" u="1"/>
        <s v="17-10-2022" u="1"/>
        <s v="27-10-2021" u="1"/>
        <s v="21-02-2021" u="1"/>
        <s v="23-08-2022" u="1"/>
        <s v="27-09-2021" u="1"/>
        <s v="28-01-2022" u="1"/>
        <d v="2022-03-12T00:00:00" u="1"/>
        <s v="31-07-2021" u="1"/>
        <s v="30-03-2022" u="1"/>
        <s v="31-05-2022" u="1"/>
        <d v="2022-01-09T00:00:00" u="1"/>
        <d v="2022-05-08T00:00:00" u="1"/>
        <s v="20-09-2021" u="1"/>
        <s v="29-01-2021" u="1"/>
        <s v="30-08-2022" u="1"/>
        <s v="28-04-2022" u="1"/>
        <s v="23-11-2022" u="1"/>
        <s v="24-07-2021" u="1"/>
        <d v="2022-12-06T00:00:00" u="1"/>
        <s v="30-06-2021" u="1"/>
        <d v="2022-08-07T00:00:00" u="1"/>
        <s v="18-12-2022" u="1"/>
        <s v="25-09-2022" u="1"/>
        <s v="23-03-2021" u="1"/>
        <s v="24-01-2021" u="1"/>
        <s v="25-07-2021" u="1"/>
        <s v="21-05-2021" u="1"/>
        <s v="15-09-2022" u="1"/>
        <s v="25-05-2022" u="1"/>
        <s v="13-09-2021" u="1"/>
        <s v="16-05-2022" u="1"/>
        <s v="16-10-2022" u="1"/>
        <s v="15-08-2021" u="1"/>
        <s v="16-01-2022" u="1"/>
        <s v="30-11-2022" u="1"/>
        <s v="20-02-2021" u="1"/>
        <s v="20-06-2021" u="1"/>
        <s v="14-09-2021" u="1"/>
        <s v="23-02-2022" u="1"/>
        <s v="16-09-2022" u="1"/>
        <s v="24-11-2022" u="1"/>
        <s v="27-10-2022" u="1"/>
        <s v="28-05-2021" u="1"/>
        <s v="14-10-2021" u="1"/>
        <s v="21-11-2021" u="1"/>
        <s v="26-05-2022" u="1"/>
        <s v="15-11-2022" u="1"/>
        <s v="24-04-2021" u="1"/>
        <d v="2023-08-01T00:00:00" u="1"/>
        <d v="2022-09-08T00:00:00" u="1"/>
        <s v="19-03-2021" u="1"/>
        <s v="19-08-2022" u="1"/>
        <d v="2021-01-11T00:00:00" u="1"/>
        <d v="2023-05-02T00:00:00" u="1"/>
        <s v="20-07-2022" u="1"/>
        <s v="26-10-2022" u="1"/>
        <s v="27-05-2021" u="1"/>
        <d v="2023-05-03T00:00:00" u="1"/>
        <s v="27-02-2023" u="1"/>
        <s v="25-11-2022" u="1"/>
        <d v="2022-03-08T00:00:00" u="1"/>
        <s v="21-09-2022" u="1"/>
        <s v="13-01-2023" u="1"/>
        <d v="2022-02-11T00:00:00" u="1"/>
        <s v="30-10-2022" u="1"/>
        <d v="2021-12-10T00:00:00" u="1"/>
        <s v="17-08-2021" u="1"/>
        <s v="21-10-2021" u="1"/>
        <s v="17-09-2021" u="1"/>
        <s v="21-03-2021" u="1"/>
        <s v="27-07-2022" u="1"/>
        <s v="15-02-2022" u="1"/>
        <s v="Formula1" f="1"/>
        <s v="Formula2" f="1"/>
        <s v="Formula3" f="1"/>
        <s v="Formula4" f="1"/>
      </sharedItems>
      <fieldGroup par="14"/>
    </cacheField>
    <cacheField name="Shopping_mall" numFmtId="0">
      <sharedItems count="10">
        <s v="Mall of Istanbul"/>
        <s v="Metrocity"/>
        <s v="Emaar Square Mall"/>
        <s v="Istinye Park"/>
        <s v="Kanyon"/>
        <s v="Cevahir AVM"/>
        <s v="Metropol AVM"/>
        <s v="Forum Istanbul"/>
        <s v="Viaport Outlet"/>
        <s v="Zorlu Center"/>
      </sharedItems>
    </cacheField>
    <cacheField name="Revenue" numFmtId="164">
      <sharedItems containsSemiMixedTypes="0" containsString="0" containsNumber="1" minValue="5.23" maxValue="26250" count="40">
        <n v="16800"/>
        <n v="300.08"/>
        <n v="47.07"/>
        <n v="365.94"/>
        <n v="2700.7200000000003"/>
        <n v="7502"/>
        <n v="9602.7199999999993"/>
        <n v="573.44000000000005"/>
        <n v="4801.28"/>
        <n v="1200.32"/>
        <n v="5.23"/>
        <n v="1050"/>
        <n v="1016.5"/>
        <n v="20.92"/>
        <n v="143.36000000000001"/>
        <n v="650.55999999999995"/>
        <n v="105.57"/>
        <n v="896"/>
        <n v="35.840000000000003"/>
        <n v="4200"/>
        <n v="60.6"/>
        <n v="242.4"/>
        <n v="130.75"/>
        <n v="322.56"/>
        <n v="2400.6799999999998"/>
        <n v="136.35000000000002"/>
        <n v="162.63999999999999"/>
        <n v="15.15"/>
        <n v="187.68"/>
        <n v="40.659999999999997"/>
        <n v="378.75"/>
        <n v="11.73"/>
        <n v="293.25"/>
        <n v="83.68"/>
        <n v="15004.25"/>
        <n v="26250"/>
        <n v="46.92"/>
        <n v="5401.53"/>
        <n v="600.16999999999996"/>
        <n v="9450"/>
      </sharedItems>
    </cacheField>
    <cacheField name="Age Group" numFmtId="0">
      <sharedItems count="5">
        <s v="18-24"/>
        <s v="25-34"/>
        <s v="35-44"/>
        <s v="45-54"/>
        <s v="55+"/>
      </sharedItems>
    </cacheField>
    <cacheField name="Monthly Trend" numFmtId="0">
      <sharedItems count="12">
        <s v="May"/>
        <s v="Jun"/>
        <s v="Jan"/>
        <s v="Jul"/>
        <s v="Dec"/>
        <s v="Apr"/>
        <s v="Oct"/>
        <s v="Aug"/>
        <s v="Sep"/>
        <s v="Nov"/>
        <s v="Feb"/>
        <s v="Mar"/>
      </sharedItems>
    </cacheField>
    <cacheField name="Yearly Trend" numFmtId="0">
      <sharedItems containsSemiMixedTypes="0" containsString="0" containsNumber="1" containsInteger="1" minValue="2021" maxValue="2023" count="3">
        <n v="2022"/>
        <n v="2021"/>
        <n v="2023"/>
      </sharedItems>
    </cacheField>
    <cacheField name="Invoice_date2" numFmtId="0" databaseField="0">
      <fieldGroup base="8">
        <discretePr count="995">
          <x v="1"/>
          <x v="2"/>
          <x v="3"/>
          <x v="0"/>
          <x v="4"/>
          <x v="0"/>
          <x v="5"/>
          <x v="6"/>
          <x v="7"/>
          <x v="8"/>
          <x v="9"/>
          <x v="10"/>
          <x v="11"/>
          <x v="12"/>
          <x v="0"/>
          <x v="0"/>
          <x v="13"/>
          <x v="14"/>
          <x v="15"/>
          <x v="16"/>
          <x v="17"/>
          <x v="18"/>
          <x v="19"/>
          <x v="20"/>
          <x v="21"/>
          <x v="0"/>
          <x v="0"/>
          <x v="22"/>
          <x v="0"/>
          <x v="0"/>
          <x v="23"/>
          <x v="24"/>
          <x v="25"/>
          <x v="26"/>
          <x v="0"/>
          <x v="0"/>
          <x v="27"/>
          <x v="0"/>
          <x v="28"/>
          <x v="0"/>
          <x v="29"/>
          <x v="30"/>
          <x v="31"/>
          <x v="32"/>
          <x v="33"/>
          <x v="0"/>
          <x v="34"/>
          <x v="0"/>
          <x v="35"/>
          <x v="36"/>
          <x v="37"/>
          <x v="0"/>
          <x v="0"/>
          <x v="38"/>
          <x v="0"/>
          <x v="0"/>
          <x v="39"/>
          <x v="40"/>
          <x v="0"/>
          <x v="0"/>
          <x v="0"/>
          <x v="0"/>
          <x v="0"/>
          <x v="41"/>
          <x v="42"/>
          <x v="43"/>
          <x v="44"/>
          <x v="45"/>
          <x v="46"/>
          <x v="47"/>
          <x v="0"/>
          <x v="48"/>
          <x v="0"/>
          <x v="0"/>
          <x v="0"/>
          <x v="0"/>
          <x v="0"/>
          <x v="0"/>
          <x v="0"/>
          <x v="49"/>
          <x v="50"/>
          <x v="51"/>
          <x v="0"/>
          <x v="52"/>
          <x v="53"/>
          <x v="0"/>
          <x v="0"/>
          <x v="54"/>
          <x v="55"/>
          <x v="0"/>
          <x v="56"/>
          <x v="57"/>
          <x v="58"/>
          <x v="59"/>
          <x v="60"/>
          <x v="61"/>
          <x v="62"/>
          <x v="0"/>
          <x v="63"/>
          <x v="64"/>
          <x v="65"/>
          <x v="66"/>
          <x v="67"/>
          <x v="68"/>
          <x v="69"/>
          <x v="70"/>
          <x v="0"/>
          <x v="71"/>
          <x v="0"/>
          <x v="72"/>
          <x v="73"/>
          <x v="74"/>
          <x v="0"/>
          <x v="75"/>
          <x v="76"/>
          <x v="0"/>
          <x v="77"/>
          <x v="78"/>
          <x v="79"/>
          <x v="80"/>
          <x v="81"/>
          <x v="0"/>
          <x v="82"/>
          <x v="83"/>
          <x v="84"/>
          <x v="85"/>
          <x v="0"/>
          <x v="86"/>
          <x v="87"/>
          <x v="88"/>
          <x v="89"/>
          <x v="0"/>
          <x v="90"/>
          <x v="91"/>
          <x v="92"/>
          <x v="93"/>
          <x v="94"/>
          <x v="95"/>
          <x v="0"/>
          <x v="96"/>
          <x v="97"/>
          <x v="98"/>
          <x v="99"/>
          <x v="100"/>
          <x v="101"/>
          <x v="102"/>
          <x v="103"/>
          <x v="104"/>
          <x v="0"/>
          <x v="105"/>
          <x v="106"/>
          <x v="0"/>
          <x v="0"/>
          <x v="107"/>
          <x v="108"/>
          <x v="109"/>
          <x v="0"/>
          <x v="110"/>
          <x v="0"/>
          <x v="0"/>
          <x v="111"/>
          <x v="112"/>
          <x v="113"/>
          <x v="114"/>
          <x v="115"/>
          <x v="0"/>
          <x v="0"/>
          <x v="116"/>
          <x v="0"/>
          <x v="117"/>
          <x v="118"/>
          <x v="0"/>
          <x v="119"/>
          <x v="120"/>
          <x v="0"/>
          <x v="121"/>
          <x v="0"/>
          <x v="0"/>
          <x v="122"/>
          <x v="123"/>
          <x v="124"/>
          <x v="125"/>
          <x v="126"/>
          <x v="0"/>
          <x v="127"/>
          <x v="128"/>
          <x v="129"/>
          <x v="130"/>
          <x v="0"/>
          <x v="131"/>
          <x v="132"/>
          <x v="0"/>
          <x v="0"/>
          <x v="133"/>
          <x v="134"/>
          <x v="135"/>
          <x v="0"/>
          <x v="0"/>
          <x v="136"/>
          <x v="0"/>
          <x v="0"/>
          <x v="0"/>
          <x v="137"/>
          <x v="138"/>
          <x v="139"/>
          <x v="140"/>
          <x v="0"/>
          <x v="141"/>
          <x v="142"/>
          <x v="143"/>
          <x v="144"/>
          <x v="145"/>
          <x v="146"/>
          <x v="147"/>
          <x v="148"/>
          <x v="149"/>
          <x v="150"/>
          <x v="151"/>
          <x v="152"/>
          <x v="153"/>
          <x v="154"/>
          <x v="155"/>
          <x v="156"/>
          <x v="157"/>
          <x v="158"/>
          <x v="159"/>
          <x v="0"/>
          <x v="160"/>
          <x v="0"/>
          <x v="161"/>
          <x v="162"/>
          <x v="163"/>
          <x v="164"/>
          <x v="165"/>
          <x v="0"/>
          <x v="166"/>
          <x v="0"/>
          <x v="167"/>
          <x v="0"/>
          <x v="168"/>
          <x v="169"/>
          <x v="170"/>
          <x v="0"/>
          <x v="171"/>
          <x v="172"/>
          <x v="173"/>
          <x v="0"/>
          <x v="174"/>
          <x v="175"/>
          <x v="0"/>
          <x v="176"/>
          <x v="177"/>
          <x v="0"/>
          <x v="178"/>
          <x v="179"/>
          <x v="180"/>
          <x v="0"/>
          <x v="181"/>
          <x v="0"/>
          <x v="0"/>
          <x v="182"/>
          <x v="183"/>
          <x v="184"/>
          <x v="185"/>
          <x v="186"/>
          <x v="187"/>
          <x v="0"/>
          <x v="0"/>
          <x v="188"/>
          <x v="189"/>
          <x v="190"/>
          <x v="191"/>
          <x v="0"/>
          <x v="192"/>
          <x v="193"/>
          <x v="0"/>
          <x v="0"/>
          <x v="194"/>
          <x v="195"/>
          <x v="0"/>
          <x v="196"/>
          <x v="197"/>
          <x v="198"/>
          <x v="199"/>
          <x v="200"/>
          <x v="0"/>
          <x v="201"/>
          <x v="202"/>
          <x v="203"/>
          <x v="0"/>
          <x v="204"/>
          <x v="0"/>
          <x v="0"/>
          <x v="0"/>
          <x v="205"/>
          <x v="0"/>
          <x v="206"/>
          <x v="0"/>
          <x v="0"/>
          <x v="207"/>
          <x v="208"/>
          <x v="209"/>
          <x v="210"/>
          <x v="0"/>
          <x v="211"/>
          <x v="212"/>
          <x v="213"/>
          <x v="0"/>
          <x v="214"/>
          <x v="215"/>
          <x v="216"/>
          <x v="0"/>
          <x v="0"/>
          <x v="217"/>
          <x v="0"/>
          <x v="218"/>
          <x v="219"/>
          <x v="220"/>
          <x v="0"/>
          <x v="221"/>
          <x v="222"/>
          <x v="223"/>
          <x v="224"/>
          <x v="225"/>
          <x v="226"/>
          <x v="227"/>
          <x v="0"/>
          <x v="228"/>
          <x v="229"/>
          <x v="230"/>
          <x v="0"/>
          <x v="0"/>
          <x v="231"/>
          <x v="0"/>
          <x v="232"/>
          <x v="233"/>
          <x v="234"/>
          <x v="235"/>
          <x v="0"/>
          <x v="236"/>
          <x v="0"/>
          <x v="237"/>
          <x v="238"/>
          <x v="0"/>
          <x v="239"/>
          <x v="240"/>
          <x v="0"/>
          <x v="241"/>
          <x v="0"/>
          <x v="242"/>
          <x v="243"/>
          <x v="0"/>
          <x v="0"/>
          <x v="244"/>
          <x v="245"/>
          <x v="0"/>
          <x v="246"/>
          <x v="247"/>
          <x v="248"/>
          <x v="0"/>
          <x v="249"/>
          <x v="250"/>
          <x v="251"/>
          <x v="252"/>
          <x v="253"/>
          <x v="254"/>
          <x v="255"/>
          <x v="256"/>
          <x v="0"/>
          <x v="257"/>
          <x v="258"/>
          <x v="259"/>
          <x v="260"/>
          <x v="261"/>
          <x v="262"/>
          <x v="0"/>
          <x v="263"/>
          <x v="264"/>
          <x v="0"/>
          <x v="265"/>
          <x v="266"/>
          <x v="267"/>
          <x v="268"/>
          <x v="0"/>
          <x v="269"/>
          <x v="270"/>
          <x v="271"/>
          <x v="272"/>
          <x v="273"/>
          <x v="274"/>
          <x v="275"/>
          <x v="276"/>
          <x v="277"/>
          <x v="0"/>
          <x v="0"/>
          <x v="278"/>
          <x v="0"/>
          <x v="279"/>
          <x v="280"/>
          <x v="281"/>
          <x v="282"/>
          <x v="283"/>
          <x v="284"/>
          <x v="285"/>
          <x v="0"/>
          <x v="286"/>
          <x v="287"/>
          <x v="0"/>
          <x v="288"/>
          <x v="0"/>
          <x v="289"/>
          <x v="290"/>
          <x v="0"/>
          <x v="291"/>
          <x v="292"/>
          <x v="293"/>
          <x v="0"/>
          <x v="0"/>
          <x v="294"/>
          <x v="295"/>
          <x v="296"/>
          <x v="0"/>
          <x v="297"/>
          <x v="298"/>
          <x v="299"/>
          <x v="0"/>
          <x v="300"/>
          <x v="301"/>
          <x v="302"/>
          <x v="303"/>
          <x v="304"/>
          <x v="0"/>
          <x v="305"/>
          <x v="0"/>
          <x v="306"/>
          <x v="307"/>
          <x v="0"/>
          <x v="308"/>
          <x v="309"/>
          <x v="310"/>
          <x v="311"/>
          <x v="0"/>
          <x v="0"/>
          <x v="312"/>
          <x v="313"/>
          <x v="314"/>
          <x v="315"/>
          <x v="316"/>
          <x v="317"/>
          <x v="0"/>
          <x v="318"/>
          <x v="319"/>
          <x v="320"/>
          <x v="0"/>
          <x v="321"/>
          <x v="0"/>
          <x v="322"/>
          <x v="323"/>
          <x v="324"/>
          <x v="325"/>
          <x v="326"/>
          <x v="327"/>
          <x v="328"/>
          <x v="329"/>
          <x v="330"/>
          <x v="331"/>
          <x v="0"/>
          <x v="332"/>
          <x v="333"/>
          <x v="334"/>
          <x v="335"/>
          <x v="0"/>
          <x v="336"/>
          <x v="0"/>
          <x v="0"/>
          <x v="0"/>
          <x v="337"/>
          <x v="338"/>
          <x v="339"/>
          <x v="340"/>
          <x v="341"/>
          <x v="342"/>
          <x v="343"/>
          <x v="344"/>
          <x v="0"/>
          <x v="0"/>
          <x v="345"/>
          <x v="346"/>
          <x v="347"/>
          <x v="348"/>
          <x v="349"/>
          <x v="350"/>
          <x v="351"/>
          <x v="352"/>
          <x v="0"/>
          <x v="353"/>
          <x v="0"/>
          <x v="354"/>
          <x v="355"/>
          <x v="356"/>
          <x v="357"/>
          <x v="358"/>
          <x v="359"/>
          <x v="360"/>
          <x v="0"/>
          <x v="0"/>
          <x v="0"/>
          <x v="361"/>
          <x v="362"/>
          <x v="363"/>
          <x v="364"/>
          <x v="365"/>
          <x v="366"/>
          <x v="367"/>
          <x v="368"/>
          <x v="369"/>
          <x v="0"/>
          <x v="0"/>
          <x v="370"/>
          <x v="0"/>
          <x v="0"/>
          <x v="371"/>
          <x v="372"/>
          <x v="373"/>
          <x v="374"/>
          <x v="0"/>
          <x v="375"/>
          <x v="0"/>
          <x v="376"/>
          <x v="377"/>
          <x v="378"/>
          <x v="0"/>
          <x v="379"/>
          <x v="380"/>
          <x v="0"/>
          <x v="0"/>
          <x v="381"/>
          <x v="382"/>
          <x v="0"/>
          <x v="383"/>
          <x v="384"/>
          <x v="385"/>
          <x v="386"/>
          <x v="387"/>
          <x v="0"/>
          <x v="388"/>
          <x v="389"/>
          <x v="390"/>
          <x v="0"/>
          <x v="391"/>
          <x v="0"/>
          <x v="392"/>
          <x v="393"/>
          <x v="0"/>
          <x v="0"/>
          <x v="394"/>
          <x v="395"/>
          <x v="396"/>
          <x v="397"/>
          <x v="0"/>
          <x v="398"/>
          <x v="399"/>
          <x v="0"/>
          <x v="400"/>
          <x v="401"/>
          <x v="402"/>
          <x v="0"/>
          <x v="0"/>
          <x v="0"/>
          <x v="403"/>
          <x v="404"/>
          <x v="405"/>
          <x v="0"/>
          <x v="406"/>
          <x v="407"/>
          <x v="0"/>
          <x v="408"/>
          <x v="409"/>
          <x v="410"/>
          <x v="411"/>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412">
          <s v="Group1"/>
          <d v="2022-05-18T00:00:00"/>
          <d v="2021-06-19T00:00:00"/>
          <d v="2022-06-23T00:00:00"/>
          <d v="2022-07-16T00:00:00"/>
          <d v="2022-04-25T00:00:00"/>
          <d v="2021-07-28T00:00:00"/>
          <d v="2021-04-19T00:00:00"/>
          <d v="2022-10-20T00:00:00"/>
          <d v="2021-08-03T00:00:00"/>
          <d v="2022-08-16T00:00:00"/>
          <d v="2022-09-30T00:00:00"/>
          <d v="2021-08-20T00:00:00"/>
          <d v="2021-08-24T00:00:00"/>
          <d v="2021-05-02T00:00:00"/>
          <d v="2021-09-22T00:00:00"/>
          <d v="2021-05-16T00:00:00"/>
          <d v="2021-11-02T00:00:00"/>
          <d v="2022-04-12T00:00:00"/>
          <d v="2021-02-19T00:00:00"/>
          <d v="2021-08-31T00:00:00"/>
          <d v="2021-03-24T00:00:00"/>
          <d v="2022-02-20T00:00:00"/>
          <d v="2022-05-23T00:00:00"/>
          <d v="2021-04-30T00:00:00"/>
          <d v="2022-03-31T00:00:00"/>
          <d v="2021-01-19T00:00:00"/>
          <d v="2021-10-17T00:00:00"/>
          <d v="2021-12-26T00:00:00"/>
          <d v="2021-08-22T00:00:00"/>
          <d v="2021-12-20T00:00:00"/>
          <d v="2021-08-29T00:00:00"/>
          <d v="2022-09-17T00:00:00"/>
          <d v="2022-06-18T00:00:00"/>
          <d v="2022-02-26T00:00:00"/>
          <d v="2022-04-21T00:00:00"/>
          <d v="2022-08-22T00:00:00"/>
          <d v="2022-07-26T00:00:00"/>
          <d v="2021-01-21T00:00:00"/>
          <d v="2022-03-25T00:00:00"/>
          <d v="2022-11-26T00:00:00"/>
          <d v="2021-06-16T00:00:00"/>
          <d v="2022-08-18T00:00:00"/>
          <d v="2021-01-17T00:00:00"/>
          <d v="2022-07-14T00:00:00"/>
          <d v="2021-01-10T00:00:00"/>
          <d v="2022-03-19T00:00:00"/>
          <d v="2022-03-11T00:00:00"/>
          <d v="2021-01-23T00:00:00"/>
          <d v="2022-09-20T00:00:00"/>
          <d v="2021-02-22T00:00:00"/>
          <d v="2022-12-25T00:00:00"/>
          <d v="2022-01-23T00:00:00"/>
          <d v="2022-08-10T00:00:00"/>
          <d v="2022-11-16T00:00:00"/>
          <d v="2022-08-14T00:00:00"/>
          <d v="2022-12-24T00:00:00"/>
          <d v="2022-06-02T00:00:00"/>
          <d v="2023-02-11T00:00:00"/>
          <d v="2021-01-25T00:00:00"/>
          <d v="2023-01-04T00:00:00"/>
          <d v="2022-07-10T00:00:00"/>
          <d v="2022-01-28T00:00:00"/>
          <d v="2022-05-31T00:00:00"/>
          <d v="2022-10-17T00:00:00"/>
          <d v="2022-08-30T00:00:00"/>
          <d v="2022-11-20T00:00:00"/>
          <d v="2022-09-05T00:00:00"/>
          <d v="2022-06-12T00:00:00"/>
          <d v="2021-06-28T00:00:00"/>
          <d v="2021-01-24T00:00:00"/>
          <d v="2021-08-15T00:00:00"/>
          <d v="2023-03-06T00:00:00"/>
          <d v="2022-05-12T00:00:00"/>
          <d v="2023-02-18T00:00:00"/>
          <d v="2022-09-24T00:00:00"/>
          <d v="2021-03-19T00:00:00"/>
          <d v="2022-07-20T00:00:00"/>
          <d v="2021-07-24T00:00:00"/>
          <d v="2021-11-27T00:00:00"/>
          <d v="2022-10-15T00:00:00"/>
          <d v="2023-02-27T00:00:00"/>
          <d v="2021-10-16T00:00:00"/>
          <d v="2021-06-21T00:00:00"/>
          <d v="2021-11-25T00:00:00"/>
          <d v="2021-12-31T00:00:00"/>
          <d v="2021-10-13T00:00:00"/>
          <d v="2021-04-17T00:00:00"/>
          <d v="2022-03-26T00:00:00"/>
          <d v="2021-06-29T00:00:00"/>
          <d v="2022-04-18T00:00:00"/>
          <d v="2022-09-18T00:00:00"/>
          <d v="2022-12-20T00:00:00"/>
          <d v="2022-02-25T00:00:00"/>
          <d v="2021-06-26T00:00:00"/>
          <d v="2021-04-12T00:00:00"/>
          <d v="2021-05-26T00:00:00"/>
          <d v="2023-02-28T00:00:00"/>
          <d v="2022-02-13T00:00:00"/>
          <d v="2022-11-28T00:00:00"/>
          <d v="2022-10-29T00:00:00"/>
          <d v="2021-08-04T00:00:00"/>
          <d v="2022-07-15T00:00:00"/>
          <d v="2021-09-24T00:00:00"/>
          <d v="2021-04-22T00:00:00"/>
          <d v="2021-04-16T00:00:00"/>
          <d v="2021-09-30T00:00:00"/>
          <d v="2021-11-09T00:00:00"/>
          <d v="2021-05-25T00:00:00"/>
          <d v="2021-11-24T00:00:00"/>
          <d v="2021-07-14T00:00:00"/>
          <d v="2021-12-19T00:00:00"/>
          <d v="2022-12-29T00:00:00"/>
          <d v="2023-02-17T00:00:00"/>
          <d v="2021-03-15T00:00:00"/>
          <d v="2021-07-30T00:00:00"/>
          <d v="2022-12-23T00:00:00"/>
          <d v="2021-07-19T00:00:00"/>
          <d v="2023-01-29T00:00:00"/>
          <d v="2021-09-21T00:00:00"/>
          <d v="2021-09-07T00:00:00"/>
          <d v="2022-10-18T00:00:00"/>
          <d v="2022-08-21T00:00:00"/>
          <d v="2021-06-17T00:00:00"/>
          <d v="2022-12-22T00:00:00"/>
          <d v="2021-03-14T00:00:00"/>
          <d v="2023-02-13T00:00:00"/>
          <d v="2021-02-25T00:00:00"/>
          <d v="2021-01-22T00:00:00"/>
          <d v="2022-09-14T00:00:00"/>
          <d v="2021-11-29T00:00:00"/>
          <d v="2021-12-05T00:00:00"/>
          <d v="2023-01-15T00:00:00"/>
          <d v="2023-01-25T00:00:00"/>
          <d v="2021-11-28T00:00:00"/>
          <d v="2022-07-22T00:00:00"/>
          <d v="2022-08-28T00:00:00"/>
          <d v="2021-04-25T00:00:00"/>
          <d v="2022-10-22T00:00:00"/>
          <d v="2021-06-22T00:00:00"/>
          <d v="2022-07-13T00:00:00"/>
          <d v="2022-05-14T00:00:00"/>
          <d v="2023-03-04T00:00:00"/>
          <d v="2022-04-29T00:00:00"/>
          <d v="2023-01-22T00:00:00"/>
          <d v="2021-08-16T00:00:00"/>
          <d v="2021-10-20T00:00:00"/>
          <d v="2023-02-25T00:00:00"/>
          <d v="2023-02-22T00:00:00"/>
          <d v="2021-06-15T00:00:00"/>
          <d v="2021-11-13T00:00:00"/>
          <d v="2021-04-20T00:00:00"/>
          <d v="2022-06-20T00:00:00"/>
          <d v="2022-02-19T00:00:00"/>
          <d v="2022-03-15T00:00:00"/>
          <d v="2022-07-21T00:00:00"/>
          <d v="2021-06-25T00:00:00"/>
          <d v="2021-12-25T00:00:00"/>
          <d v="2022-02-28T00:00:00"/>
          <d v="2021-02-21T00:00:00"/>
          <d v="2022-01-31T00:00:00"/>
          <d v="2021-01-29T00:00:00"/>
          <d v="2022-04-28T00:00:00"/>
          <d v="2021-03-23T00:00:00"/>
          <d v="2022-03-27T00:00:00"/>
          <d v="2021-02-24T00:00:00"/>
          <d v="2022-05-16T00:00:00"/>
          <d v="2021-02-20T00:00:00"/>
          <d v="2023-01-16T00:00:00"/>
          <d v="2021-09-14T00:00:00"/>
          <d v="2022-02-23T00:00:00"/>
          <d v="2021-05-28T00:00:00"/>
          <d v="2022-05-26T00:00:00"/>
          <d v="2022-11-15T00:00:00"/>
          <d v="2022-08-24T00:00:00"/>
          <d v="2022-11-25T00:00:00"/>
          <d v="2023-01-13T00:00:00"/>
          <d v="2022-06-25T00:00:00"/>
          <d v="2022-10-30T00:00:00"/>
          <d v="2021-10-12T00:00:00"/>
          <d v="2021-08-17T00:00:00"/>
          <d v="2021-01-26T00:00:00"/>
          <d v="2022-08-27T00:00:00"/>
          <d v="2022-04-15T00:00:00"/>
          <d v="2021-09-12T00:00:00"/>
          <d v="2021-11-16T00:00:00"/>
          <d v="2021-08-28T00:00:00"/>
          <d v="2021-11-15T00:00:00"/>
          <d v="2023-02-21T00:00:00"/>
          <d v="2023-01-12T00:00:00"/>
          <d v="2022-12-19T00:00:00"/>
          <d v="2022-05-29T00:00:00"/>
          <d v="2021-02-13T00:00:00"/>
          <d v="2022-12-13T00:00:00"/>
          <d v="2023-02-24T00:00:00"/>
          <d v="2021-09-18T00:00:00"/>
          <d v="2021-09-01T00:00:00"/>
          <d v="2022-04-13T00:00:00"/>
          <d v="2022-08-17T00:00:00"/>
          <d v="2022-06-14T00:00:00"/>
          <d v="2022-11-22T00:00:00"/>
          <d v="2021-09-15T00:00:00"/>
          <d v="2021-09-26T00:00:00"/>
          <d v="2022-04-26T00:00:00"/>
          <d v="2021-08-18T00:00:00"/>
          <d v="2021-10-29T00:00:00"/>
          <d v="2022-08-12T00:00:00"/>
          <d v="2021-01-13T00:00:00"/>
          <d v="2023-02-15T00:00:00"/>
          <d v="2022-06-17T00:00:00"/>
          <d v="2022-08-26T00:00:00"/>
          <d v="2022-10-28T00:00:00"/>
          <d v="2022-09-27T00:00:00"/>
          <d v="2022-07-24T00:00:00"/>
          <d v="2021-08-25T00:00:00"/>
          <d v="2021-07-05T00:00:00"/>
          <d v="2022-03-10T00:00:00"/>
          <d v="2023-01-14T00:00:00"/>
          <d v="2022-05-21T00:00:00"/>
          <d v="2022-06-24T00:00:00"/>
          <d v="2022-03-23T00:00:00"/>
          <d v="2021-05-29T00:00:00"/>
          <d v="2022-12-26T00:00:00"/>
          <d v="2022-09-29T00:00:00"/>
          <d v="2023-03-01T00:00:00"/>
          <d v="2021-08-30T00:00:00"/>
          <d v="2022-12-28T00:00:00"/>
          <d v="2021-09-25T00:00:00"/>
          <d v="2021-10-22T00:00:00"/>
          <d v="2023-02-10T00:00:00"/>
          <d v="2023-01-23T00:00:00"/>
          <d v="2022-10-14T00:00:00"/>
          <d v="2022-03-29T00:00:00"/>
          <d v="2022-09-22T00:00:00"/>
          <d v="2021-10-26T00:00:00"/>
          <d v="2023-02-16T00:00:00"/>
          <d v="2021-02-26T00:00:00"/>
          <d v="2021-07-20T00:00:00"/>
          <d v="2021-05-22T00:00:00"/>
          <d v="2022-04-23T00:00:00"/>
          <d v="2022-10-05T00:00:00"/>
          <d v="2022-05-20T00:00:00"/>
          <d v="2022-09-28T00:00:00"/>
          <d v="2021-03-22T00:00:00"/>
          <d v="2022-12-03T00:00:00"/>
          <d v="2021-09-16T00:00:00"/>
          <d v="2022-03-16T00:00:00"/>
          <d v="2021-04-21T00:00:00"/>
          <d v="2021-09-20T00:00:00"/>
          <d v="2022-11-27T00:00:00"/>
          <d v="2021-12-13T00:00:00"/>
          <d v="2021-02-03T00:00:00"/>
          <d v="2022-12-18T00:00:00"/>
          <d v="2022-09-15T00:00:00"/>
          <d v="2022-11-24T00:00:00"/>
          <d v="2022-10-27T00:00:00"/>
          <d v="2022-03-24T00:00:00"/>
          <d v="2021-11-21T00:00:00"/>
          <d v="2022-08-19T00:00:00"/>
          <d v="2021-01-07T00:00:00"/>
          <d v="2023-01-05T00:00:00"/>
          <d v="2022-06-29T00:00:00"/>
          <d v="2022-07-17T00:00:00"/>
          <d v="2021-05-27T00:00:00"/>
          <d v="2023-03-05T00:00:00"/>
          <d v="2021-06-01T00:00:00"/>
          <d v="2021-06-14T00:00:00"/>
          <d v="2021-08-13T00:00:00"/>
          <d v="2021-07-10T00:00:00"/>
          <d v="2022-09-13T00:00:00"/>
          <d v="2021-01-31T00:00:00"/>
          <d v="2022-04-16T00:00:00"/>
          <d v="2022-11-21T00:00:00"/>
          <d v="2022-07-30T00:00:00"/>
          <d v="2021-12-24T00:00:00"/>
          <d v="2022-04-22T00:00:00"/>
          <d v="2021-04-15T00:00:00"/>
          <d v="2021-05-19T00:00:00"/>
          <d v="2021-11-26T00:00:00"/>
          <d v="2022-06-26T00:00:00"/>
          <d v="2022-03-05T00:00:00"/>
          <d v="2023-01-18T00:00:00"/>
          <d v="2023-01-11T00:00:00"/>
          <d v="2023-02-07T00:00:00"/>
          <d v="2022-05-28T00:00:00"/>
          <d v="2022-04-19T00:00:00"/>
          <d v="2022-01-17T00:00:00"/>
          <d v="2022-04-27T00:00:00"/>
          <d v="2021-11-18T00:00:00"/>
          <d v="2022-04-30T00:00:00"/>
          <d v="2022-06-22T00:00:00"/>
          <d v="2022-06-30T00:00:00"/>
          <d v="2022-06-19T00:00:00"/>
          <d v="2021-09-29T00:00:00"/>
          <d v="2021-10-19T00:00:00"/>
          <d v="2021-12-30T00:00:00"/>
          <d v="2021-02-27T00:00:00"/>
          <d v="2021-12-17T00:00:00"/>
          <d v="2021-10-15T00:00:00"/>
          <d v="2022-04-20T00:00:00"/>
          <d v="2021-07-06T00:00:00"/>
          <d v="2022-01-14T00:00:00"/>
          <d v="2022-06-16T00:00:00"/>
          <d v="2022-03-28T00:00:00"/>
          <d v="2021-12-27T00:00:00"/>
          <d v="2021-10-25T00:00:00"/>
          <d v="2022-12-07T00:00:00"/>
          <d v="2021-06-18T00:00:00"/>
          <d v="2022-02-17T00:00:00"/>
          <d v="2021-04-27T00:00:00"/>
          <d v="2022-07-29T00:00:00"/>
          <d v="2021-02-16T00:00:00"/>
          <d v="2021-05-24T00:00:00"/>
          <d v="2021-08-21T00:00:00"/>
          <d v="2022-03-22T00:00:00"/>
          <d v="2022-10-23T00:00:00"/>
          <d v="2022-01-15T00:00:00"/>
          <d v="2021-11-17T00:00:00"/>
          <d v="2021-07-31T00:00:00"/>
          <d v="2022-03-30T00:00:00"/>
          <d v="2022-11-23T00:00:00"/>
          <d v="2022-09-25T00:00:00"/>
          <d v="2022-05-25T00:00:00"/>
          <d v="2021-09-13T00:00:00"/>
          <d v="2021-10-27T00:00:00"/>
          <d v="2021-01-16T00:00:00"/>
          <d v="2022-11-30T00:00:00"/>
          <d v="2022-09-16T00:00:00"/>
          <d v="2021-06-13T00:00:00"/>
          <d v="2022-05-13T00:00:00"/>
          <d v="2021-03-28T00:00:00"/>
          <d v="2021-10-14T00:00:00"/>
          <d v="2021-04-24T00:00:00"/>
          <d v="2021-11-01T00:00:00"/>
          <d v="2022-10-26T00:00:00"/>
          <d v="2022-11-02T00:00:00"/>
          <d v="2022-02-15T00:00:00"/>
          <d v="2021-12-18T00:00:00"/>
          <d v="2021-11-23T00:00:00"/>
          <d v="2022-11-18T00:00:00"/>
          <d v="2021-07-23T00:00:00"/>
          <d v="2021-05-18T00:00:00"/>
          <d v="2023-01-30T00:00:00"/>
          <d v="2021-07-18T00:00:00"/>
          <d v="2021-03-20T00:00:00"/>
          <d v="2022-08-13T00:00:00"/>
          <d v="2022-01-24T00:00:00"/>
          <d v="2022-11-17T00:00:00"/>
          <d v="2022-05-19T00:00:00"/>
          <d v="2022-12-30T00:00:00"/>
          <d v="2022-10-25T00:00:00"/>
          <d v="2021-11-22T00:00:00"/>
          <d v="2021-12-23T00:00:00"/>
          <d v="2023-01-10T00:00:00"/>
          <d v="2021-03-29T00:00:00"/>
          <d v="2021-03-31T00:00:00"/>
          <d v="2022-01-19T00:00:00"/>
          <d v="2023-01-07T00:00:00"/>
          <d v="2022-03-18T00:00:00"/>
          <d v="2022-04-06T00:00:00"/>
          <d v="2022-03-21T00:00:00"/>
          <d v="2023-01-17T00:00:00"/>
          <d v="2021-10-24T00:00:00"/>
          <d v="2021-04-10T00:00:00"/>
          <d v="2021-04-06T00:00:00"/>
          <d v="2021-02-12T00:00:00"/>
          <d v="2023-01-31T00:00:00"/>
          <d v="2022-01-22T00:00:00"/>
          <d v="2021-09-23T00:00:00"/>
          <d v="2022-05-11T00:00:00"/>
          <d v="2022-08-31T00:00:00"/>
          <d v="2022-07-31T00:00:00"/>
          <d v="2022-06-13T00:00:00"/>
          <d v="2021-04-29T00:00:00"/>
          <d v="2021-04-09T00:00:00"/>
          <d v="2022-03-14T00:00:00"/>
          <d v="2022-07-28T00:00:00"/>
          <d v="2022-09-26T00:00:00"/>
          <d v="2021-05-17T00:00:00"/>
          <d v="2022-11-29T00:00:00"/>
          <d v="2022-03-04T00:00:00"/>
          <d v="2021-07-21T00:00:00"/>
          <d v="2023-02-14T00:00:00"/>
          <d v="2021-08-14T00:00:00"/>
          <d v="2021-04-23T00:00:00"/>
          <d v="2021-12-14T00:00:00"/>
          <d v="2021-04-18T00:00:00"/>
          <d v="2023-01-24T00:00:00"/>
          <d v="2022-10-21T00:00:00"/>
          <d v="2021-05-13T00:00:00"/>
          <d v="2022-01-25T00:00:00"/>
          <d v="2023-02-12T00:00:00"/>
          <d v="2022-08-23T00:00:00"/>
          <d v="2021-09-27T00:00:00"/>
          <d v="2022-09-01T00:00:00"/>
          <d v="2022-08-05T00:00:00"/>
          <d v="2021-06-30T00:00:00"/>
          <d v="2022-07-08T00:00:00"/>
          <d v="2021-07-25T00:00:00"/>
          <d v="2021-05-21T00:00:00"/>
          <d v="2022-10-16T00:00:00"/>
          <d v="2022-01-16T00:00:00"/>
          <d v="2021-06-20T00:00:00"/>
          <d v="2023-01-08T00:00:00"/>
          <d v="2022-08-09T00:00:00"/>
          <d v="2023-02-05T00:00:00"/>
          <d v="2022-08-03T00:00:00"/>
          <d v="2022-09-21T00:00:00"/>
          <d v="2021-10-21T00:00:00"/>
          <d v="2021-09-17T00:00:00"/>
          <d v="2021-03-21T00:00:00"/>
          <d v="2022-07-27T00:00:00"/>
        </groupItems>
      </fieldGroup>
    </cacheField>
  </cacheFields>
  <calculatedItems count="4">
    <calculatedItem>
      <pivotArea cacheIndex="1" outline="0" fieldPosition="0">
        <references count="1">
          <reference field="8" count="1">
            <x v="991"/>
          </reference>
        </references>
      </pivotArea>
    </calculatedItem>
    <calculatedItem>
      <pivotArea cacheIndex="1" outline="0" fieldPosition="0">
        <references count="1">
          <reference field="8" count="1">
            <x v="992"/>
          </reference>
        </references>
      </pivotArea>
    </calculatedItem>
    <calculatedItem>
      <pivotArea cacheIndex="1" outline="0" fieldPosition="0">
        <references count="1">
          <reference field="8" count="1">
            <x v="993"/>
          </reference>
        </references>
      </pivotArea>
    </calculatedItem>
    <calculatedItem>
      <pivotArea cacheIndex="1" outline="0" fieldPosition="0">
        <references count="1">
          <reference field="8" count="1">
            <x v="994"/>
          </reference>
        </references>
      </pivotArea>
    </calculatedItem>
  </calculatedItems>
  <extLst>
    <ext xmlns:x14="http://schemas.microsoft.com/office/spreadsheetml/2009/9/main" uri="{725AE2AE-9491-48be-B2B4-4EB974FC3084}">
      <x14:pivotCacheDefinition pivotCacheId="611585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4"/>
    <n v="4200"/>
    <x v="0"/>
    <x v="0"/>
    <x v="0"/>
    <x v="0"/>
    <x v="0"/>
    <x v="0"/>
    <x v="0"/>
  </r>
  <r>
    <x v="1"/>
    <x v="1"/>
    <x v="0"/>
    <x v="1"/>
    <x v="1"/>
    <n v="1"/>
    <n v="300.08"/>
    <x v="1"/>
    <x v="1"/>
    <x v="1"/>
    <x v="1"/>
    <x v="0"/>
    <x v="1"/>
    <x v="1"/>
  </r>
  <r>
    <x v="2"/>
    <x v="2"/>
    <x v="1"/>
    <x v="1"/>
    <x v="2"/>
    <n v="3"/>
    <n v="15.69"/>
    <x v="1"/>
    <x v="2"/>
    <x v="2"/>
    <x v="2"/>
    <x v="0"/>
    <x v="1"/>
    <x v="0"/>
  </r>
  <r>
    <x v="3"/>
    <x v="3"/>
    <x v="0"/>
    <x v="2"/>
    <x v="3"/>
    <n v="3"/>
    <n v="121.98"/>
    <x v="1"/>
    <x v="3"/>
    <x v="1"/>
    <x v="3"/>
    <x v="0"/>
    <x v="2"/>
    <x v="2"/>
  </r>
  <r>
    <x v="4"/>
    <x v="4"/>
    <x v="0"/>
    <x v="3"/>
    <x v="1"/>
    <n v="3"/>
    <n v="900.24"/>
    <x v="1"/>
    <x v="4"/>
    <x v="3"/>
    <x v="4"/>
    <x v="0"/>
    <x v="3"/>
    <x v="0"/>
  </r>
  <r>
    <x v="5"/>
    <x v="5"/>
    <x v="0"/>
    <x v="4"/>
    <x v="1"/>
    <n v="5"/>
    <n v="1500.4"/>
    <x v="2"/>
    <x v="5"/>
    <x v="4"/>
    <x v="5"/>
    <x v="0"/>
    <x v="4"/>
    <x v="0"/>
  </r>
  <r>
    <x v="6"/>
    <x v="6"/>
    <x v="0"/>
    <x v="5"/>
    <x v="4"/>
    <n v="4"/>
    <n v="2400.6799999999998"/>
    <x v="1"/>
    <x v="6"/>
    <x v="2"/>
    <x v="6"/>
    <x v="0"/>
    <x v="5"/>
    <x v="0"/>
  </r>
  <r>
    <x v="7"/>
    <x v="7"/>
    <x v="1"/>
    <x v="5"/>
    <x v="5"/>
    <n v="4"/>
    <n v="143.36000000000001"/>
    <x v="0"/>
    <x v="7"/>
    <x v="1"/>
    <x v="7"/>
    <x v="0"/>
    <x v="3"/>
    <x v="1"/>
  </r>
  <r>
    <x v="8"/>
    <x v="8"/>
    <x v="1"/>
    <x v="6"/>
    <x v="1"/>
    <n v="4"/>
    <n v="1200.32"/>
    <x v="1"/>
    <x v="8"/>
    <x v="1"/>
    <x v="8"/>
    <x v="0"/>
    <x v="5"/>
    <x v="1"/>
  </r>
  <r>
    <x v="9"/>
    <x v="9"/>
    <x v="0"/>
    <x v="6"/>
    <x v="3"/>
    <n v="3"/>
    <n v="121.98"/>
    <x v="1"/>
    <x v="9"/>
    <x v="5"/>
    <x v="3"/>
    <x v="0"/>
    <x v="6"/>
    <x v="0"/>
  </r>
  <r>
    <x v="10"/>
    <x v="10"/>
    <x v="1"/>
    <x v="1"/>
    <x v="1"/>
    <n v="5"/>
    <n v="1500.4"/>
    <x v="2"/>
    <x v="10"/>
    <x v="3"/>
    <x v="5"/>
    <x v="0"/>
    <x v="7"/>
    <x v="1"/>
  </r>
  <r>
    <x v="11"/>
    <x v="11"/>
    <x v="0"/>
    <x v="2"/>
    <x v="1"/>
    <n v="2"/>
    <n v="600.16"/>
    <x v="0"/>
    <x v="11"/>
    <x v="0"/>
    <x v="9"/>
    <x v="0"/>
    <x v="7"/>
    <x v="0"/>
  </r>
  <r>
    <x v="12"/>
    <x v="12"/>
    <x v="1"/>
    <x v="0"/>
    <x v="1"/>
    <n v="5"/>
    <n v="1500.4"/>
    <x v="0"/>
    <x v="12"/>
    <x v="0"/>
    <x v="5"/>
    <x v="0"/>
    <x v="8"/>
    <x v="0"/>
  </r>
  <r>
    <x v="13"/>
    <x v="13"/>
    <x v="0"/>
    <x v="4"/>
    <x v="1"/>
    <n v="4"/>
    <n v="1200.32"/>
    <x v="1"/>
    <x v="13"/>
    <x v="0"/>
    <x v="8"/>
    <x v="0"/>
    <x v="7"/>
    <x v="1"/>
  </r>
  <r>
    <x v="14"/>
    <x v="14"/>
    <x v="1"/>
    <x v="1"/>
    <x v="2"/>
    <n v="1"/>
    <n v="5.23"/>
    <x v="0"/>
    <x v="14"/>
    <x v="0"/>
    <x v="10"/>
    <x v="0"/>
    <x v="3"/>
    <x v="0"/>
  </r>
  <r>
    <x v="15"/>
    <x v="15"/>
    <x v="0"/>
    <x v="2"/>
    <x v="1"/>
    <n v="2"/>
    <n v="600.16"/>
    <x v="0"/>
    <x v="15"/>
    <x v="2"/>
    <x v="9"/>
    <x v="0"/>
    <x v="6"/>
    <x v="0"/>
  </r>
  <r>
    <x v="16"/>
    <x v="16"/>
    <x v="1"/>
    <x v="6"/>
    <x v="0"/>
    <n v="1"/>
    <n v="1050"/>
    <x v="1"/>
    <x v="16"/>
    <x v="6"/>
    <x v="11"/>
    <x v="0"/>
    <x v="7"/>
    <x v="1"/>
  </r>
  <r>
    <x v="17"/>
    <x v="17"/>
    <x v="0"/>
    <x v="3"/>
    <x v="3"/>
    <n v="3"/>
    <n v="121.98"/>
    <x v="2"/>
    <x v="17"/>
    <x v="7"/>
    <x v="3"/>
    <x v="0"/>
    <x v="0"/>
    <x v="1"/>
  </r>
  <r>
    <x v="18"/>
    <x v="18"/>
    <x v="0"/>
    <x v="2"/>
    <x v="3"/>
    <n v="5"/>
    <n v="203.3"/>
    <x v="0"/>
    <x v="18"/>
    <x v="1"/>
    <x v="12"/>
    <x v="0"/>
    <x v="8"/>
    <x v="1"/>
  </r>
  <r>
    <x v="19"/>
    <x v="19"/>
    <x v="0"/>
    <x v="2"/>
    <x v="2"/>
    <n v="2"/>
    <n v="10.46"/>
    <x v="0"/>
    <x v="19"/>
    <x v="0"/>
    <x v="13"/>
    <x v="0"/>
    <x v="0"/>
    <x v="1"/>
  </r>
  <r>
    <x v="20"/>
    <x v="20"/>
    <x v="0"/>
    <x v="1"/>
    <x v="1"/>
    <n v="1"/>
    <n v="300.08"/>
    <x v="2"/>
    <x v="20"/>
    <x v="3"/>
    <x v="1"/>
    <x v="0"/>
    <x v="9"/>
    <x v="1"/>
  </r>
  <r>
    <x v="21"/>
    <x v="21"/>
    <x v="0"/>
    <x v="0"/>
    <x v="5"/>
    <n v="2"/>
    <n v="71.680000000000007"/>
    <x v="1"/>
    <x v="21"/>
    <x v="1"/>
    <x v="14"/>
    <x v="0"/>
    <x v="5"/>
    <x v="0"/>
  </r>
  <r>
    <x v="22"/>
    <x v="22"/>
    <x v="0"/>
    <x v="6"/>
    <x v="3"/>
    <n v="4"/>
    <n v="162.63999999999999"/>
    <x v="0"/>
    <x v="22"/>
    <x v="4"/>
    <x v="15"/>
    <x v="0"/>
    <x v="10"/>
    <x v="1"/>
  </r>
  <r>
    <x v="23"/>
    <x v="23"/>
    <x v="0"/>
    <x v="1"/>
    <x v="0"/>
    <n v="1"/>
    <n v="1050"/>
    <x v="2"/>
    <x v="23"/>
    <x v="1"/>
    <x v="11"/>
    <x v="0"/>
    <x v="7"/>
    <x v="1"/>
  </r>
  <r>
    <x v="24"/>
    <x v="24"/>
    <x v="0"/>
    <x v="4"/>
    <x v="1"/>
    <n v="3"/>
    <n v="900.24"/>
    <x v="2"/>
    <x v="24"/>
    <x v="8"/>
    <x v="4"/>
    <x v="0"/>
    <x v="11"/>
    <x v="1"/>
  </r>
  <r>
    <x v="25"/>
    <x v="25"/>
    <x v="1"/>
    <x v="3"/>
    <x v="6"/>
    <n v="3"/>
    <n v="35.19"/>
    <x v="1"/>
    <x v="25"/>
    <x v="3"/>
    <x v="16"/>
    <x v="0"/>
    <x v="1"/>
    <x v="1"/>
  </r>
  <r>
    <x v="26"/>
    <x v="26"/>
    <x v="1"/>
    <x v="2"/>
    <x v="1"/>
    <n v="2"/>
    <n v="600.16"/>
    <x v="0"/>
    <x v="15"/>
    <x v="1"/>
    <x v="9"/>
    <x v="0"/>
    <x v="6"/>
    <x v="0"/>
  </r>
  <r>
    <x v="27"/>
    <x v="27"/>
    <x v="1"/>
    <x v="1"/>
    <x v="5"/>
    <n v="5"/>
    <n v="179.2"/>
    <x v="1"/>
    <x v="26"/>
    <x v="0"/>
    <x v="17"/>
    <x v="0"/>
    <x v="2"/>
    <x v="1"/>
  </r>
  <r>
    <x v="28"/>
    <x v="28"/>
    <x v="1"/>
    <x v="3"/>
    <x v="5"/>
    <n v="1"/>
    <n v="35.840000000000003"/>
    <x v="1"/>
    <x v="27"/>
    <x v="1"/>
    <x v="18"/>
    <x v="0"/>
    <x v="10"/>
    <x v="0"/>
  </r>
  <r>
    <x v="29"/>
    <x v="29"/>
    <x v="1"/>
    <x v="3"/>
    <x v="0"/>
    <n v="2"/>
    <n v="2100"/>
    <x v="0"/>
    <x v="28"/>
    <x v="0"/>
    <x v="19"/>
    <x v="0"/>
    <x v="1"/>
    <x v="1"/>
  </r>
  <r>
    <x v="30"/>
    <x v="30"/>
    <x v="1"/>
    <x v="3"/>
    <x v="7"/>
    <n v="2"/>
    <n v="30.3"/>
    <x v="1"/>
    <x v="29"/>
    <x v="1"/>
    <x v="20"/>
    <x v="0"/>
    <x v="11"/>
    <x v="1"/>
  </r>
  <r>
    <x v="31"/>
    <x v="31"/>
    <x v="0"/>
    <x v="6"/>
    <x v="1"/>
    <n v="5"/>
    <n v="1500.4"/>
    <x v="0"/>
    <x v="30"/>
    <x v="4"/>
    <x v="5"/>
    <x v="0"/>
    <x v="0"/>
    <x v="0"/>
  </r>
  <r>
    <x v="32"/>
    <x v="32"/>
    <x v="1"/>
    <x v="5"/>
    <x v="0"/>
    <n v="2"/>
    <n v="2100"/>
    <x v="2"/>
    <x v="31"/>
    <x v="0"/>
    <x v="19"/>
    <x v="0"/>
    <x v="5"/>
    <x v="1"/>
  </r>
  <r>
    <x v="33"/>
    <x v="33"/>
    <x v="1"/>
    <x v="4"/>
    <x v="1"/>
    <n v="2"/>
    <n v="600.16"/>
    <x v="2"/>
    <x v="32"/>
    <x v="4"/>
    <x v="9"/>
    <x v="0"/>
    <x v="11"/>
    <x v="0"/>
  </r>
  <r>
    <x v="34"/>
    <x v="34"/>
    <x v="0"/>
    <x v="1"/>
    <x v="7"/>
    <n v="4"/>
    <n v="60.6"/>
    <x v="1"/>
    <x v="33"/>
    <x v="0"/>
    <x v="21"/>
    <x v="0"/>
    <x v="2"/>
    <x v="1"/>
  </r>
  <r>
    <x v="35"/>
    <x v="35"/>
    <x v="0"/>
    <x v="3"/>
    <x v="2"/>
    <n v="3"/>
    <n v="15.69"/>
    <x v="1"/>
    <x v="34"/>
    <x v="3"/>
    <x v="2"/>
    <x v="0"/>
    <x v="11"/>
    <x v="0"/>
  </r>
  <r>
    <x v="36"/>
    <x v="36"/>
    <x v="1"/>
    <x v="3"/>
    <x v="3"/>
    <n v="5"/>
    <n v="203.3"/>
    <x v="0"/>
    <x v="35"/>
    <x v="6"/>
    <x v="12"/>
    <x v="0"/>
    <x v="5"/>
    <x v="1"/>
  </r>
  <r>
    <x v="37"/>
    <x v="37"/>
    <x v="1"/>
    <x v="3"/>
    <x v="4"/>
    <n v="4"/>
    <n v="2400.6799999999998"/>
    <x v="1"/>
    <x v="36"/>
    <x v="6"/>
    <x v="6"/>
    <x v="0"/>
    <x v="6"/>
    <x v="1"/>
  </r>
  <r>
    <x v="38"/>
    <x v="38"/>
    <x v="0"/>
    <x v="2"/>
    <x v="2"/>
    <n v="3"/>
    <n v="15.69"/>
    <x v="0"/>
    <x v="37"/>
    <x v="0"/>
    <x v="2"/>
    <x v="0"/>
    <x v="2"/>
    <x v="1"/>
  </r>
  <r>
    <x v="39"/>
    <x v="39"/>
    <x v="1"/>
    <x v="4"/>
    <x v="2"/>
    <n v="2"/>
    <n v="10.46"/>
    <x v="0"/>
    <x v="38"/>
    <x v="1"/>
    <x v="13"/>
    <x v="0"/>
    <x v="4"/>
    <x v="1"/>
  </r>
  <r>
    <x v="40"/>
    <x v="40"/>
    <x v="0"/>
    <x v="4"/>
    <x v="5"/>
    <n v="2"/>
    <n v="71.680000000000007"/>
    <x v="0"/>
    <x v="39"/>
    <x v="0"/>
    <x v="14"/>
    <x v="0"/>
    <x v="8"/>
    <x v="1"/>
  </r>
  <r>
    <x v="41"/>
    <x v="41"/>
    <x v="1"/>
    <x v="4"/>
    <x v="2"/>
    <n v="5"/>
    <n v="26.15"/>
    <x v="0"/>
    <x v="40"/>
    <x v="8"/>
    <x v="22"/>
    <x v="0"/>
    <x v="7"/>
    <x v="1"/>
  </r>
  <r>
    <x v="42"/>
    <x v="42"/>
    <x v="0"/>
    <x v="2"/>
    <x v="1"/>
    <n v="3"/>
    <n v="900.24"/>
    <x v="2"/>
    <x v="41"/>
    <x v="1"/>
    <x v="4"/>
    <x v="0"/>
    <x v="4"/>
    <x v="1"/>
  </r>
  <r>
    <x v="43"/>
    <x v="43"/>
    <x v="0"/>
    <x v="1"/>
    <x v="0"/>
    <n v="1"/>
    <n v="1050"/>
    <x v="1"/>
    <x v="42"/>
    <x v="1"/>
    <x v="11"/>
    <x v="0"/>
    <x v="7"/>
    <x v="1"/>
  </r>
  <r>
    <x v="44"/>
    <x v="44"/>
    <x v="0"/>
    <x v="6"/>
    <x v="2"/>
    <n v="1"/>
    <n v="5.23"/>
    <x v="1"/>
    <x v="43"/>
    <x v="4"/>
    <x v="10"/>
    <x v="0"/>
    <x v="8"/>
    <x v="0"/>
  </r>
  <r>
    <x v="45"/>
    <x v="45"/>
    <x v="0"/>
    <x v="5"/>
    <x v="3"/>
    <n v="5"/>
    <n v="203.3"/>
    <x v="0"/>
    <x v="44"/>
    <x v="1"/>
    <x v="12"/>
    <x v="0"/>
    <x v="1"/>
    <x v="0"/>
  </r>
  <r>
    <x v="46"/>
    <x v="46"/>
    <x v="1"/>
    <x v="5"/>
    <x v="5"/>
    <n v="3"/>
    <n v="107.52"/>
    <x v="2"/>
    <x v="45"/>
    <x v="4"/>
    <x v="23"/>
    <x v="0"/>
    <x v="8"/>
    <x v="1"/>
  </r>
  <r>
    <x v="47"/>
    <x v="47"/>
    <x v="1"/>
    <x v="0"/>
    <x v="5"/>
    <n v="5"/>
    <n v="179.2"/>
    <x v="0"/>
    <x v="46"/>
    <x v="1"/>
    <x v="17"/>
    <x v="0"/>
    <x v="10"/>
    <x v="0"/>
  </r>
  <r>
    <x v="48"/>
    <x v="48"/>
    <x v="1"/>
    <x v="0"/>
    <x v="1"/>
    <n v="2"/>
    <n v="600.16"/>
    <x v="0"/>
    <x v="47"/>
    <x v="1"/>
    <x v="9"/>
    <x v="0"/>
    <x v="8"/>
    <x v="0"/>
  </r>
  <r>
    <x v="49"/>
    <x v="49"/>
    <x v="0"/>
    <x v="1"/>
    <x v="0"/>
    <n v="1"/>
    <n v="1050"/>
    <x v="1"/>
    <x v="48"/>
    <x v="4"/>
    <x v="11"/>
    <x v="0"/>
    <x v="5"/>
    <x v="0"/>
  </r>
  <r>
    <x v="50"/>
    <x v="50"/>
    <x v="0"/>
    <x v="6"/>
    <x v="3"/>
    <n v="5"/>
    <n v="203.3"/>
    <x v="1"/>
    <x v="49"/>
    <x v="6"/>
    <x v="12"/>
    <x v="0"/>
    <x v="7"/>
    <x v="0"/>
  </r>
  <r>
    <x v="51"/>
    <x v="51"/>
    <x v="0"/>
    <x v="4"/>
    <x v="1"/>
    <n v="5"/>
    <n v="1500.4"/>
    <x v="1"/>
    <x v="50"/>
    <x v="7"/>
    <x v="5"/>
    <x v="0"/>
    <x v="3"/>
    <x v="0"/>
  </r>
  <r>
    <x v="52"/>
    <x v="52"/>
    <x v="0"/>
    <x v="4"/>
    <x v="1"/>
    <n v="5"/>
    <n v="1500.4"/>
    <x v="1"/>
    <x v="51"/>
    <x v="9"/>
    <x v="5"/>
    <x v="0"/>
    <x v="3"/>
    <x v="0"/>
  </r>
  <r>
    <x v="53"/>
    <x v="53"/>
    <x v="0"/>
    <x v="0"/>
    <x v="2"/>
    <n v="3"/>
    <n v="15.69"/>
    <x v="0"/>
    <x v="52"/>
    <x v="4"/>
    <x v="2"/>
    <x v="0"/>
    <x v="3"/>
    <x v="0"/>
  </r>
  <r>
    <x v="54"/>
    <x v="54"/>
    <x v="0"/>
    <x v="3"/>
    <x v="5"/>
    <n v="2"/>
    <n v="71.680000000000007"/>
    <x v="1"/>
    <x v="53"/>
    <x v="7"/>
    <x v="14"/>
    <x v="0"/>
    <x v="2"/>
    <x v="1"/>
  </r>
  <r>
    <x v="55"/>
    <x v="55"/>
    <x v="1"/>
    <x v="1"/>
    <x v="4"/>
    <n v="2"/>
    <n v="1200.3399999999999"/>
    <x v="1"/>
    <x v="54"/>
    <x v="0"/>
    <x v="24"/>
    <x v="0"/>
    <x v="11"/>
    <x v="1"/>
  </r>
  <r>
    <x v="56"/>
    <x v="56"/>
    <x v="1"/>
    <x v="4"/>
    <x v="2"/>
    <n v="3"/>
    <n v="15.69"/>
    <x v="0"/>
    <x v="55"/>
    <x v="4"/>
    <x v="2"/>
    <x v="0"/>
    <x v="0"/>
    <x v="0"/>
  </r>
  <r>
    <x v="57"/>
    <x v="57"/>
    <x v="1"/>
    <x v="1"/>
    <x v="7"/>
    <n v="3"/>
    <n v="45.45"/>
    <x v="0"/>
    <x v="21"/>
    <x v="0"/>
    <x v="25"/>
    <x v="0"/>
    <x v="5"/>
    <x v="0"/>
  </r>
  <r>
    <x v="58"/>
    <x v="58"/>
    <x v="0"/>
    <x v="5"/>
    <x v="3"/>
    <n v="2"/>
    <n v="81.319999999999993"/>
    <x v="2"/>
    <x v="56"/>
    <x v="3"/>
    <x v="26"/>
    <x v="0"/>
    <x v="11"/>
    <x v="0"/>
  </r>
  <r>
    <x v="59"/>
    <x v="59"/>
    <x v="1"/>
    <x v="1"/>
    <x v="1"/>
    <n v="2"/>
    <n v="600.16"/>
    <x v="1"/>
    <x v="57"/>
    <x v="1"/>
    <x v="9"/>
    <x v="0"/>
    <x v="9"/>
    <x v="0"/>
  </r>
  <r>
    <x v="60"/>
    <x v="60"/>
    <x v="0"/>
    <x v="6"/>
    <x v="5"/>
    <n v="5"/>
    <n v="179.2"/>
    <x v="1"/>
    <x v="25"/>
    <x v="7"/>
    <x v="17"/>
    <x v="0"/>
    <x v="1"/>
    <x v="1"/>
  </r>
  <r>
    <x v="61"/>
    <x v="61"/>
    <x v="0"/>
    <x v="5"/>
    <x v="7"/>
    <n v="1"/>
    <n v="15.15"/>
    <x v="0"/>
    <x v="58"/>
    <x v="6"/>
    <x v="27"/>
    <x v="0"/>
    <x v="1"/>
    <x v="0"/>
  </r>
  <r>
    <x v="62"/>
    <x v="62"/>
    <x v="0"/>
    <x v="2"/>
    <x v="1"/>
    <n v="3"/>
    <n v="900.24"/>
    <x v="2"/>
    <x v="59"/>
    <x v="4"/>
    <x v="4"/>
    <x v="0"/>
    <x v="9"/>
    <x v="0"/>
  </r>
  <r>
    <x v="63"/>
    <x v="63"/>
    <x v="0"/>
    <x v="4"/>
    <x v="1"/>
    <n v="4"/>
    <n v="1200.32"/>
    <x v="0"/>
    <x v="60"/>
    <x v="1"/>
    <x v="8"/>
    <x v="0"/>
    <x v="7"/>
    <x v="1"/>
  </r>
  <r>
    <x v="64"/>
    <x v="64"/>
    <x v="0"/>
    <x v="2"/>
    <x v="1"/>
    <n v="5"/>
    <n v="1500.4"/>
    <x v="2"/>
    <x v="61"/>
    <x v="0"/>
    <x v="5"/>
    <x v="0"/>
    <x v="3"/>
    <x v="1"/>
  </r>
  <r>
    <x v="65"/>
    <x v="65"/>
    <x v="0"/>
    <x v="1"/>
    <x v="3"/>
    <n v="4"/>
    <n v="162.63999999999999"/>
    <x v="1"/>
    <x v="62"/>
    <x v="4"/>
    <x v="15"/>
    <x v="0"/>
    <x v="0"/>
    <x v="0"/>
  </r>
  <r>
    <x v="66"/>
    <x v="66"/>
    <x v="0"/>
    <x v="3"/>
    <x v="1"/>
    <n v="2"/>
    <n v="600.16"/>
    <x v="1"/>
    <x v="63"/>
    <x v="1"/>
    <x v="9"/>
    <x v="0"/>
    <x v="1"/>
    <x v="1"/>
  </r>
  <r>
    <x v="67"/>
    <x v="67"/>
    <x v="0"/>
    <x v="5"/>
    <x v="1"/>
    <n v="5"/>
    <n v="1500.4"/>
    <x v="0"/>
    <x v="64"/>
    <x v="7"/>
    <x v="5"/>
    <x v="0"/>
    <x v="7"/>
    <x v="0"/>
  </r>
  <r>
    <x v="68"/>
    <x v="68"/>
    <x v="0"/>
    <x v="4"/>
    <x v="5"/>
    <n v="5"/>
    <n v="179.2"/>
    <x v="2"/>
    <x v="65"/>
    <x v="1"/>
    <x v="17"/>
    <x v="0"/>
    <x v="2"/>
    <x v="1"/>
  </r>
  <r>
    <x v="69"/>
    <x v="69"/>
    <x v="1"/>
    <x v="2"/>
    <x v="5"/>
    <n v="2"/>
    <n v="71.680000000000007"/>
    <x v="1"/>
    <x v="66"/>
    <x v="2"/>
    <x v="14"/>
    <x v="0"/>
    <x v="3"/>
    <x v="0"/>
  </r>
  <r>
    <x v="70"/>
    <x v="70"/>
    <x v="1"/>
    <x v="5"/>
    <x v="1"/>
    <n v="1"/>
    <n v="300.08"/>
    <x v="0"/>
    <x v="67"/>
    <x v="4"/>
    <x v="1"/>
    <x v="0"/>
    <x v="2"/>
    <x v="1"/>
  </r>
  <r>
    <x v="71"/>
    <x v="71"/>
    <x v="0"/>
    <x v="1"/>
    <x v="6"/>
    <n v="4"/>
    <n v="46.92"/>
    <x v="0"/>
    <x v="68"/>
    <x v="4"/>
    <x v="28"/>
    <x v="0"/>
    <x v="11"/>
    <x v="0"/>
  </r>
  <r>
    <x v="72"/>
    <x v="72"/>
    <x v="0"/>
    <x v="0"/>
    <x v="1"/>
    <n v="1"/>
    <n v="300.08"/>
    <x v="2"/>
    <x v="69"/>
    <x v="1"/>
    <x v="1"/>
    <x v="0"/>
    <x v="11"/>
    <x v="0"/>
  </r>
  <r>
    <x v="73"/>
    <x v="73"/>
    <x v="0"/>
    <x v="1"/>
    <x v="5"/>
    <n v="5"/>
    <n v="179.2"/>
    <x v="0"/>
    <x v="70"/>
    <x v="7"/>
    <x v="17"/>
    <x v="0"/>
    <x v="1"/>
    <x v="0"/>
  </r>
  <r>
    <x v="74"/>
    <x v="74"/>
    <x v="1"/>
    <x v="2"/>
    <x v="7"/>
    <n v="2"/>
    <n v="30.3"/>
    <x v="1"/>
    <x v="71"/>
    <x v="1"/>
    <x v="20"/>
    <x v="0"/>
    <x v="2"/>
    <x v="1"/>
  </r>
  <r>
    <x v="75"/>
    <x v="75"/>
    <x v="1"/>
    <x v="6"/>
    <x v="3"/>
    <n v="1"/>
    <n v="40.659999999999997"/>
    <x v="1"/>
    <x v="72"/>
    <x v="8"/>
    <x v="29"/>
    <x v="0"/>
    <x v="1"/>
    <x v="1"/>
  </r>
  <r>
    <x v="76"/>
    <x v="76"/>
    <x v="0"/>
    <x v="4"/>
    <x v="3"/>
    <n v="3"/>
    <n v="121.98"/>
    <x v="2"/>
    <x v="73"/>
    <x v="1"/>
    <x v="3"/>
    <x v="0"/>
    <x v="6"/>
    <x v="0"/>
  </r>
  <r>
    <x v="77"/>
    <x v="77"/>
    <x v="0"/>
    <x v="6"/>
    <x v="7"/>
    <n v="5"/>
    <n v="75.75"/>
    <x v="1"/>
    <x v="71"/>
    <x v="5"/>
    <x v="30"/>
    <x v="0"/>
    <x v="2"/>
    <x v="1"/>
  </r>
  <r>
    <x v="78"/>
    <x v="78"/>
    <x v="0"/>
    <x v="6"/>
    <x v="5"/>
    <n v="3"/>
    <n v="107.52"/>
    <x v="1"/>
    <x v="74"/>
    <x v="4"/>
    <x v="23"/>
    <x v="0"/>
    <x v="0"/>
    <x v="1"/>
  </r>
  <r>
    <x v="79"/>
    <x v="79"/>
    <x v="0"/>
    <x v="4"/>
    <x v="1"/>
    <n v="5"/>
    <n v="1500.4"/>
    <x v="2"/>
    <x v="39"/>
    <x v="0"/>
    <x v="5"/>
    <x v="0"/>
    <x v="8"/>
    <x v="1"/>
  </r>
  <r>
    <x v="80"/>
    <x v="80"/>
    <x v="0"/>
    <x v="0"/>
    <x v="1"/>
    <n v="2"/>
    <n v="600.16"/>
    <x v="2"/>
    <x v="75"/>
    <x v="3"/>
    <x v="9"/>
    <x v="0"/>
    <x v="9"/>
    <x v="1"/>
  </r>
  <r>
    <x v="81"/>
    <x v="81"/>
    <x v="1"/>
    <x v="6"/>
    <x v="5"/>
    <n v="1"/>
    <n v="35.840000000000003"/>
    <x v="2"/>
    <x v="76"/>
    <x v="3"/>
    <x v="18"/>
    <x v="0"/>
    <x v="9"/>
    <x v="1"/>
  </r>
  <r>
    <x v="82"/>
    <x v="82"/>
    <x v="0"/>
    <x v="2"/>
    <x v="1"/>
    <n v="5"/>
    <n v="1500.4"/>
    <x v="0"/>
    <x v="77"/>
    <x v="0"/>
    <x v="5"/>
    <x v="0"/>
    <x v="9"/>
    <x v="1"/>
  </r>
  <r>
    <x v="83"/>
    <x v="83"/>
    <x v="0"/>
    <x v="5"/>
    <x v="4"/>
    <n v="2"/>
    <n v="1200.3399999999999"/>
    <x v="1"/>
    <x v="78"/>
    <x v="8"/>
    <x v="24"/>
    <x v="0"/>
    <x v="4"/>
    <x v="0"/>
  </r>
  <r>
    <x v="84"/>
    <x v="84"/>
    <x v="0"/>
    <x v="2"/>
    <x v="3"/>
    <n v="2"/>
    <n v="81.319999999999993"/>
    <x v="2"/>
    <x v="79"/>
    <x v="5"/>
    <x v="26"/>
    <x v="0"/>
    <x v="8"/>
    <x v="0"/>
  </r>
  <r>
    <x v="85"/>
    <x v="85"/>
    <x v="0"/>
    <x v="3"/>
    <x v="6"/>
    <n v="1"/>
    <n v="11.73"/>
    <x v="1"/>
    <x v="80"/>
    <x v="4"/>
    <x v="31"/>
    <x v="0"/>
    <x v="10"/>
    <x v="1"/>
  </r>
  <r>
    <x v="86"/>
    <x v="86"/>
    <x v="0"/>
    <x v="1"/>
    <x v="6"/>
    <n v="5"/>
    <n v="58.65"/>
    <x v="0"/>
    <x v="81"/>
    <x v="3"/>
    <x v="32"/>
    <x v="0"/>
    <x v="4"/>
    <x v="0"/>
  </r>
  <r>
    <x v="87"/>
    <x v="87"/>
    <x v="0"/>
    <x v="6"/>
    <x v="1"/>
    <n v="2"/>
    <n v="600.16"/>
    <x v="0"/>
    <x v="82"/>
    <x v="4"/>
    <x v="9"/>
    <x v="0"/>
    <x v="2"/>
    <x v="0"/>
  </r>
  <r>
    <x v="88"/>
    <x v="88"/>
    <x v="0"/>
    <x v="1"/>
    <x v="1"/>
    <n v="3"/>
    <n v="900.24"/>
    <x v="0"/>
    <x v="83"/>
    <x v="8"/>
    <x v="4"/>
    <x v="0"/>
    <x v="2"/>
    <x v="0"/>
  </r>
  <r>
    <x v="89"/>
    <x v="89"/>
    <x v="1"/>
    <x v="4"/>
    <x v="2"/>
    <n v="4"/>
    <n v="20.92"/>
    <x v="2"/>
    <x v="84"/>
    <x v="4"/>
    <x v="33"/>
    <x v="0"/>
    <x v="7"/>
    <x v="0"/>
  </r>
  <r>
    <x v="90"/>
    <x v="90"/>
    <x v="0"/>
    <x v="0"/>
    <x v="6"/>
    <n v="5"/>
    <n v="58.65"/>
    <x v="1"/>
    <x v="59"/>
    <x v="4"/>
    <x v="32"/>
    <x v="0"/>
    <x v="9"/>
    <x v="0"/>
  </r>
  <r>
    <x v="91"/>
    <x v="91"/>
    <x v="1"/>
    <x v="3"/>
    <x v="7"/>
    <n v="1"/>
    <n v="15.15"/>
    <x v="2"/>
    <x v="85"/>
    <x v="0"/>
    <x v="27"/>
    <x v="0"/>
    <x v="7"/>
    <x v="1"/>
  </r>
  <r>
    <x v="92"/>
    <x v="92"/>
    <x v="1"/>
    <x v="4"/>
    <x v="1"/>
    <n v="2"/>
    <n v="600.16"/>
    <x v="1"/>
    <x v="50"/>
    <x v="0"/>
    <x v="9"/>
    <x v="0"/>
    <x v="3"/>
    <x v="0"/>
  </r>
  <r>
    <x v="93"/>
    <x v="93"/>
    <x v="0"/>
    <x v="4"/>
    <x v="6"/>
    <n v="1"/>
    <n v="11.73"/>
    <x v="0"/>
    <x v="86"/>
    <x v="1"/>
    <x v="31"/>
    <x v="0"/>
    <x v="3"/>
    <x v="1"/>
  </r>
  <r>
    <x v="94"/>
    <x v="94"/>
    <x v="0"/>
    <x v="2"/>
    <x v="4"/>
    <n v="5"/>
    <n v="3000.85"/>
    <x v="0"/>
    <x v="87"/>
    <x v="8"/>
    <x v="34"/>
    <x v="0"/>
    <x v="9"/>
    <x v="0"/>
  </r>
  <r>
    <x v="95"/>
    <x v="95"/>
    <x v="0"/>
    <x v="0"/>
    <x v="1"/>
    <n v="1"/>
    <n v="300.08"/>
    <x v="2"/>
    <x v="88"/>
    <x v="7"/>
    <x v="1"/>
    <x v="0"/>
    <x v="7"/>
    <x v="0"/>
  </r>
  <r>
    <x v="96"/>
    <x v="96"/>
    <x v="1"/>
    <x v="2"/>
    <x v="1"/>
    <n v="4"/>
    <n v="1200.32"/>
    <x v="1"/>
    <x v="89"/>
    <x v="1"/>
    <x v="8"/>
    <x v="0"/>
    <x v="7"/>
    <x v="0"/>
  </r>
  <r>
    <x v="97"/>
    <x v="97"/>
    <x v="0"/>
    <x v="6"/>
    <x v="4"/>
    <n v="2"/>
    <n v="1200.3399999999999"/>
    <x v="2"/>
    <x v="90"/>
    <x v="3"/>
    <x v="24"/>
    <x v="0"/>
    <x v="4"/>
    <x v="0"/>
  </r>
  <r>
    <x v="98"/>
    <x v="98"/>
    <x v="0"/>
    <x v="2"/>
    <x v="2"/>
    <n v="2"/>
    <n v="10.46"/>
    <x v="0"/>
    <x v="91"/>
    <x v="9"/>
    <x v="13"/>
    <x v="0"/>
    <x v="1"/>
    <x v="0"/>
  </r>
  <r>
    <x v="99"/>
    <x v="99"/>
    <x v="0"/>
    <x v="6"/>
    <x v="6"/>
    <n v="5"/>
    <n v="58.65"/>
    <x v="0"/>
    <x v="48"/>
    <x v="3"/>
    <x v="32"/>
    <x v="0"/>
    <x v="5"/>
    <x v="0"/>
  </r>
  <r>
    <x v="100"/>
    <x v="100"/>
    <x v="0"/>
    <x v="5"/>
    <x v="3"/>
    <n v="3"/>
    <n v="121.98"/>
    <x v="1"/>
    <x v="92"/>
    <x v="1"/>
    <x v="3"/>
    <x v="0"/>
    <x v="10"/>
    <x v="2"/>
  </r>
  <r>
    <x v="101"/>
    <x v="101"/>
    <x v="0"/>
    <x v="0"/>
    <x v="1"/>
    <n v="2"/>
    <n v="600.16"/>
    <x v="1"/>
    <x v="93"/>
    <x v="6"/>
    <x v="9"/>
    <x v="0"/>
    <x v="2"/>
    <x v="1"/>
  </r>
  <r>
    <x v="102"/>
    <x v="102"/>
    <x v="0"/>
    <x v="2"/>
    <x v="7"/>
    <n v="1"/>
    <n v="15.15"/>
    <x v="2"/>
    <x v="94"/>
    <x v="0"/>
    <x v="27"/>
    <x v="0"/>
    <x v="2"/>
    <x v="2"/>
  </r>
  <r>
    <x v="103"/>
    <x v="103"/>
    <x v="1"/>
    <x v="3"/>
    <x v="2"/>
    <n v="2"/>
    <n v="10.46"/>
    <x v="1"/>
    <x v="95"/>
    <x v="4"/>
    <x v="13"/>
    <x v="0"/>
    <x v="3"/>
    <x v="0"/>
  </r>
  <r>
    <x v="104"/>
    <x v="104"/>
    <x v="1"/>
    <x v="5"/>
    <x v="3"/>
    <n v="3"/>
    <n v="121.98"/>
    <x v="1"/>
    <x v="96"/>
    <x v="2"/>
    <x v="3"/>
    <x v="0"/>
    <x v="2"/>
    <x v="0"/>
  </r>
  <r>
    <x v="105"/>
    <x v="105"/>
    <x v="1"/>
    <x v="1"/>
    <x v="1"/>
    <n v="5"/>
    <n v="1500.4"/>
    <x v="1"/>
    <x v="97"/>
    <x v="8"/>
    <x v="5"/>
    <x v="0"/>
    <x v="7"/>
    <x v="0"/>
  </r>
  <r>
    <x v="106"/>
    <x v="106"/>
    <x v="0"/>
    <x v="3"/>
    <x v="3"/>
    <n v="4"/>
    <n v="162.63999999999999"/>
    <x v="0"/>
    <x v="44"/>
    <x v="3"/>
    <x v="15"/>
    <x v="0"/>
    <x v="1"/>
    <x v="0"/>
  </r>
  <r>
    <x v="107"/>
    <x v="107"/>
    <x v="1"/>
    <x v="5"/>
    <x v="1"/>
    <n v="2"/>
    <n v="600.16"/>
    <x v="0"/>
    <x v="98"/>
    <x v="4"/>
    <x v="9"/>
    <x v="0"/>
    <x v="0"/>
    <x v="0"/>
  </r>
  <r>
    <x v="108"/>
    <x v="108"/>
    <x v="0"/>
    <x v="2"/>
    <x v="1"/>
    <n v="1"/>
    <n v="300.08"/>
    <x v="1"/>
    <x v="10"/>
    <x v="4"/>
    <x v="1"/>
    <x v="0"/>
    <x v="7"/>
    <x v="1"/>
  </r>
  <r>
    <x v="109"/>
    <x v="109"/>
    <x v="1"/>
    <x v="1"/>
    <x v="1"/>
    <n v="4"/>
    <n v="1200.32"/>
    <x v="0"/>
    <x v="99"/>
    <x v="0"/>
    <x v="8"/>
    <x v="0"/>
    <x v="6"/>
    <x v="0"/>
  </r>
  <r>
    <x v="110"/>
    <x v="110"/>
    <x v="1"/>
    <x v="0"/>
    <x v="1"/>
    <n v="4"/>
    <n v="1200.32"/>
    <x v="1"/>
    <x v="100"/>
    <x v="3"/>
    <x v="8"/>
    <x v="0"/>
    <x v="7"/>
    <x v="0"/>
  </r>
  <r>
    <x v="111"/>
    <x v="111"/>
    <x v="1"/>
    <x v="1"/>
    <x v="1"/>
    <n v="1"/>
    <n v="300.08"/>
    <x v="0"/>
    <x v="101"/>
    <x v="1"/>
    <x v="1"/>
    <x v="0"/>
    <x v="9"/>
    <x v="0"/>
  </r>
  <r>
    <x v="112"/>
    <x v="112"/>
    <x v="1"/>
    <x v="1"/>
    <x v="1"/>
    <n v="1"/>
    <n v="300.08"/>
    <x v="1"/>
    <x v="102"/>
    <x v="3"/>
    <x v="1"/>
    <x v="0"/>
    <x v="8"/>
    <x v="0"/>
  </r>
  <r>
    <x v="113"/>
    <x v="113"/>
    <x v="1"/>
    <x v="5"/>
    <x v="3"/>
    <n v="3"/>
    <n v="121.98"/>
    <x v="1"/>
    <x v="103"/>
    <x v="0"/>
    <x v="3"/>
    <x v="0"/>
    <x v="1"/>
    <x v="0"/>
  </r>
  <r>
    <x v="114"/>
    <x v="114"/>
    <x v="1"/>
    <x v="5"/>
    <x v="7"/>
    <n v="5"/>
    <n v="75.75"/>
    <x v="0"/>
    <x v="104"/>
    <x v="3"/>
    <x v="30"/>
    <x v="0"/>
    <x v="1"/>
    <x v="1"/>
  </r>
  <r>
    <x v="115"/>
    <x v="115"/>
    <x v="1"/>
    <x v="3"/>
    <x v="0"/>
    <n v="4"/>
    <n v="4200"/>
    <x v="1"/>
    <x v="43"/>
    <x v="3"/>
    <x v="0"/>
    <x v="0"/>
    <x v="8"/>
    <x v="0"/>
  </r>
  <r>
    <x v="116"/>
    <x v="116"/>
    <x v="0"/>
    <x v="4"/>
    <x v="5"/>
    <n v="2"/>
    <n v="71.680000000000007"/>
    <x v="2"/>
    <x v="33"/>
    <x v="0"/>
    <x v="14"/>
    <x v="0"/>
    <x v="2"/>
    <x v="1"/>
  </r>
  <r>
    <x v="117"/>
    <x v="117"/>
    <x v="0"/>
    <x v="1"/>
    <x v="3"/>
    <n v="4"/>
    <n v="162.63999999999999"/>
    <x v="1"/>
    <x v="105"/>
    <x v="3"/>
    <x v="15"/>
    <x v="0"/>
    <x v="2"/>
    <x v="1"/>
  </r>
  <r>
    <x v="118"/>
    <x v="118"/>
    <x v="0"/>
    <x v="6"/>
    <x v="0"/>
    <n v="5"/>
    <n v="5250"/>
    <x v="2"/>
    <x v="106"/>
    <x v="8"/>
    <x v="35"/>
    <x v="0"/>
    <x v="9"/>
    <x v="0"/>
  </r>
  <r>
    <x v="119"/>
    <x v="119"/>
    <x v="0"/>
    <x v="3"/>
    <x v="2"/>
    <n v="2"/>
    <n v="10.46"/>
    <x v="1"/>
    <x v="107"/>
    <x v="2"/>
    <x v="13"/>
    <x v="0"/>
    <x v="7"/>
    <x v="1"/>
  </r>
  <r>
    <x v="120"/>
    <x v="120"/>
    <x v="0"/>
    <x v="6"/>
    <x v="6"/>
    <n v="2"/>
    <n v="23.46"/>
    <x v="1"/>
    <x v="108"/>
    <x v="4"/>
    <x v="36"/>
    <x v="0"/>
    <x v="11"/>
    <x v="1"/>
  </r>
  <r>
    <x v="121"/>
    <x v="121"/>
    <x v="0"/>
    <x v="2"/>
    <x v="1"/>
    <n v="1"/>
    <n v="300.08"/>
    <x v="1"/>
    <x v="109"/>
    <x v="4"/>
    <x v="1"/>
    <x v="0"/>
    <x v="11"/>
    <x v="2"/>
  </r>
  <r>
    <x v="122"/>
    <x v="122"/>
    <x v="0"/>
    <x v="3"/>
    <x v="1"/>
    <n v="2"/>
    <n v="600.16"/>
    <x v="1"/>
    <x v="110"/>
    <x v="1"/>
    <x v="9"/>
    <x v="0"/>
    <x v="0"/>
    <x v="0"/>
  </r>
  <r>
    <x v="123"/>
    <x v="123"/>
    <x v="1"/>
    <x v="4"/>
    <x v="1"/>
    <n v="3"/>
    <n v="900.24"/>
    <x v="1"/>
    <x v="111"/>
    <x v="7"/>
    <x v="4"/>
    <x v="0"/>
    <x v="10"/>
    <x v="2"/>
  </r>
  <r>
    <x v="124"/>
    <x v="124"/>
    <x v="1"/>
    <x v="4"/>
    <x v="4"/>
    <n v="3"/>
    <n v="1800.51"/>
    <x v="1"/>
    <x v="112"/>
    <x v="2"/>
    <x v="37"/>
    <x v="0"/>
    <x v="5"/>
    <x v="0"/>
  </r>
  <r>
    <x v="125"/>
    <x v="125"/>
    <x v="0"/>
    <x v="0"/>
    <x v="1"/>
    <n v="1"/>
    <n v="300.08"/>
    <x v="1"/>
    <x v="113"/>
    <x v="1"/>
    <x v="1"/>
    <x v="0"/>
    <x v="8"/>
    <x v="0"/>
  </r>
  <r>
    <x v="126"/>
    <x v="126"/>
    <x v="0"/>
    <x v="3"/>
    <x v="3"/>
    <n v="1"/>
    <n v="40.659999999999997"/>
    <x v="0"/>
    <x v="114"/>
    <x v="0"/>
    <x v="29"/>
    <x v="0"/>
    <x v="11"/>
    <x v="1"/>
  </r>
  <r>
    <x v="127"/>
    <x v="127"/>
    <x v="0"/>
    <x v="4"/>
    <x v="3"/>
    <n v="5"/>
    <n v="203.3"/>
    <x v="1"/>
    <x v="82"/>
    <x v="8"/>
    <x v="12"/>
    <x v="0"/>
    <x v="2"/>
    <x v="0"/>
  </r>
  <r>
    <x v="128"/>
    <x v="128"/>
    <x v="0"/>
    <x v="6"/>
    <x v="1"/>
    <n v="4"/>
    <n v="1200.32"/>
    <x v="0"/>
    <x v="115"/>
    <x v="1"/>
    <x v="8"/>
    <x v="0"/>
    <x v="9"/>
    <x v="1"/>
  </r>
  <r>
    <x v="129"/>
    <x v="129"/>
    <x v="0"/>
    <x v="2"/>
    <x v="1"/>
    <n v="5"/>
    <n v="1500.4"/>
    <x v="2"/>
    <x v="116"/>
    <x v="5"/>
    <x v="5"/>
    <x v="0"/>
    <x v="3"/>
    <x v="0"/>
  </r>
  <r>
    <x v="130"/>
    <x v="130"/>
    <x v="0"/>
    <x v="6"/>
    <x v="6"/>
    <n v="3"/>
    <n v="35.19"/>
    <x v="2"/>
    <x v="117"/>
    <x v="9"/>
    <x v="16"/>
    <x v="0"/>
    <x v="3"/>
    <x v="1"/>
  </r>
  <r>
    <x v="131"/>
    <x v="131"/>
    <x v="0"/>
    <x v="2"/>
    <x v="1"/>
    <n v="3"/>
    <n v="900.24"/>
    <x v="0"/>
    <x v="118"/>
    <x v="4"/>
    <x v="4"/>
    <x v="0"/>
    <x v="9"/>
    <x v="1"/>
  </r>
  <r>
    <x v="132"/>
    <x v="132"/>
    <x v="0"/>
    <x v="0"/>
    <x v="1"/>
    <n v="2"/>
    <n v="600.16"/>
    <x v="0"/>
    <x v="119"/>
    <x v="3"/>
    <x v="9"/>
    <x v="0"/>
    <x v="6"/>
    <x v="0"/>
  </r>
  <r>
    <x v="133"/>
    <x v="133"/>
    <x v="0"/>
    <x v="1"/>
    <x v="3"/>
    <n v="3"/>
    <n v="121.98"/>
    <x v="1"/>
    <x v="120"/>
    <x v="0"/>
    <x v="3"/>
    <x v="0"/>
    <x v="10"/>
    <x v="2"/>
  </r>
  <r>
    <x v="134"/>
    <x v="134"/>
    <x v="0"/>
    <x v="6"/>
    <x v="2"/>
    <n v="5"/>
    <n v="26.15"/>
    <x v="0"/>
    <x v="121"/>
    <x v="4"/>
    <x v="22"/>
    <x v="0"/>
    <x v="6"/>
    <x v="1"/>
  </r>
  <r>
    <x v="135"/>
    <x v="135"/>
    <x v="0"/>
    <x v="4"/>
    <x v="5"/>
    <n v="3"/>
    <n v="107.52"/>
    <x v="0"/>
    <x v="122"/>
    <x v="4"/>
    <x v="23"/>
    <x v="0"/>
    <x v="6"/>
    <x v="1"/>
  </r>
  <r>
    <x v="136"/>
    <x v="136"/>
    <x v="1"/>
    <x v="6"/>
    <x v="4"/>
    <n v="5"/>
    <n v="3000.85"/>
    <x v="1"/>
    <x v="116"/>
    <x v="4"/>
    <x v="34"/>
    <x v="0"/>
    <x v="3"/>
    <x v="0"/>
  </r>
  <r>
    <x v="137"/>
    <x v="137"/>
    <x v="0"/>
    <x v="6"/>
    <x v="5"/>
    <n v="4"/>
    <n v="143.36000000000001"/>
    <x v="1"/>
    <x v="16"/>
    <x v="9"/>
    <x v="7"/>
    <x v="0"/>
    <x v="7"/>
    <x v="1"/>
  </r>
  <r>
    <x v="138"/>
    <x v="138"/>
    <x v="0"/>
    <x v="1"/>
    <x v="5"/>
    <n v="5"/>
    <n v="179.2"/>
    <x v="0"/>
    <x v="123"/>
    <x v="0"/>
    <x v="17"/>
    <x v="0"/>
    <x v="1"/>
    <x v="1"/>
  </r>
  <r>
    <x v="139"/>
    <x v="139"/>
    <x v="1"/>
    <x v="2"/>
    <x v="1"/>
    <n v="5"/>
    <n v="1500.4"/>
    <x v="2"/>
    <x v="42"/>
    <x v="1"/>
    <x v="5"/>
    <x v="0"/>
    <x v="7"/>
    <x v="1"/>
  </r>
  <r>
    <x v="140"/>
    <x v="140"/>
    <x v="1"/>
    <x v="6"/>
    <x v="5"/>
    <n v="3"/>
    <n v="107.52"/>
    <x v="2"/>
    <x v="124"/>
    <x v="4"/>
    <x v="23"/>
    <x v="0"/>
    <x v="9"/>
    <x v="1"/>
  </r>
  <r>
    <x v="141"/>
    <x v="141"/>
    <x v="1"/>
    <x v="0"/>
    <x v="3"/>
    <n v="2"/>
    <n v="81.319999999999993"/>
    <x v="0"/>
    <x v="125"/>
    <x v="4"/>
    <x v="26"/>
    <x v="0"/>
    <x v="4"/>
    <x v="1"/>
  </r>
  <r>
    <x v="142"/>
    <x v="142"/>
    <x v="1"/>
    <x v="4"/>
    <x v="3"/>
    <n v="4"/>
    <n v="162.63999999999999"/>
    <x v="0"/>
    <x v="126"/>
    <x v="7"/>
    <x v="15"/>
    <x v="0"/>
    <x v="5"/>
    <x v="0"/>
  </r>
  <r>
    <x v="143"/>
    <x v="143"/>
    <x v="0"/>
    <x v="5"/>
    <x v="1"/>
    <n v="4"/>
    <n v="1200.32"/>
    <x v="2"/>
    <x v="45"/>
    <x v="8"/>
    <x v="8"/>
    <x v="0"/>
    <x v="8"/>
    <x v="1"/>
  </r>
  <r>
    <x v="144"/>
    <x v="144"/>
    <x v="0"/>
    <x v="7"/>
    <x v="1"/>
    <n v="2"/>
    <n v="600.16"/>
    <x v="1"/>
    <x v="127"/>
    <x v="7"/>
    <x v="9"/>
    <x v="1"/>
    <x v="6"/>
    <x v="1"/>
  </r>
  <r>
    <x v="145"/>
    <x v="145"/>
    <x v="0"/>
    <x v="8"/>
    <x v="1"/>
    <n v="3"/>
    <n v="900.24"/>
    <x v="0"/>
    <x v="122"/>
    <x v="0"/>
    <x v="4"/>
    <x v="1"/>
    <x v="6"/>
    <x v="1"/>
  </r>
  <r>
    <x v="146"/>
    <x v="146"/>
    <x v="0"/>
    <x v="9"/>
    <x v="4"/>
    <n v="4"/>
    <n v="2400.6799999999998"/>
    <x v="1"/>
    <x v="128"/>
    <x v="1"/>
    <x v="6"/>
    <x v="1"/>
    <x v="5"/>
    <x v="1"/>
  </r>
  <r>
    <x v="147"/>
    <x v="147"/>
    <x v="1"/>
    <x v="10"/>
    <x v="1"/>
    <n v="3"/>
    <n v="900.24"/>
    <x v="1"/>
    <x v="129"/>
    <x v="2"/>
    <x v="4"/>
    <x v="1"/>
    <x v="11"/>
    <x v="0"/>
  </r>
  <r>
    <x v="148"/>
    <x v="148"/>
    <x v="0"/>
    <x v="8"/>
    <x v="2"/>
    <n v="4"/>
    <n v="20.92"/>
    <x v="1"/>
    <x v="130"/>
    <x v="6"/>
    <x v="33"/>
    <x v="1"/>
    <x v="1"/>
    <x v="1"/>
  </r>
  <r>
    <x v="149"/>
    <x v="149"/>
    <x v="0"/>
    <x v="8"/>
    <x v="1"/>
    <n v="1"/>
    <n v="300.08"/>
    <x v="0"/>
    <x v="131"/>
    <x v="4"/>
    <x v="1"/>
    <x v="1"/>
    <x v="5"/>
    <x v="1"/>
  </r>
  <r>
    <x v="150"/>
    <x v="150"/>
    <x v="0"/>
    <x v="11"/>
    <x v="1"/>
    <n v="5"/>
    <n v="1500.4"/>
    <x v="0"/>
    <x v="132"/>
    <x v="1"/>
    <x v="5"/>
    <x v="1"/>
    <x v="5"/>
    <x v="0"/>
  </r>
  <r>
    <x v="151"/>
    <x v="151"/>
    <x v="0"/>
    <x v="12"/>
    <x v="3"/>
    <n v="2"/>
    <n v="81.319999999999993"/>
    <x v="0"/>
    <x v="133"/>
    <x v="4"/>
    <x v="26"/>
    <x v="1"/>
    <x v="8"/>
    <x v="0"/>
  </r>
  <r>
    <x v="152"/>
    <x v="152"/>
    <x v="1"/>
    <x v="13"/>
    <x v="1"/>
    <n v="1"/>
    <n v="300.08"/>
    <x v="2"/>
    <x v="46"/>
    <x v="3"/>
    <x v="1"/>
    <x v="1"/>
    <x v="10"/>
    <x v="0"/>
  </r>
  <r>
    <x v="153"/>
    <x v="153"/>
    <x v="0"/>
    <x v="13"/>
    <x v="2"/>
    <n v="5"/>
    <n v="26.15"/>
    <x v="2"/>
    <x v="134"/>
    <x v="0"/>
    <x v="22"/>
    <x v="1"/>
    <x v="4"/>
    <x v="0"/>
  </r>
  <r>
    <x v="154"/>
    <x v="154"/>
    <x v="0"/>
    <x v="10"/>
    <x v="7"/>
    <n v="5"/>
    <n v="75.75"/>
    <x v="0"/>
    <x v="135"/>
    <x v="3"/>
    <x v="30"/>
    <x v="1"/>
    <x v="10"/>
    <x v="0"/>
  </r>
  <r>
    <x v="155"/>
    <x v="155"/>
    <x v="1"/>
    <x v="12"/>
    <x v="1"/>
    <n v="5"/>
    <n v="1500.4"/>
    <x v="1"/>
    <x v="136"/>
    <x v="3"/>
    <x v="5"/>
    <x v="1"/>
    <x v="1"/>
    <x v="1"/>
  </r>
  <r>
    <x v="156"/>
    <x v="156"/>
    <x v="1"/>
    <x v="9"/>
    <x v="4"/>
    <n v="3"/>
    <n v="1800.51"/>
    <x v="2"/>
    <x v="137"/>
    <x v="0"/>
    <x v="37"/>
    <x v="1"/>
    <x v="5"/>
    <x v="1"/>
  </r>
  <r>
    <x v="157"/>
    <x v="157"/>
    <x v="1"/>
    <x v="9"/>
    <x v="3"/>
    <n v="1"/>
    <n v="40.659999999999997"/>
    <x v="0"/>
    <x v="138"/>
    <x v="0"/>
    <x v="29"/>
    <x v="1"/>
    <x v="11"/>
    <x v="0"/>
  </r>
  <r>
    <x v="158"/>
    <x v="158"/>
    <x v="1"/>
    <x v="7"/>
    <x v="1"/>
    <n v="5"/>
    <n v="1500.4"/>
    <x v="0"/>
    <x v="139"/>
    <x v="0"/>
    <x v="5"/>
    <x v="1"/>
    <x v="0"/>
    <x v="1"/>
  </r>
  <r>
    <x v="159"/>
    <x v="159"/>
    <x v="1"/>
    <x v="9"/>
    <x v="3"/>
    <n v="4"/>
    <n v="162.63999999999999"/>
    <x v="2"/>
    <x v="140"/>
    <x v="0"/>
    <x v="15"/>
    <x v="1"/>
    <x v="10"/>
    <x v="2"/>
  </r>
  <r>
    <x v="160"/>
    <x v="160"/>
    <x v="0"/>
    <x v="11"/>
    <x v="2"/>
    <n v="3"/>
    <n v="15.69"/>
    <x v="1"/>
    <x v="141"/>
    <x v="4"/>
    <x v="2"/>
    <x v="1"/>
    <x v="10"/>
    <x v="0"/>
  </r>
  <r>
    <x v="161"/>
    <x v="161"/>
    <x v="0"/>
    <x v="14"/>
    <x v="2"/>
    <n v="3"/>
    <n v="15.69"/>
    <x v="0"/>
    <x v="142"/>
    <x v="4"/>
    <x v="2"/>
    <x v="1"/>
    <x v="9"/>
    <x v="0"/>
  </r>
  <r>
    <x v="162"/>
    <x v="162"/>
    <x v="1"/>
    <x v="13"/>
    <x v="2"/>
    <n v="2"/>
    <n v="10.46"/>
    <x v="1"/>
    <x v="143"/>
    <x v="2"/>
    <x v="13"/>
    <x v="1"/>
    <x v="6"/>
    <x v="0"/>
  </r>
  <r>
    <x v="163"/>
    <x v="163"/>
    <x v="0"/>
    <x v="8"/>
    <x v="3"/>
    <n v="3"/>
    <n v="121.98"/>
    <x v="2"/>
    <x v="144"/>
    <x v="2"/>
    <x v="3"/>
    <x v="1"/>
    <x v="7"/>
    <x v="1"/>
  </r>
  <r>
    <x v="164"/>
    <x v="164"/>
    <x v="1"/>
    <x v="15"/>
    <x v="3"/>
    <n v="5"/>
    <n v="203.3"/>
    <x v="1"/>
    <x v="145"/>
    <x v="1"/>
    <x v="12"/>
    <x v="1"/>
    <x v="3"/>
    <x v="0"/>
  </r>
  <r>
    <x v="165"/>
    <x v="165"/>
    <x v="0"/>
    <x v="15"/>
    <x v="2"/>
    <n v="5"/>
    <n v="26.15"/>
    <x v="0"/>
    <x v="130"/>
    <x v="8"/>
    <x v="22"/>
    <x v="1"/>
    <x v="1"/>
    <x v="1"/>
  </r>
  <r>
    <x v="166"/>
    <x v="166"/>
    <x v="0"/>
    <x v="13"/>
    <x v="3"/>
    <n v="1"/>
    <n v="40.659999999999997"/>
    <x v="2"/>
    <x v="146"/>
    <x v="7"/>
    <x v="29"/>
    <x v="1"/>
    <x v="8"/>
    <x v="1"/>
  </r>
  <r>
    <x v="167"/>
    <x v="167"/>
    <x v="0"/>
    <x v="13"/>
    <x v="4"/>
    <n v="3"/>
    <n v="1800.51"/>
    <x v="1"/>
    <x v="109"/>
    <x v="5"/>
    <x v="37"/>
    <x v="1"/>
    <x v="11"/>
    <x v="2"/>
  </r>
  <r>
    <x v="168"/>
    <x v="168"/>
    <x v="0"/>
    <x v="11"/>
    <x v="2"/>
    <n v="4"/>
    <n v="20.92"/>
    <x v="2"/>
    <x v="147"/>
    <x v="1"/>
    <x v="33"/>
    <x v="1"/>
    <x v="5"/>
    <x v="1"/>
  </r>
  <r>
    <x v="169"/>
    <x v="169"/>
    <x v="1"/>
    <x v="15"/>
    <x v="4"/>
    <n v="5"/>
    <n v="3000.85"/>
    <x v="1"/>
    <x v="148"/>
    <x v="6"/>
    <x v="34"/>
    <x v="1"/>
    <x v="11"/>
    <x v="2"/>
  </r>
  <r>
    <x v="170"/>
    <x v="170"/>
    <x v="0"/>
    <x v="8"/>
    <x v="6"/>
    <n v="4"/>
    <n v="46.92"/>
    <x v="2"/>
    <x v="149"/>
    <x v="3"/>
    <x v="28"/>
    <x v="1"/>
    <x v="5"/>
    <x v="1"/>
  </r>
  <r>
    <x v="171"/>
    <x v="171"/>
    <x v="1"/>
    <x v="8"/>
    <x v="1"/>
    <n v="4"/>
    <n v="1200.32"/>
    <x v="2"/>
    <x v="150"/>
    <x v="7"/>
    <x v="8"/>
    <x v="1"/>
    <x v="8"/>
    <x v="1"/>
  </r>
  <r>
    <x v="172"/>
    <x v="172"/>
    <x v="0"/>
    <x v="12"/>
    <x v="4"/>
    <n v="1"/>
    <n v="600.16999999999996"/>
    <x v="1"/>
    <x v="151"/>
    <x v="3"/>
    <x v="38"/>
    <x v="1"/>
    <x v="9"/>
    <x v="1"/>
  </r>
  <r>
    <x v="173"/>
    <x v="173"/>
    <x v="1"/>
    <x v="14"/>
    <x v="5"/>
    <n v="1"/>
    <n v="35.840000000000003"/>
    <x v="1"/>
    <x v="152"/>
    <x v="0"/>
    <x v="18"/>
    <x v="1"/>
    <x v="6"/>
    <x v="1"/>
  </r>
  <r>
    <x v="174"/>
    <x v="174"/>
    <x v="1"/>
    <x v="15"/>
    <x v="1"/>
    <n v="5"/>
    <n v="1500.4"/>
    <x v="0"/>
    <x v="115"/>
    <x v="4"/>
    <x v="5"/>
    <x v="1"/>
    <x v="9"/>
    <x v="1"/>
  </r>
  <r>
    <x v="175"/>
    <x v="175"/>
    <x v="0"/>
    <x v="8"/>
    <x v="2"/>
    <n v="3"/>
    <n v="15.69"/>
    <x v="1"/>
    <x v="153"/>
    <x v="6"/>
    <x v="2"/>
    <x v="1"/>
    <x v="9"/>
    <x v="1"/>
  </r>
  <r>
    <x v="176"/>
    <x v="176"/>
    <x v="1"/>
    <x v="9"/>
    <x v="3"/>
    <n v="3"/>
    <n v="121.98"/>
    <x v="1"/>
    <x v="154"/>
    <x v="3"/>
    <x v="3"/>
    <x v="1"/>
    <x v="0"/>
    <x v="1"/>
  </r>
  <r>
    <x v="177"/>
    <x v="177"/>
    <x v="0"/>
    <x v="15"/>
    <x v="1"/>
    <n v="4"/>
    <n v="1200.32"/>
    <x v="2"/>
    <x v="42"/>
    <x v="5"/>
    <x v="8"/>
    <x v="1"/>
    <x v="7"/>
    <x v="1"/>
  </r>
  <r>
    <x v="178"/>
    <x v="178"/>
    <x v="1"/>
    <x v="9"/>
    <x v="4"/>
    <n v="2"/>
    <n v="1200.3399999999999"/>
    <x v="1"/>
    <x v="155"/>
    <x v="0"/>
    <x v="24"/>
    <x v="1"/>
    <x v="9"/>
    <x v="1"/>
  </r>
  <r>
    <x v="179"/>
    <x v="179"/>
    <x v="0"/>
    <x v="15"/>
    <x v="1"/>
    <n v="5"/>
    <n v="1500.4"/>
    <x v="2"/>
    <x v="108"/>
    <x v="1"/>
    <x v="5"/>
    <x v="1"/>
    <x v="11"/>
    <x v="1"/>
  </r>
  <r>
    <x v="180"/>
    <x v="180"/>
    <x v="1"/>
    <x v="7"/>
    <x v="1"/>
    <n v="1"/>
    <n v="300.08"/>
    <x v="0"/>
    <x v="156"/>
    <x v="8"/>
    <x v="1"/>
    <x v="1"/>
    <x v="5"/>
    <x v="0"/>
  </r>
  <r>
    <x v="181"/>
    <x v="181"/>
    <x v="1"/>
    <x v="9"/>
    <x v="6"/>
    <n v="3"/>
    <n v="35.19"/>
    <x v="0"/>
    <x v="157"/>
    <x v="2"/>
    <x v="16"/>
    <x v="1"/>
    <x v="3"/>
    <x v="1"/>
  </r>
  <r>
    <x v="182"/>
    <x v="182"/>
    <x v="1"/>
    <x v="14"/>
    <x v="1"/>
    <n v="1"/>
    <n v="300.08"/>
    <x v="0"/>
    <x v="158"/>
    <x v="1"/>
    <x v="1"/>
    <x v="1"/>
    <x v="0"/>
    <x v="1"/>
  </r>
  <r>
    <x v="183"/>
    <x v="183"/>
    <x v="1"/>
    <x v="8"/>
    <x v="3"/>
    <n v="5"/>
    <n v="203.3"/>
    <x v="1"/>
    <x v="159"/>
    <x v="2"/>
    <x v="12"/>
    <x v="1"/>
    <x v="7"/>
    <x v="1"/>
  </r>
  <r>
    <x v="184"/>
    <x v="184"/>
    <x v="0"/>
    <x v="10"/>
    <x v="1"/>
    <n v="4"/>
    <n v="1200.32"/>
    <x v="0"/>
    <x v="160"/>
    <x v="4"/>
    <x v="8"/>
    <x v="1"/>
    <x v="4"/>
    <x v="1"/>
  </r>
  <r>
    <x v="185"/>
    <x v="185"/>
    <x v="0"/>
    <x v="14"/>
    <x v="7"/>
    <n v="1"/>
    <n v="15.15"/>
    <x v="2"/>
    <x v="161"/>
    <x v="2"/>
    <x v="27"/>
    <x v="1"/>
    <x v="4"/>
    <x v="0"/>
  </r>
  <r>
    <x v="186"/>
    <x v="186"/>
    <x v="1"/>
    <x v="10"/>
    <x v="1"/>
    <n v="1"/>
    <n v="300.08"/>
    <x v="0"/>
    <x v="162"/>
    <x v="0"/>
    <x v="1"/>
    <x v="1"/>
    <x v="10"/>
    <x v="2"/>
  </r>
  <r>
    <x v="187"/>
    <x v="187"/>
    <x v="1"/>
    <x v="16"/>
    <x v="3"/>
    <n v="3"/>
    <n v="121.98"/>
    <x v="0"/>
    <x v="163"/>
    <x v="3"/>
    <x v="3"/>
    <x v="1"/>
    <x v="11"/>
    <x v="1"/>
  </r>
  <r>
    <x v="188"/>
    <x v="188"/>
    <x v="1"/>
    <x v="12"/>
    <x v="6"/>
    <n v="5"/>
    <n v="58.65"/>
    <x v="1"/>
    <x v="164"/>
    <x v="3"/>
    <x v="32"/>
    <x v="1"/>
    <x v="3"/>
    <x v="1"/>
  </r>
  <r>
    <x v="189"/>
    <x v="189"/>
    <x v="0"/>
    <x v="12"/>
    <x v="3"/>
    <n v="1"/>
    <n v="40.659999999999997"/>
    <x v="1"/>
    <x v="165"/>
    <x v="3"/>
    <x v="29"/>
    <x v="1"/>
    <x v="8"/>
    <x v="0"/>
  </r>
  <r>
    <x v="190"/>
    <x v="190"/>
    <x v="1"/>
    <x v="12"/>
    <x v="6"/>
    <n v="1"/>
    <n v="11.73"/>
    <x v="2"/>
    <x v="166"/>
    <x v="4"/>
    <x v="31"/>
    <x v="1"/>
    <x v="0"/>
    <x v="1"/>
  </r>
  <r>
    <x v="191"/>
    <x v="191"/>
    <x v="1"/>
    <x v="8"/>
    <x v="1"/>
    <n v="5"/>
    <n v="1500.4"/>
    <x v="0"/>
    <x v="2"/>
    <x v="4"/>
    <x v="5"/>
    <x v="1"/>
    <x v="1"/>
    <x v="0"/>
  </r>
  <r>
    <x v="192"/>
    <x v="192"/>
    <x v="1"/>
    <x v="12"/>
    <x v="2"/>
    <n v="5"/>
    <n v="26.15"/>
    <x v="2"/>
    <x v="167"/>
    <x v="4"/>
    <x v="22"/>
    <x v="1"/>
    <x v="4"/>
    <x v="0"/>
  </r>
  <r>
    <x v="193"/>
    <x v="193"/>
    <x v="0"/>
    <x v="10"/>
    <x v="3"/>
    <n v="1"/>
    <n v="40.659999999999997"/>
    <x v="1"/>
    <x v="168"/>
    <x v="4"/>
    <x v="29"/>
    <x v="1"/>
    <x v="0"/>
    <x v="1"/>
  </r>
  <r>
    <x v="194"/>
    <x v="194"/>
    <x v="0"/>
    <x v="10"/>
    <x v="3"/>
    <n v="3"/>
    <n v="121.98"/>
    <x v="0"/>
    <x v="160"/>
    <x v="0"/>
    <x v="3"/>
    <x v="1"/>
    <x v="4"/>
    <x v="1"/>
  </r>
  <r>
    <x v="195"/>
    <x v="195"/>
    <x v="1"/>
    <x v="16"/>
    <x v="3"/>
    <n v="4"/>
    <n v="162.63999999999999"/>
    <x v="0"/>
    <x v="169"/>
    <x v="0"/>
    <x v="15"/>
    <x v="1"/>
    <x v="3"/>
    <x v="1"/>
  </r>
  <r>
    <x v="196"/>
    <x v="196"/>
    <x v="0"/>
    <x v="9"/>
    <x v="5"/>
    <n v="3"/>
    <n v="107.52"/>
    <x v="2"/>
    <x v="102"/>
    <x v="1"/>
    <x v="23"/>
    <x v="1"/>
    <x v="8"/>
    <x v="0"/>
  </r>
  <r>
    <x v="197"/>
    <x v="197"/>
    <x v="0"/>
    <x v="11"/>
    <x v="1"/>
    <n v="2"/>
    <n v="600.16"/>
    <x v="1"/>
    <x v="170"/>
    <x v="6"/>
    <x v="9"/>
    <x v="1"/>
    <x v="2"/>
    <x v="2"/>
  </r>
  <r>
    <x v="198"/>
    <x v="198"/>
    <x v="1"/>
    <x v="16"/>
    <x v="4"/>
    <n v="5"/>
    <n v="3000.85"/>
    <x v="2"/>
    <x v="171"/>
    <x v="6"/>
    <x v="34"/>
    <x v="1"/>
    <x v="11"/>
    <x v="1"/>
  </r>
  <r>
    <x v="199"/>
    <x v="199"/>
    <x v="0"/>
    <x v="15"/>
    <x v="2"/>
    <n v="1"/>
    <n v="5.23"/>
    <x v="2"/>
    <x v="134"/>
    <x v="7"/>
    <x v="10"/>
    <x v="1"/>
    <x v="4"/>
    <x v="0"/>
  </r>
  <r>
    <x v="200"/>
    <x v="200"/>
    <x v="0"/>
    <x v="7"/>
    <x v="5"/>
    <n v="3"/>
    <n v="107.52"/>
    <x v="1"/>
    <x v="172"/>
    <x v="4"/>
    <x v="23"/>
    <x v="1"/>
    <x v="8"/>
    <x v="1"/>
  </r>
  <r>
    <x v="201"/>
    <x v="201"/>
    <x v="0"/>
    <x v="8"/>
    <x v="6"/>
    <n v="2"/>
    <n v="23.46"/>
    <x v="0"/>
    <x v="173"/>
    <x v="7"/>
    <x v="36"/>
    <x v="1"/>
    <x v="8"/>
    <x v="1"/>
  </r>
  <r>
    <x v="202"/>
    <x v="202"/>
    <x v="0"/>
    <x v="12"/>
    <x v="1"/>
    <n v="1"/>
    <n v="300.08"/>
    <x v="1"/>
    <x v="174"/>
    <x v="5"/>
    <x v="1"/>
    <x v="1"/>
    <x v="4"/>
    <x v="0"/>
  </r>
  <r>
    <x v="203"/>
    <x v="203"/>
    <x v="0"/>
    <x v="15"/>
    <x v="2"/>
    <n v="1"/>
    <n v="5.23"/>
    <x v="0"/>
    <x v="175"/>
    <x v="4"/>
    <x v="10"/>
    <x v="1"/>
    <x v="6"/>
    <x v="0"/>
  </r>
  <r>
    <x v="204"/>
    <x v="204"/>
    <x v="0"/>
    <x v="14"/>
    <x v="5"/>
    <n v="5"/>
    <n v="179.2"/>
    <x v="2"/>
    <x v="176"/>
    <x v="4"/>
    <x v="17"/>
    <x v="1"/>
    <x v="2"/>
    <x v="1"/>
  </r>
  <r>
    <x v="205"/>
    <x v="205"/>
    <x v="0"/>
    <x v="8"/>
    <x v="3"/>
    <n v="4"/>
    <n v="162.63999999999999"/>
    <x v="1"/>
    <x v="177"/>
    <x v="1"/>
    <x v="15"/>
    <x v="1"/>
    <x v="7"/>
    <x v="1"/>
  </r>
  <r>
    <x v="206"/>
    <x v="206"/>
    <x v="1"/>
    <x v="15"/>
    <x v="2"/>
    <n v="2"/>
    <n v="10.46"/>
    <x v="1"/>
    <x v="81"/>
    <x v="8"/>
    <x v="13"/>
    <x v="1"/>
    <x v="4"/>
    <x v="0"/>
  </r>
  <r>
    <x v="207"/>
    <x v="207"/>
    <x v="0"/>
    <x v="15"/>
    <x v="3"/>
    <n v="4"/>
    <n v="162.63999999999999"/>
    <x v="0"/>
    <x v="48"/>
    <x v="5"/>
    <x v="15"/>
    <x v="1"/>
    <x v="5"/>
    <x v="0"/>
  </r>
  <r>
    <x v="208"/>
    <x v="208"/>
    <x v="1"/>
    <x v="8"/>
    <x v="1"/>
    <n v="3"/>
    <n v="900.24"/>
    <x v="0"/>
    <x v="76"/>
    <x v="4"/>
    <x v="4"/>
    <x v="1"/>
    <x v="9"/>
    <x v="1"/>
  </r>
  <r>
    <x v="209"/>
    <x v="209"/>
    <x v="0"/>
    <x v="13"/>
    <x v="1"/>
    <n v="1"/>
    <n v="300.08"/>
    <x v="2"/>
    <x v="178"/>
    <x v="4"/>
    <x v="1"/>
    <x v="1"/>
    <x v="7"/>
    <x v="0"/>
  </r>
  <r>
    <x v="210"/>
    <x v="210"/>
    <x v="0"/>
    <x v="10"/>
    <x v="2"/>
    <n v="1"/>
    <n v="5.23"/>
    <x v="0"/>
    <x v="179"/>
    <x v="3"/>
    <x v="10"/>
    <x v="1"/>
    <x v="1"/>
    <x v="1"/>
  </r>
  <r>
    <x v="211"/>
    <x v="211"/>
    <x v="1"/>
    <x v="7"/>
    <x v="2"/>
    <n v="1"/>
    <n v="5.23"/>
    <x v="0"/>
    <x v="180"/>
    <x v="3"/>
    <x v="10"/>
    <x v="1"/>
    <x v="4"/>
    <x v="0"/>
  </r>
  <r>
    <x v="212"/>
    <x v="212"/>
    <x v="0"/>
    <x v="7"/>
    <x v="0"/>
    <n v="2"/>
    <n v="2100"/>
    <x v="1"/>
    <x v="181"/>
    <x v="1"/>
    <x v="19"/>
    <x v="1"/>
    <x v="11"/>
    <x v="1"/>
  </r>
  <r>
    <x v="213"/>
    <x v="213"/>
    <x v="0"/>
    <x v="10"/>
    <x v="6"/>
    <n v="4"/>
    <n v="46.92"/>
    <x v="1"/>
    <x v="182"/>
    <x v="0"/>
    <x v="28"/>
    <x v="1"/>
    <x v="10"/>
    <x v="2"/>
  </r>
  <r>
    <x v="214"/>
    <x v="214"/>
    <x v="0"/>
    <x v="9"/>
    <x v="1"/>
    <n v="1"/>
    <n v="300.08"/>
    <x v="2"/>
    <x v="183"/>
    <x v="1"/>
    <x v="1"/>
    <x v="1"/>
    <x v="11"/>
    <x v="1"/>
  </r>
  <r>
    <x v="215"/>
    <x v="215"/>
    <x v="0"/>
    <x v="9"/>
    <x v="6"/>
    <n v="1"/>
    <n v="11.73"/>
    <x v="0"/>
    <x v="184"/>
    <x v="0"/>
    <x v="31"/>
    <x v="1"/>
    <x v="10"/>
    <x v="1"/>
  </r>
  <r>
    <x v="216"/>
    <x v="216"/>
    <x v="0"/>
    <x v="15"/>
    <x v="3"/>
    <n v="2"/>
    <n v="81.319999999999993"/>
    <x v="0"/>
    <x v="185"/>
    <x v="6"/>
    <x v="26"/>
    <x v="1"/>
    <x v="2"/>
    <x v="1"/>
  </r>
  <r>
    <x v="217"/>
    <x v="217"/>
    <x v="0"/>
    <x v="16"/>
    <x v="3"/>
    <n v="5"/>
    <n v="203.3"/>
    <x v="1"/>
    <x v="6"/>
    <x v="1"/>
    <x v="12"/>
    <x v="1"/>
    <x v="5"/>
    <x v="0"/>
  </r>
  <r>
    <x v="218"/>
    <x v="218"/>
    <x v="0"/>
    <x v="9"/>
    <x v="3"/>
    <n v="2"/>
    <n v="81.319999999999993"/>
    <x v="1"/>
    <x v="186"/>
    <x v="0"/>
    <x v="26"/>
    <x v="1"/>
    <x v="8"/>
    <x v="0"/>
  </r>
  <r>
    <x v="219"/>
    <x v="219"/>
    <x v="0"/>
    <x v="12"/>
    <x v="1"/>
    <n v="5"/>
    <n v="1500.4"/>
    <x v="0"/>
    <x v="4"/>
    <x v="8"/>
    <x v="5"/>
    <x v="1"/>
    <x v="3"/>
    <x v="0"/>
  </r>
  <r>
    <x v="220"/>
    <x v="220"/>
    <x v="1"/>
    <x v="8"/>
    <x v="7"/>
    <n v="5"/>
    <n v="75.75"/>
    <x v="0"/>
    <x v="187"/>
    <x v="0"/>
    <x v="30"/>
    <x v="1"/>
    <x v="9"/>
    <x v="1"/>
  </r>
  <r>
    <x v="221"/>
    <x v="221"/>
    <x v="0"/>
    <x v="16"/>
    <x v="5"/>
    <n v="2"/>
    <n v="71.680000000000007"/>
    <x v="1"/>
    <x v="89"/>
    <x v="6"/>
    <x v="14"/>
    <x v="1"/>
    <x v="7"/>
    <x v="0"/>
  </r>
  <r>
    <x v="222"/>
    <x v="222"/>
    <x v="0"/>
    <x v="16"/>
    <x v="3"/>
    <n v="4"/>
    <n v="162.63999999999999"/>
    <x v="1"/>
    <x v="188"/>
    <x v="0"/>
    <x v="15"/>
    <x v="1"/>
    <x v="8"/>
    <x v="1"/>
  </r>
  <r>
    <x v="223"/>
    <x v="223"/>
    <x v="1"/>
    <x v="11"/>
    <x v="3"/>
    <n v="4"/>
    <n v="162.63999999999999"/>
    <x v="1"/>
    <x v="189"/>
    <x v="1"/>
    <x v="15"/>
    <x v="1"/>
    <x v="4"/>
    <x v="1"/>
  </r>
  <r>
    <x v="224"/>
    <x v="224"/>
    <x v="0"/>
    <x v="16"/>
    <x v="7"/>
    <n v="1"/>
    <n v="15.15"/>
    <x v="1"/>
    <x v="190"/>
    <x v="1"/>
    <x v="27"/>
    <x v="1"/>
    <x v="2"/>
    <x v="2"/>
  </r>
  <r>
    <x v="225"/>
    <x v="225"/>
    <x v="0"/>
    <x v="12"/>
    <x v="1"/>
    <n v="1"/>
    <n v="300.08"/>
    <x v="2"/>
    <x v="54"/>
    <x v="4"/>
    <x v="1"/>
    <x v="1"/>
    <x v="11"/>
    <x v="1"/>
  </r>
  <r>
    <x v="226"/>
    <x v="226"/>
    <x v="0"/>
    <x v="15"/>
    <x v="6"/>
    <n v="1"/>
    <n v="11.73"/>
    <x v="1"/>
    <x v="115"/>
    <x v="5"/>
    <x v="31"/>
    <x v="1"/>
    <x v="9"/>
    <x v="1"/>
  </r>
  <r>
    <x v="227"/>
    <x v="227"/>
    <x v="0"/>
    <x v="7"/>
    <x v="3"/>
    <n v="5"/>
    <n v="203.3"/>
    <x v="2"/>
    <x v="191"/>
    <x v="4"/>
    <x v="12"/>
    <x v="1"/>
    <x v="1"/>
    <x v="0"/>
  </r>
  <r>
    <x v="228"/>
    <x v="228"/>
    <x v="0"/>
    <x v="12"/>
    <x v="2"/>
    <n v="2"/>
    <n v="10.46"/>
    <x v="1"/>
    <x v="192"/>
    <x v="4"/>
    <x v="13"/>
    <x v="1"/>
    <x v="10"/>
    <x v="2"/>
  </r>
  <r>
    <x v="229"/>
    <x v="229"/>
    <x v="0"/>
    <x v="8"/>
    <x v="1"/>
    <n v="2"/>
    <n v="600.16"/>
    <x v="0"/>
    <x v="193"/>
    <x v="0"/>
    <x v="9"/>
    <x v="1"/>
    <x v="2"/>
    <x v="2"/>
  </r>
  <r>
    <x v="230"/>
    <x v="230"/>
    <x v="1"/>
    <x v="7"/>
    <x v="1"/>
    <n v="1"/>
    <n v="300.08"/>
    <x v="0"/>
    <x v="194"/>
    <x v="0"/>
    <x v="1"/>
    <x v="1"/>
    <x v="9"/>
    <x v="1"/>
  </r>
  <r>
    <x v="231"/>
    <x v="231"/>
    <x v="0"/>
    <x v="9"/>
    <x v="0"/>
    <n v="2"/>
    <n v="2100"/>
    <x v="0"/>
    <x v="195"/>
    <x v="1"/>
    <x v="19"/>
    <x v="1"/>
    <x v="3"/>
    <x v="0"/>
  </r>
  <r>
    <x v="232"/>
    <x v="232"/>
    <x v="1"/>
    <x v="12"/>
    <x v="5"/>
    <n v="3"/>
    <n v="107.52"/>
    <x v="1"/>
    <x v="196"/>
    <x v="8"/>
    <x v="23"/>
    <x v="1"/>
    <x v="7"/>
    <x v="0"/>
  </r>
  <r>
    <x v="233"/>
    <x v="233"/>
    <x v="0"/>
    <x v="13"/>
    <x v="1"/>
    <n v="1"/>
    <n v="300.08"/>
    <x v="0"/>
    <x v="197"/>
    <x v="6"/>
    <x v="1"/>
    <x v="1"/>
    <x v="10"/>
    <x v="1"/>
  </r>
  <r>
    <x v="234"/>
    <x v="234"/>
    <x v="0"/>
    <x v="7"/>
    <x v="6"/>
    <n v="5"/>
    <n v="58.65"/>
    <x v="1"/>
    <x v="198"/>
    <x v="0"/>
    <x v="32"/>
    <x v="1"/>
    <x v="7"/>
    <x v="0"/>
  </r>
  <r>
    <x v="235"/>
    <x v="235"/>
    <x v="0"/>
    <x v="8"/>
    <x v="1"/>
    <n v="3"/>
    <n v="900.24"/>
    <x v="2"/>
    <x v="199"/>
    <x v="3"/>
    <x v="4"/>
    <x v="1"/>
    <x v="4"/>
    <x v="1"/>
  </r>
  <r>
    <x v="236"/>
    <x v="236"/>
    <x v="0"/>
    <x v="11"/>
    <x v="7"/>
    <n v="3"/>
    <n v="45.45"/>
    <x v="0"/>
    <x v="200"/>
    <x v="0"/>
    <x v="25"/>
    <x v="1"/>
    <x v="6"/>
    <x v="0"/>
  </r>
  <r>
    <x v="237"/>
    <x v="237"/>
    <x v="0"/>
    <x v="15"/>
    <x v="4"/>
    <n v="2"/>
    <n v="1200.3399999999999"/>
    <x v="1"/>
    <x v="201"/>
    <x v="6"/>
    <x v="24"/>
    <x v="1"/>
    <x v="8"/>
    <x v="1"/>
  </r>
  <r>
    <x v="238"/>
    <x v="238"/>
    <x v="0"/>
    <x v="13"/>
    <x v="5"/>
    <n v="5"/>
    <n v="179.2"/>
    <x v="1"/>
    <x v="65"/>
    <x v="0"/>
    <x v="17"/>
    <x v="1"/>
    <x v="2"/>
    <x v="1"/>
  </r>
  <r>
    <x v="239"/>
    <x v="239"/>
    <x v="0"/>
    <x v="16"/>
    <x v="3"/>
    <n v="5"/>
    <n v="203.3"/>
    <x v="1"/>
    <x v="202"/>
    <x v="3"/>
    <x v="12"/>
    <x v="1"/>
    <x v="5"/>
    <x v="1"/>
  </r>
  <r>
    <x v="240"/>
    <x v="240"/>
    <x v="0"/>
    <x v="8"/>
    <x v="2"/>
    <n v="4"/>
    <n v="20.92"/>
    <x v="1"/>
    <x v="203"/>
    <x v="6"/>
    <x v="33"/>
    <x v="1"/>
    <x v="6"/>
    <x v="0"/>
  </r>
  <r>
    <x v="241"/>
    <x v="241"/>
    <x v="0"/>
    <x v="15"/>
    <x v="3"/>
    <n v="5"/>
    <n v="203.3"/>
    <x v="1"/>
    <x v="204"/>
    <x v="0"/>
    <x v="12"/>
    <x v="1"/>
    <x v="1"/>
    <x v="1"/>
  </r>
  <r>
    <x v="242"/>
    <x v="242"/>
    <x v="0"/>
    <x v="10"/>
    <x v="4"/>
    <n v="5"/>
    <n v="3000.85"/>
    <x v="2"/>
    <x v="205"/>
    <x v="4"/>
    <x v="34"/>
    <x v="1"/>
    <x v="3"/>
    <x v="0"/>
  </r>
  <r>
    <x v="243"/>
    <x v="243"/>
    <x v="0"/>
    <x v="9"/>
    <x v="5"/>
    <n v="3"/>
    <n v="107.52"/>
    <x v="0"/>
    <x v="206"/>
    <x v="4"/>
    <x v="23"/>
    <x v="1"/>
    <x v="9"/>
    <x v="0"/>
  </r>
  <r>
    <x v="244"/>
    <x v="244"/>
    <x v="0"/>
    <x v="11"/>
    <x v="4"/>
    <n v="4"/>
    <n v="2400.6799999999998"/>
    <x v="1"/>
    <x v="207"/>
    <x v="1"/>
    <x v="6"/>
    <x v="1"/>
    <x v="0"/>
    <x v="0"/>
  </r>
  <r>
    <x v="245"/>
    <x v="245"/>
    <x v="1"/>
    <x v="12"/>
    <x v="1"/>
    <n v="2"/>
    <n v="600.16"/>
    <x v="2"/>
    <x v="208"/>
    <x v="0"/>
    <x v="9"/>
    <x v="1"/>
    <x v="11"/>
    <x v="2"/>
  </r>
  <r>
    <x v="246"/>
    <x v="246"/>
    <x v="0"/>
    <x v="7"/>
    <x v="7"/>
    <n v="4"/>
    <n v="60.6"/>
    <x v="0"/>
    <x v="111"/>
    <x v="7"/>
    <x v="21"/>
    <x v="1"/>
    <x v="10"/>
    <x v="2"/>
  </r>
  <r>
    <x v="247"/>
    <x v="247"/>
    <x v="0"/>
    <x v="13"/>
    <x v="6"/>
    <n v="2"/>
    <n v="23.46"/>
    <x v="0"/>
    <x v="209"/>
    <x v="6"/>
    <x v="36"/>
    <x v="1"/>
    <x v="5"/>
    <x v="0"/>
  </r>
  <r>
    <x v="248"/>
    <x v="248"/>
    <x v="1"/>
    <x v="9"/>
    <x v="0"/>
    <n v="2"/>
    <n v="2100"/>
    <x v="0"/>
    <x v="193"/>
    <x v="0"/>
    <x v="19"/>
    <x v="1"/>
    <x v="2"/>
    <x v="2"/>
  </r>
  <r>
    <x v="249"/>
    <x v="249"/>
    <x v="0"/>
    <x v="15"/>
    <x v="3"/>
    <n v="4"/>
    <n v="162.63999999999999"/>
    <x v="0"/>
    <x v="210"/>
    <x v="4"/>
    <x v="15"/>
    <x v="1"/>
    <x v="2"/>
    <x v="2"/>
  </r>
  <r>
    <x v="250"/>
    <x v="250"/>
    <x v="1"/>
    <x v="12"/>
    <x v="6"/>
    <n v="4"/>
    <n v="46.92"/>
    <x v="0"/>
    <x v="211"/>
    <x v="1"/>
    <x v="28"/>
    <x v="1"/>
    <x v="7"/>
    <x v="1"/>
  </r>
  <r>
    <x v="251"/>
    <x v="251"/>
    <x v="1"/>
    <x v="12"/>
    <x v="1"/>
    <n v="4"/>
    <n v="1200.32"/>
    <x v="1"/>
    <x v="212"/>
    <x v="6"/>
    <x v="8"/>
    <x v="1"/>
    <x v="6"/>
    <x v="1"/>
  </r>
  <r>
    <x v="252"/>
    <x v="252"/>
    <x v="0"/>
    <x v="15"/>
    <x v="2"/>
    <n v="5"/>
    <n v="26.15"/>
    <x v="0"/>
    <x v="213"/>
    <x v="3"/>
    <x v="22"/>
    <x v="1"/>
    <x v="10"/>
    <x v="2"/>
  </r>
  <r>
    <x v="253"/>
    <x v="253"/>
    <x v="1"/>
    <x v="7"/>
    <x v="1"/>
    <n v="2"/>
    <n v="600.16"/>
    <x v="0"/>
    <x v="214"/>
    <x v="0"/>
    <x v="9"/>
    <x v="1"/>
    <x v="10"/>
    <x v="2"/>
  </r>
  <r>
    <x v="254"/>
    <x v="254"/>
    <x v="0"/>
    <x v="12"/>
    <x v="3"/>
    <n v="3"/>
    <n v="121.98"/>
    <x v="0"/>
    <x v="215"/>
    <x v="4"/>
    <x v="3"/>
    <x v="1"/>
    <x v="1"/>
    <x v="1"/>
  </r>
  <r>
    <x v="255"/>
    <x v="255"/>
    <x v="0"/>
    <x v="10"/>
    <x v="4"/>
    <n v="1"/>
    <n v="600.16999999999996"/>
    <x v="0"/>
    <x v="216"/>
    <x v="7"/>
    <x v="38"/>
    <x v="1"/>
    <x v="9"/>
    <x v="1"/>
  </r>
  <r>
    <x v="256"/>
    <x v="256"/>
    <x v="1"/>
    <x v="15"/>
    <x v="1"/>
    <n v="4"/>
    <n v="1200.32"/>
    <x v="0"/>
    <x v="217"/>
    <x v="7"/>
    <x v="8"/>
    <x v="1"/>
    <x v="5"/>
    <x v="1"/>
  </r>
  <r>
    <x v="257"/>
    <x v="257"/>
    <x v="0"/>
    <x v="10"/>
    <x v="6"/>
    <n v="5"/>
    <n v="58.65"/>
    <x v="1"/>
    <x v="218"/>
    <x v="1"/>
    <x v="32"/>
    <x v="1"/>
    <x v="1"/>
    <x v="0"/>
  </r>
  <r>
    <x v="258"/>
    <x v="258"/>
    <x v="1"/>
    <x v="7"/>
    <x v="4"/>
    <n v="2"/>
    <n v="1200.3399999999999"/>
    <x v="0"/>
    <x v="219"/>
    <x v="1"/>
    <x v="24"/>
    <x v="1"/>
    <x v="10"/>
    <x v="0"/>
  </r>
  <r>
    <x v="259"/>
    <x v="259"/>
    <x v="0"/>
    <x v="15"/>
    <x v="5"/>
    <n v="3"/>
    <n v="107.52"/>
    <x v="2"/>
    <x v="220"/>
    <x v="3"/>
    <x v="23"/>
    <x v="1"/>
    <x v="11"/>
    <x v="0"/>
  </r>
  <r>
    <x v="260"/>
    <x v="260"/>
    <x v="0"/>
    <x v="8"/>
    <x v="1"/>
    <n v="5"/>
    <n v="1500.4"/>
    <x v="2"/>
    <x v="221"/>
    <x v="4"/>
    <x v="5"/>
    <x v="1"/>
    <x v="3"/>
    <x v="0"/>
  </r>
  <r>
    <x v="261"/>
    <x v="261"/>
    <x v="1"/>
    <x v="10"/>
    <x v="1"/>
    <n v="5"/>
    <n v="1500.4"/>
    <x v="2"/>
    <x v="47"/>
    <x v="0"/>
    <x v="5"/>
    <x v="1"/>
    <x v="8"/>
    <x v="0"/>
  </r>
  <r>
    <x v="262"/>
    <x v="262"/>
    <x v="0"/>
    <x v="14"/>
    <x v="4"/>
    <n v="4"/>
    <n v="2400.6799999999998"/>
    <x v="1"/>
    <x v="222"/>
    <x v="9"/>
    <x v="6"/>
    <x v="1"/>
    <x v="1"/>
    <x v="1"/>
  </r>
  <r>
    <x v="263"/>
    <x v="263"/>
    <x v="1"/>
    <x v="15"/>
    <x v="1"/>
    <n v="3"/>
    <n v="900.24"/>
    <x v="1"/>
    <x v="223"/>
    <x v="1"/>
    <x v="4"/>
    <x v="1"/>
    <x v="4"/>
    <x v="1"/>
  </r>
  <r>
    <x v="264"/>
    <x v="264"/>
    <x v="1"/>
    <x v="13"/>
    <x v="1"/>
    <n v="1"/>
    <n v="300.08"/>
    <x v="2"/>
    <x v="224"/>
    <x v="0"/>
    <x v="1"/>
    <x v="1"/>
    <x v="10"/>
    <x v="0"/>
  </r>
  <r>
    <x v="265"/>
    <x v="265"/>
    <x v="1"/>
    <x v="10"/>
    <x v="4"/>
    <n v="4"/>
    <n v="2400.6799999999998"/>
    <x v="0"/>
    <x v="99"/>
    <x v="4"/>
    <x v="6"/>
    <x v="1"/>
    <x v="6"/>
    <x v="0"/>
  </r>
  <r>
    <x v="266"/>
    <x v="266"/>
    <x v="0"/>
    <x v="14"/>
    <x v="1"/>
    <n v="1"/>
    <n v="300.08"/>
    <x v="1"/>
    <x v="225"/>
    <x v="4"/>
    <x v="1"/>
    <x v="1"/>
    <x v="10"/>
    <x v="1"/>
  </r>
  <r>
    <x v="267"/>
    <x v="267"/>
    <x v="0"/>
    <x v="16"/>
    <x v="1"/>
    <n v="4"/>
    <n v="1200.32"/>
    <x v="0"/>
    <x v="226"/>
    <x v="4"/>
    <x v="8"/>
    <x v="1"/>
    <x v="9"/>
    <x v="0"/>
  </r>
  <r>
    <x v="268"/>
    <x v="268"/>
    <x v="0"/>
    <x v="16"/>
    <x v="1"/>
    <n v="3"/>
    <n v="900.24"/>
    <x v="0"/>
    <x v="227"/>
    <x v="0"/>
    <x v="4"/>
    <x v="1"/>
    <x v="2"/>
    <x v="0"/>
  </r>
  <r>
    <x v="269"/>
    <x v="269"/>
    <x v="1"/>
    <x v="16"/>
    <x v="1"/>
    <n v="4"/>
    <n v="1200.32"/>
    <x v="1"/>
    <x v="204"/>
    <x v="4"/>
    <x v="8"/>
    <x v="1"/>
    <x v="1"/>
    <x v="1"/>
  </r>
  <r>
    <x v="270"/>
    <x v="270"/>
    <x v="1"/>
    <x v="8"/>
    <x v="2"/>
    <n v="4"/>
    <n v="20.92"/>
    <x v="1"/>
    <x v="205"/>
    <x v="0"/>
    <x v="33"/>
    <x v="1"/>
    <x v="3"/>
    <x v="0"/>
  </r>
  <r>
    <x v="271"/>
    <x v="271"/>
    <x v="0"/>
    <x v="15"/>
    <x v="6"/>
    <n v="3"/>
    <n v="35.19"/>
    <x v="0"/>
    <x v="228"/>
    <x v="8"/>
    <x v="16"/>
    <x v="1"/>
    <x v="5"/>
    <x v="1"/>
  </r>
  <r>
    <x v="272"/>
    <x v="272"/>
    <x v="1"/>
    <x v="14"/>
    <x v="1"/>
    <n v="4"/>
    <n v="1200.32"/>
    <x v="0"/>
    <x v="229"/>
    <x v="4"/>
    <x v="8"/>
    <x v="1"/>
    <x v="2"/>
    <x v="1"/>
  </r>
  <r>
    <x v="273"/>
    <x v="273"/>
    <x v="0"/>
    <x v="7"/>
    <x v="1"/>
    <n v="2"/>
    <n v="600.16"/>
    <x v="0"/>
    <x v="230"/>
    <x v="1"/>
    <x v="9"/>
    <x v="1"/>
    <x v="5"/>
    <x v="0"/>
  </r>
  <r>
    <x v="274"/>
    <x v="274"/>
    <x v="0"/>
    <x v="14"/>
    <x v="5"/>
    <n v="1"/>
    <n v="35.840000000000003"/>
    <x v="2"/>
    <x v="231"/>
    <x v="1"/>
    <x v="18"/>
    <x v="1"/>
    <x v="11"/>
    <x v="1"/>
  </r>
  <r>
    <x v="275"/>
    <x v="275"/>
    <x v="1"/>
    <x v="11"/>
    <x v="0"/>
    <n v="5"/>
    <n v="5250"/>
    <x v="2"/>
    <x v="232"/>
    <x v="0"/>
    <x v="35"/>
    <x v="1"/>
    <x v="11"/>
    <x v="0"/>
  </r>
  <r>
    <x v="276"/>
    <x v="276"/>
    <x v="1"/>
    <x v="14"/>
    <x v="6"/>
    <n v="2"/>
    <n v="23.46"/>
    <x v="0"/>
    <x v="233"/>
    <x v="6"/>
    <x v="36"/>
    <x v="1"/>
    <x v="10"/>
    <x v="1"/>
  </r>
  <r>
    <x v="277"/>
    <x v="277"/>
    <x v="0"/>
    <x v="13"/>
    <x v="5"/>
    <n v="5"/>
    <n v="179.2"/>
    <x v="0"/>
    <x v="234"/>
    <x v="1"/>
    <x v="17"/>
    <x v="1"/>
    <x v="5"/>
    <x v="1"/>
  </r>
  <r>
    <x v="278"/>
    <x v="278"/>
    <x v="0"/>
    <x v="14"/>
    <x v="1"/>
    <n v="3"/>
    <n v="900.24"/>
    <x v="1"/>
    <x v="235"/>
    <x v="0"/>
    <x v="4"/>
    <x v="1"/>
    <x v="0"/>
    <x v="0"/>
  </r>
  <r>
    <x v="279"/>
    <x v="279"/>
    <x v="0"/>
    <x v="13"/>
    <x v="1"/>
    <n v="4"/>
    <n v="1200.32"/>
    <x v="2"/>
    <x v="99"/>
    <x v="1"/>
    <x v="8"/>
    <x v="1"/>
    <x v="6"/>
    <x v="0"/>
  </r>
  <r>
    <x v="280"/>
    <x v="280"/>
    <x v="0"/>
    <x v="11"/>
    <x v="7"/>
    <n v="4"/>
    <n v="60.6"/>
    <x v="1"/>
    <x v="185"/>
    <x v="2"/>
    <x v="21"/>
    <x v="1"/>
    <x v="2"/>
    <x v="1"/>
  </r>
  <r>
    <x v="281"/>
    <x v="281"/>
    <x v="1"/>
    <x v="11"/>
    <x v="3"/>
    <n v="3"/>
    <n v="121.98"/>
    <x v="1"/>
    <x v="236"/>
    <x v="5"/>
    <x v="3"/>
    <x v="1"/>
    <x v="11"/>
    <x v="0"/>
  </r>
  <r>
    <x v="282"/>
    <x v="282"/>
    <x v="0"/>
    <x v="7"/>
    <x v="1"/>
    <n v="3"/>
    <n v="900.24"/>
    <x v="0"/>
    <x v="228"/>
    <x v="2"/>
    <x v="4"/>
    <x v="1"/>
    <x v="5"/>
    <x v="1"/>
  </r>
  <r>
    <x v="283"/>
    <x v="283"/>
    <x v="1"/>
    <x v="13"/>
    <x v="4"/>
    <n v="1"/>
    <n v="600.16999999999996"/>
    <x v="0"/>
    <x v="237"/>
    <x v="6"/>
    <x v="38"/>
    <x v="1"/>
    <x v="10"/>
    <x v="1"/>
  </r>
  <r>
    <x v="284"/>
    <x v="284"/>
    <x v="0"/>
    <x v="13"/>
    <x v="1"/>
    <n v="2"/>
    <n v="600.16"/>
    <x v="1"/>
    <x v="137"/>
    <x v="0"/>
    <x v="9"/>
    <x v="1"/>
    <x v="5"/>
    <x v="1"/>
  </r>
  <r>
    <x v="285"/>
    <x v="285"/>
    <x v="0"/>
    <x v="8"/>
    <x v="4"/>
    <n v="2"/>
    <n v="1200.3399999999999"/>
    <x v="0"/>
    <x v="238"/>
    <x v="6"/>
    <x v="24"/>
    <x v="1"/>
    <x v="6"/>
    <x v="1"/>
  </r>
  <r>
    <x v="286"/>
    <x v="286"/>
    <x v="1"/>
    <x v="15"/>
    <x v="1"/>
    <n v="1"/>
    <n v="300.08"/>
    <x v="0"/>
    <x v="239"/>
    <x v="4"/>
    <x v="1"/>
    <x v="1"/>
    <x v="2"/>
    <x v="2"/>
  </r>
  <r>
    <x v="287"/>
    <x v="287"/>
    <x v="0"/>
    <x v="8"/>
    <x v="1"/>
    <n v="5"/>
    <n v="1500.4"/>
    <x v="2"/>
    <x v="240"/>
    <x v="6"/>
    <x v="5"/>
    <x v="1"/>
    <x v="8"/>
    <x v="1"/>
  </r>
  <r>
    <x v="288"/>
    <x v="288"/>
    <x v="0"/>
    <x v="10"/>
    <x v="7"/>
    <n v="4"/>
    <n v="60.6"/>
    <x v="0"/>
    <x v="241"/>
    <x v="0"/>
    <x v="21"/>
    <x v="1"/>
    <x v="10"/>
    <x v="0"/>
  </r>
  <r>
    <x v="289"/>
    <x v="289"/>
    <x v="0"/>
    <x v="12"/>
    <x v="2"/>
    <n v="2"/>
    <n v="10.46"/>
    <x v="0"/>
    <x v="3"/>
    <x v="4"/>
    <x v="13"/>
    <x v="1"/>
    <x v="2"/>
    <x v="2"/>
  </r>
  <r>
    <x v="290"/>
    <x v="290"/>
    <x v="1"/>
    <x v="15"/>
    <x v="4"/>
    <n v="3"/>
    <n v="1800.51"/>
    <x v="0"/>
    <x v="242"/>
    <x v="0"/>
    <x v="37"/>
    <x v="1"/>
    <x v="3"/>
    <x v="1"/>
  </r>
  <r>
    <x v="291"/>
    <x v="291"/>
    <x v="1"/>
    <x v="15"/>
    <x v="4"/>
    <n v="2"/>
    <n v="1200.3399999999999"/>
    <x v="0"/>
    <x v="243"/>
    <x v="9"/>
    <x v="24"/>
    <x v="1"/>
    <x v="0"/>
    <x v="1"/>
  </r>
  <r>
    <x v="292"/>
    <x v="292"/>
    <x v="1"/>
    <x v="10"/>
    <x v="1"/>
    <n v="1"/>
    <n v="300.08"/>
    <x v="1"/>
    <x v="174"/>
    <x v="5"/>
    <x v="1"/>
    <x v="1"/>
    <x v="4"/>
    <x v="0"/>
  </r>
  <r>
    <x v="293"/>
    <x v="293"/>
    <x v="0"/>
    <x v="11"/>
    <x v="1"/>
    <n v="1"/>
    <n v="300.08"/>
    <x v="0"/>
    <x v="212"/>
    <x v="4"/>
    <x v="1"/>
    <x v="1"/>
    <x v="6"/>
    <x v="1"/>
  </r>
  <r>
    <x v="294"/>
    <x v="294"/>
    <x v="0"/>
    <x v="9"/>
    <x v="4"/>
    <n v="1"/>
    <n v="600.16999999999996"/>
    <x v="0"/>
    <x v="244"/>
    <x v="1"/>
    <x v="38"/>
    <x v="1"/>
    <x v="0"/>
    <x v="0"/>
  </r>
  <r>
    <x v="295"/>
    <x v="295"/>
    <x v="0"/>
    <x v="9"/>
    <x v="5"/>
    <n v="3"/>
    <n v="107.52"/>
    <x v="1"/>
    <x v="245"/>
    <x v="1"/>
    <x v="23"/>
    <x v="1"/>
    <x v="9"/>
    <x v="0"/>
  </r>
  <r>
    <x v="296"/>
    <x v="296"/>
    <x v="0"/>
    <x v="14"/>
    <x v="1"/>
    <n v="2"/>
    <n v="600.16"/>
    <x v="1"/>
    <x v="129"/>
    <x v="0"/>
    <x v="9"/>
    <x v="1"/>
    <x v="11"/>
    <x v="0"/>
  </r>
  <r>
    <x v="297"/>
    <x v="297"/>
    <x v="1"/>
    <x v="11"/>
    <x v="4"/>
    <n v="5"/>
    <n v="3000.85"/>
    <x v="2"/>
    <x v="217"/>
    <x v="8"/>
    <x v="34"/>
    <x v="1"/>
    <x v="5"/>
    <x v="1"/>
  </r>
  <r>
    <x v="298"/>
    <x v="298"/>
    <x v="1"/>
    <x v="9"/>
    <x v="1"/>
    <n v="5"/>
    <n v="1500.4"/>
    <x v="2"/>
    <x v="246"/>
    <x v="3"/>
    <x v="5"/>
    <x v="1"/>
    <x v="9"/>
    <x v="0"/>
  </r>
  <r>
    <x v="299"/>
    <x v="299"/>
    <x v="0"/>
    <x v="7"/>
    <x v="5"/>
    <n v="4"/>
    <n v="143.36000000000001"/>
    <x v="1"/>
    <x v="247"/>
    <x v="0"/>
    <x v="7"/>
    <x v="1"/>
    <x v="7"/>
    <x v="0"/>
  </r>
  <r>
    <x v="300"/>
    <x v="300"/>
    <x v="0"/>
    <x v="16"/>
    <x v="5"/>
    <n v="4"/>
    <n v="143.36000000000001"/>
    <x v="0"/>
    <x v="248"/>
    <x v="6"/>
    <x v="7"/>
    <x v="1"/>
    <x v="9"/>
    <x v="0"/>
  </r>
  <r>
    <x v="301"/>
    <x v="301"/>
    <x v="0"/>
    <x v="15"/>
    <x v="2"/>
    <n v="4"/>
    <n v="20.92"/>
    <x v="2"/>
    <x v="249"/>
    <x v="5"/>
    <x v="33"/>
    <x v="1"/>
    <x v="8"/>
    <x v="0"/>
  </r>
  <r>
    <x v="302"/>
    <x v="302"/>
    <x v="0"/>
    <x v="9"/>
    <x v="3"/>
    <n v="5"/>
    <n v="203.3"/>
    <x v="1"/>
    <x v="250"/>
    <x v="1"/>
    <x v="12"/>
    <x v="1"/>
    <x v="2"/>
    <x v="2"/>
  </r>
  <r>
    <x v="303"/>
    <x v="303"/>
    <x v="1"/>
    <x v="15"/>
    <x v="4"/>
    <n v="5"/>
    <n v="3000.85"/>
    <x v="2"/>
    <x v="0"/>
    <x v="0"/>
    <x v="34"/>
    <x v="1"/>
    <x v="0"/>
    <x v="0"/>
  </r>
  <r>
    <x v="304"/>
    <x v="304"/>
    <x v="0"/>
    <x v="14"/>
    <x v="1"/>
    <n v="5"/>
    <n v="1500.4"/>
    <x v="1"/>
    <x v="55"/>
    <x v="1"/>
    <x v="5"/>
    <x v="1"/>
    <x v="0"/>
    <x v="0"/>
  </r>
  <r>
    <x v="305"/>
    <x v="305"/>
    <x v="1"/>
    <x v="11"/>
    <x v="3"/>
    <n v="2"/>
    <n v="81.319999999999993"/>
    <x v="0"/>
    <x v="199"/>
    <x v="7"/>
    <x v="26"/>
    <x v="1"/>
    <x v="4"/>
    <x v="1"/>
  </r>
  <r>
    <x v="306"/>
    <x v="306"/>
    <x v="0"/>
    <x v="13"/>
    <x v="1"/>
    <n v="1"/>
    <n v="300.08"/>
    <x v="0"/>
    <x v="251"/>
    <x v="1"/>
    <x v="1"/>
    <x v="1"/>
    <x v="1"/>
    <x v="0"/>
  </r>
  <r>
    <x v="307"/>
    <x v="307"/>
    <x v="1"/>
    <x v="8"/>
    <x v="2"/>
    <n v="4"/>
    <n v="20.92"/>
    <x v="0"/>
    <x v="252"/>
    <x v="0"/>
    <x v="33"/>
    <x v="1"/>
    <x v="10"/>
    <x v="1"/>
  </r>
  <r>
    <x v="308"/>
    <x v="308"/>
    <x v="0"/>
    <x v="13"/>
    <x v="0"/>
    <n v="3"/>
    <n v="3150"/>
    <x v="1"/>
    <x v="93"/>
    <x v="0"/>
    <x v="39"/>
    <x v="1"/>
    <x v="2"/>
    <x v="1"/>
  </r>
  <r>
    <x v="309"/>
    <x v="309"/>
    <x v="0"/>
    <x v="8"/>
    <x v="6"/>
    <n v="4"/>
    <n v="46.92"/>
    <x v="1"/>
    <x v="253"/>
    <x v="6"/>
    <x v="28"/>
    <x v="1"/>
    <x v="6"/>
    <x v="0"/>
  </r>
  <r>
    <x v="310"/>
    <x v="310"/>
    <x v="0"/>
    <x v="14"/>
    <x v="7"/>
    <n v="3"/>
    <n v="45.45"/>
    <x v="1"/>
    <x v="254"/>
    <x v="1"/>
    <x v="25"/>
    <x v="1"/>
    <x v="6"/>
    <x v="1"/>
  </r>
  <r>
    <x v="311"/>
    <x v="311"/>
    <x v="1"/>
    <x v="13"/>
    <x v="5"/>
    <n v="3"/>
    <n v="107.52"/>
    <x v="1"/>
    <x v="255"/>
    <x v="1"/>
    <x v="23"/>
    <x v="1"/>
    <x v="7"/>
    <x v="1"/>
  </r>
  <r>
    <x v="312"/>
    <x v="312"/>
    <x v="1"/>
    <x v="11"/>
    <x v="2"/>
    <n v="1"/>
    <n v="5.23"/>
    <x v="0"/>
    <x v="256"/>
    <x v="6"/>
    <x v="10"/>
    <x v="1"/>
    <x v="10"/>
    <x v="0"/>
  </r>
  <r>
    <x v="313"/>
    <x v="313"/>
    <x v="0"/>
    <x v="9"/>
    <x v="7"/>
    <n v="4"/>
    <n v="60.6"/>
    <x v="0"/>
    <x v="179"/>
    <x v="0"/>
    <x v="21"/>
    <x v="1"/>
    <x v="1"/>
    <x v="1"/>
  </r>
  <r>
    <x v="314"/>
    <x v="314"/>
    <x v="0"/>
    <x v="11"/>
    <x v="2"/>
    <n v="1"/>
    <n v="5.23"/>
    <x v="1"/>
    <x v="257"/>
    <x v="2"/>
    <x v="10"/>
    <x v="1"/>
    <x v="2"/>
    <x v="1"/>
  </r>
  <r>
    <x v="315"/>
    <x v="315"/>
    <x v="1"/>
    <x v="13"/>
    <x v="2"/>
    <n v="4"/>
    <n v="20.92"/>
    <x v="1"/>
    <x v="0"/>
    <x v="0"/>
    <x v="33"/>
    <x v="1"/>
    <x v="0"/>
    <x v="0"/>
  </r>
  <r>
    <x v="316"/>
    <x v="316"/>
    <x v="1"/>
    <x v="10"/>
    <x v="7"/>
    <n v="2"/>
    <n v="30.3"/>
    <x v="1"/>
    <x v="181"/>
    <x v="0"/>
    <x v="20"/>
    <x v="1"/>
    <x v="11"/>
    <x v="1"/>
  </r>
  <r>
    <x v="317"/>
    <x v="317"/>
    <x v="1"/>
    <x v="15"/>
    <x v="2"/>
    <n v="5"/>
    <n v="26.15"/>
    <x v="0"/>
    <x v="258"/>
    <x v="0"/>
    <x v="22"/>
    <x v="1"/>
    <x v="4"/>
    <x v="0"/>
  </r>
  <r>
    <x v="318"/>
    <x v="318"/>
    <x v="0"/>
    <x v="11"/>
    <x v="7"/>
    <n v="3"/>
    <n v="45.45"/>
    <x v="1"/>
    <x v="259"/>
    <x v="1"/>
    <x v="25"/>
    <x v="1"/>
    <x v="6"/>
    <x v="0"/>
  </r>
  <r>
    <x v="319"/>
    <x v="319"/>
    <x v="0"/>
    <x v="9"/>
    <x v="1"/>
    <n v="2"/>
    <n v="600.16"/>
    <x v="1"/>
    <x v="260"/>
    <x v="4"/>
    <x v="9"/>
    <x v="1"/>
    <x v="7"/>
    <x v="0"/>
  </r>
  <r>
    <x v="320"/>
    <x v="320"/>
    <x v="0"/>
    <x v="17"/>
    <x v="1"/>
    <n v="2"/>
    <n v="600.16"/>
    <x v="2"/>
    <x v="29"/>
    <x v="0"/>
    <x v="9"/>
    <x v="2"/>
    <x v="11"/>
    <x v="1"/>
  </r>
  <r>
    <x v="321"/>
    <x v="321"/>
    <x v="1"/>
    <x v="18"/>
    <x v="4"/>
    <n v="1"/>
    <n v="600.16999999999996"/>
    <x v="2"/>
    <x v="38"/>
    <x v="0"/>
    <x v="38"/>
    <x v="2"/>
    <x v="4"/>
    <x v="1"/>
  </r>
  <r>
    <x v="322"/>
    <x v="322"/>
    <x v="0"/>
    <x v="19"/>
    <x v="6"/>
    <n v="2"/>
    <n v="23.46"/>
    <x v="0"/>
    <x v="125"/>
    <x v="5"/>
    <x v="36"/>
    <x v="2"/>
    <x v="4"/>
    <x v="1"/>
  </r>
  <r>
    <x v="323"/>
    <x v="323"/>
    <x v="1"/>
    <x v="18"/>
    <x v="2"/>
    <n v="4"/>
    <n v="20.92"/>
    <x v="2"/>
    <x v="261"/>
    <x v="4"/>
    <x v="33"/>
    <x v="2"/>
    <x v="5"/>
    <x v="0"/>
  </r>
  <r>
    <x v="324"/>
    <x v="324"/>
    <x v="1"/>
    <x v="20"/>
    <x v="2"/>
    <n v="2"/>
    <n v="10.46"/>
    <x v="1"/>
    <x v="262"/>
    <x v="6"/>
    <x v="13"/>
    <x v="2"/>
    <x v="8"/>
    <x v="1"/>
  </r>
  <r>
    <x v="325"/>
    <x v="325"/>
    <x v="1"/>
    <x v="21"/>
    <x v="1"/>
    <n v="2"/>
    <n v="600.16"/>
    <x v="2"/>
    <x v="263"/>
    <x v="5"/>
    <x v="9"/>
    <x v="2"/>
    <x v="9"/>
    <x v="1"/>
  </r>
  <r>
    <x v="326"/>
    <x v="326"/>
    <x v="1"/>
    <x v="17"/>
    <x v="4"/>
    <n v="5"/>
    <n v="3000.85"/>
    <x v="0"/>
    <x v="19"/>
    <x v="0"/>
    <x v="34"/>
    <x v="2"/>
    <x v="0"/>
    <x v="1"/>
  </r>
  <r>
    <x v="327"/>
    <x v="327"/>
    <x v="1"/>
    <x v="22"/>
    <x v="1"/>
    <n v="4"/>
    <n v="1200.32"/>
    <x v="2"/>
    <x v="264"/>
    <x v="6"/>
    <x v="8"/>
    <x v="2"/>
    <x v="7"/>
    <x v="1"/>
  </r>
  <r>
    <x v="328"/>
    <x v="328"/>
    <x v="0"/>
    <x v="23"/>
    <x v="4"/>
    <n v="5"/>
    <n v="3000.85"/>
    <x v="1"/>
    <x v="184"/>
    <x v="0"/>
    <x v="34"/>
    <x v="2"/>
    <x v="10"/>
    <x v="1"/>
  </r>
  <r>
    <x v="329"/>
    <x v="329"/>
    <x v="1"/>
    <x v="23"/>
    <x v="4"/>
    <n v="4"/>
    <n v="2400.6799999999998"/>
    <x v="0"/>
    <x v="265"/>
    <x v="9"/>
    <x v="6"/>
    <x v="2"/>
    <x v="9"/>
    <x v="1"/>
  </r>
  <r>
    <x v="330"/>
    <x v="330"/>
    <x v="0"/>
    <x v="20"/>
    <x v="1"/>
    <n v="1"/>
    <n v="300.08"/>
    <x v="0"/>
    <x v="266"/>
    <x v="0"/>
    <x v="1"/>
    <x v="2"/>
    <x v="4"/>
    <x v="1"/>
  </r>
  <r>
    <x v="331"/>
    <x v="331"/>
    <x v="0"/>
    <x v="24"/>
    <x v="2"/>
    <n v="1"/>
    <n v="5.23"/>
    <x v="1"/>
    <x v="7"/>
    <x v="1"/>
    <x v="10"/>
    <x v="2"/>
    <x v="3"/>
    <x v="1"/>
  </r>
  <r>
    <x v="332"/>
    <x v="332"/>
    <x v="0"/>
    <x v="25"/>
    <x v="1"/>
    <n v="3"/>
    <n v="900.24"/>
    <x v="0"/>
    <x v="267"/>
    <x v="3"/>
    <x v="4"/>
    <x v="2"/>
    <x v="11"/>
    <x v="0"/>
  </r>
  <r>
    <x v="333"/>
    <x v="333"/>
    <x v="1"/>
    <x v="22"/>
    <x v="2"/>
    <n v="1"/>
    <n v="5.23"/>
    <x v="0"/>
    <x v="119"/>
    <x v="4"/>
    <x v="10"/>
    <x v="2"/>
    <x v="6"/>
    <x v="0"/>
  </r>
  <r>
    <x v="334"/>
    <x v="334"/>
    <x v="1"/>
    <x v="19"/>
    <x v="3"/>
    <n v="3"/>
    <n v="121.98"/>
    <x v="1"/>
    <x v="259"/>
    <x v="3"/>
    <x v="3"/>
    <x v="2"/>
    <x v="6"/>
    <x v="0"/>
  </r>
  <r>
    <x v="335"/>
    <x v="335"/>
    <x v="1"/>
    <x v="25"/>
    <x v="1"/>
    <n v="2"/>
    <n v="600.16"/>
    <x v="0"/>
    <x v="268"/>
    <x v="0"/>
    <x v="9"/>
    <x v="2"/>
    <x v="10"/>
    <x v="2"/>
  </r>
  <r>
    <x v="336"/>
    <x v="336"/>
    <x v="0"/>
    <x v="25"/>
    <x v="1"/>
    <n v="1"/>
    <n v="300.08"/>
    <x v="0"/>
    <x v="269"/>
    <x v="4"/>
    <x v="1"/>
    <x v="2"/>
    <x v="2"/>
    <x v="2"/>
  </r>
  <r>
    <x v="337"/>
    <x v="337"/>
    <x v="1"/>
    <x v="26"/>
    <x v="1"/>
    <n v="5"/>
    <n v="1500.4"/>
    <x v="1"/>
    <x v="270"/>
    <x v="4"/>
    <x v="5"/>
    <x v="2"/>
    <x v="4"/>
    <x v="0"/>
  </r>
  <r>
    <x v="338"/>
    <x v="338"/>
    <x v="0"/>
    <x v="20"/>
    <x v="6"/>
    <n v="4"/>
    <n v="46.92"/>
    <x v="0"/>
    <x v="271"/>
    <x v="6"/>
    <x v="28"/>
    <x v="2"/>
    <x v="0"/>
    <x v="0"/>
  </r>
  <r>
    <x v="339"/>
    <x v="339"/>
    <x v="0"/>
    <x v="24"/>
    <x v="3"/>
    <n v="2"/>
    <n v="81.319999999999993"/>
    <x v="1"/>
    <x v="272"/>
    <x v="0"/>
    <x v="26"/>
    <x v="2"/>
    <x v="11"/>
    <x v="2"/>
  </r>
  <r>
    <x v="340"/>
    <x v="340"/>
    <x v="1"/>
    <x v="22"/>
    <x v="5"/>
    <n v="4"/>
    <n v="143.36000000000001"/>
    <x v="2"/>
    <x v="273"/>
    <x v="1"/>
    <x v="7"/>
    <x v="2"/>
    <x v="10"/>
    <x v="1"/>
  </r>
  <r>
    <x v="341"/>
    <x v="341"/>
    <x v="1"/>
    <x v="18"/>
    <x v="5"/>
    <n v="1"/>
    <n v="35.840000000000003"/>
    <x v="2"/>
    <x v="104"/>
    <x v="4"/>
    <x v="18"/>
    <x v="2"/>
    <x v="1"/>
    <x v="1"/>
  </r>
  <r>
    <x v="342"/>
    <x v="342"/>
    <x v="1"/>
    <x v="26"/>
    <x v="4"/>
    <n v="2"/>
    <n v="1200.3399999999999"/>
    <x v="0"/>
    <x v="274"/>
    <x v="5"/>
    <x v="24"/>
    <x v="2"/>
    <x v="4"/>
    <x v="0"/>
  </r>
  <r>
    <x v="343"/>
    <x v="343"/>
    <x v="0"/>
    <x v="18"/>
    <x v="2"/>
    <n v="1"/>
    <n v="5.23"/>
    <x v="0"/>
    <x v="196"/>
    <x v="6"/>
    <x v="10"/>
    <x v="2"/>
    <x v="7"/>
    <x v="0"/>
  </r>
  <r>
    <x v="344"/>
    <x v="344"/>
    <x v="0"/>
    <x v="20"/>
    <x v="1"/>
    <n v="2"/>
    <n v="600.16"/>
    <x v="0"/>
    <x v="78"/>
    <x v="7"/>
    <x v="9"/>
    <x v="2"/>
    <x v="4"/>
    <x v="0"/>
  </r>
  <r>
    <x v="345"/>
    <x v="345"/>
    <x v="0"/>
    <x v="22"/>
    <x v="5"/>
    <n v="3"/>
    <n v="107.52"/>
    <x v="0"/>
    <x v="275"/>
    <x v="4"/>
    <x v="23"/>
    <x v="2"/>
    <x v="7"/>
    <x v="1"/>
  </r>
  <r>
    <x v="346"/>
    <x v="346"/>
    <x v="0"/>
    <x v="17"/>
    <x v="2"/>
    <n v="2"/>
    <n v="10.46"/>
    <x v="1"/>
    <x v="133"/>
    <x v="1"/>
    <x v="13"/>
    <x v="2"/>
    <x v="8"/>
    <x v="0"/>
  </r>
  <r>
    <x v="347"/>
    <x v="347"/>
    <x v="0"/>
    <x v="23"/>
    <x v="3"/>
    <n v="3"/>
    <n v="121.98"/>
    <x v="0"/>
    <x v="276"/>
    <x v="3"/>
    <x v="3"/>
    <x v="2"/>
    <x v="8"/>
    <x v="0"/>
  </r>
  <r>
    <x v="348"/>
    <x v="348"/>
    <x v="0"/>
    <x v="26"/>
    <x v="5"/>
    <n v="3"/>
    <n v="107.52"/>
    <x v="2"/>
    <x v="277"/>
    <x v="3"/>
    <x v="23"/>
    <x v="2"/>
    <x v="10"/>
    <x v="2"/>
  </r>
  <r>
    <x v="349"/>
    <x v="349"/>
    <x v="0"/>
    <x v="22"/>
    <x v="1"/>
    <n v="3"/>
    <n v="900.24"/>
    <x v="2"/>
    <x v="278"/>
    <x v="1"/>
    <x v="4"/>
    <x v="2"/>
    <x v="8"/>
    <x v="1"/>
  </r>
  <r>
    <x v="350"/>
    <x v="350"/>
    <x v="1"/>
    <x v="19"/>
    <x v="1"/>
    <n v="2"/>
    <n v="600.16"/>
    <x v="2"/>
    <x v="279"/>
    <x v="0"/>
    <x v="9"/>
    <x v="2"/>
    <x v="0"/>
    <x v="1"/>
  </r>
  <r>
    <x v="351"/>
    <x v="351"/>
    <x v="1"/>
    <x v="23"/>
    <x v="3"/>
    <n v="1"/>
    <n v="40.659999999999997"/>
    <x v="0"/>
    <x v="280"/>
    <x v="0"/>
    <x v="29"/>
    <x v="2"/>
    <x v="8"/>
    <x v="1"/>
  </r>
  <r>
    <x v="352"/>
    <x v="352"/>
    <x v="1"/>
    <x v="20"/>
    <x v="2"/>
    <n v="3"/>
    <n v="15.69"/>
    <x v="2"/>
    <x v="281"/>
    <x v="4"/>
    <x v="2"/>
    <x v="2"/>
    <x v="5"/>
    <x v="0"/>
  </r>
  <r>
    <x v="353"/>
    <x v="353"/>
    <x v="1"/>
    <x v="17"/>
    <x v="3"/>
    <n v="3"/>
    <n v="121.98"/>
    <x v="2"/>
    <x v="282"/>
    <x v="0"/>
    <x v="3"/>
    <x v="2"/>
    <x v="7"/>
    <x v="0"/>
  </r>
  <r>
    <x v="354"/>
    <x v="354"/>
    <x v="0"/>
    <x v="17"/>
    <x v="1"/>
    <n v="2"/>
    <n v="600.16"/>
    <x v="1"/>
    <x v="283"/>
    <x v="1"/>
    <x v="9"/>
    <x v="2"/>
    <x v="1"/>
    <x v="0"/>
  </r>
  <r>
    <x v="355"/>
    <x v="355"/>
    <x v="0"/>
    <x v="21"/>
    <x v="6"/>
    <n v="5"/>
    <n v="58.65"/>
    <x v="0"/>
    <x v="284"/>
    <x v="5"/>
    <x v="32"/>
    <x v="2"/>
    <x v="9"/>
    <x v="0"/>
  </r>
  <r>
    <x v="356"/>
    <x v="356"/>
    <x v="0"/>
    <x v="19"/>
    <x v="1"/>
    <n v="3"/>
    <n v="900.24"/>
    <x v="0"/>
    <x v="165"/>
    <x v="4"/>
    <x v="4"/>
    <x v="2"/>
    <x v="8"/>
    <x v="0"/>
  </r>
  <r>
    <x v="357"/>
    <x v="357"/>
    <x v="1"/>
    <x v="25"/>
    <x v="1"/>
    <n v="5"/>
    <n v="1500.4"/>
    <x v="0"/>
    <x v="43"/>
    <x v="6"/>
    <x v="5"/>
    <x v="2"/>
    <x v="8"/>
    <x v="0"/>
  </r>
  <r>
    <x v="358"/>
    <x v="358"/>
    <x v="0"/>
    <x v="20"/>
    <x v="2"/>
    <n v="3"/>
    <n v="15.69"/>
    <x v="1"/>
    <x v="113"/>
    <x v="4"/>
    <x v="2"/>
    <x v="2"/>
    <x v="8"/>
    <x v="0"/>
  </r>
  <r>
    <x v="359"/>
    <x v="359"/>
    <x v="0"/>
    <x v="24"/>
    <x v="3"/>
    <n v="5"/>
    <n v="203.3"/>
    <x v="0"/>
    <x v="285"/>
    <x v="5"/>
    <x v="12"/>
    <x v="2"/>
    <x v="3"/>
    <x v="1"/>
  </r>
  <r>
    <x v="360"/>
    <x v="360"/>
    <x v="0"/>
    <x v="24"/>
    <x v="3"/>
    <n v="2"/>
    <n v="81.319999999999993"/>
    <x v="1"/>
    <x v="286"/>
    <x v="6"/>
    <x v="26"/>
    <x v="2"/>
    <x v="8"/>
    <x v="1"/>
  </r>
  <r>
    <x v="361"/>
    <x v="361"/>
    <x v="0"/>
    <x v="24"/>
    <x v="2"/>
    <n v="5"/>
    <n v="26.15"/>
    <x v="0"/>
    <x v="287"/>
    <x v="0"/>
    <x v="22"/>
    <x v="2"/>
    <x v="8"/>
    <x v="1"/>
  </r>
  <r>
    <x v="362"/>
    <x v="362"/>
    <x v="0"/>
    <x v="17"/>
    <x v="1"/>
    <n v="2"/>
    <n v="600.16"/>
    <x v="0"/>
    <x v="288"/>
    <x v="8"/>
    <x v="9"/>
    <x v="2"/>
    <x v="5"/>
    <x v="0"/>
  </r>
  <r>
    <x v="363"/>
    <x v="363"/>
    <x v="1"/>
    <x v="19"/>
    <x v="1"/>
    <n v="2"/>
    <n v="600.16"/>
    <x v="0"/>
    <x v="289"/>
    <x v="1"/>
    <x v="9"/>
    <x v="2"/>
    <x v="3"/>
    <x v="1"/>
  </r>
  <r>
    <x v="364"/>
    <x v="364"/>
    <x v="1"/>
    <x v="19"/>
    <x v="7"/>
    <n v="1"/>
    <n v="15.15"/>
    <x v="1"/>
    <x v="171"/>
    <x v="0"/>
    <x v="27"/>
    <x v="2"/>
    <x v="11"/>
    <x v="1"/>
  </r>
  <r>
    <x v="365"/>
    <x v="365"/>
    <x v="1"/>
    <x v="20"/>
    <x v="1"/>
    <n v="2"/>
    <n v="600.16"/>
    <x v="0"/>
    <x v="97"/>
    <x v="1"/>
    <x v="9"/>
    <x v="2"/>
    <x v="7"/>
    <x v="0"/>
  </r>
  <r>
    <x v="366"/>
    <x v="366"/>
    <x v="0"/>
    <x v="26"/>
    <x v="1"/>
    <n v="3"/>
    <n v="900.24"/>
    <x v="2"/>
    <x v="290"/>
    <x v="0"/>
    <x v="4"/>
    <x v="2"/>
    <x v="7"/>
    <x v="1"/>
  </r>
  <r>
    <x v="367"/>
    <x v="367"/>
    <x v="0"/>
    <x v="21"/>
    <x v="5"/>
    <n v="1"/>
    <n v="35.840000000000003"/>
    <x v="2"/>
    <x v="291"/>
    <x v="0"/>
    <x v="18"/>
    <x v="2"/>
    <x v="10"/>
    <x v="1"/>
  </r>
  <r>
    <x v="368"/>
    <x v="368"/>
    <x v="0"/>
    <x v="25"/>
    <x v="7"/>
    <n v="1"/>
    <n v="15.15"/>
    <x v="0"/>
    <x v="224"/>
    <x v="4"/>
    <x v="27"/>
    <x v="2"/>
    <x v="10"/>
    <x v="0"/>
  </r>
  <r>
    <x v="369"/>
    <x v="369"/>
    <x v="0"/>
    <x v="19"/>
    <x v="6"/>
    <n v="4"/>
    <n v="46.92"/>
    <x v="2"/>
    <x v="292"/>
    <x v="6"/>
    <x v="28"/>
    <x v="2"/>
    <x v="10"/>
    <x v="0"/>
  </r>
  <r>
    <x v="370"/>
    <x v="370"/>
    <x v="1"/>
    <x v="24"/>
    <x v="3"/>
    <n v="5"/>
    <n v="203.3"/>
    <x v="2"/>
    <x v="293"/>
    <x v="5"/>
    <x v="12"/>
    <x v="2"/>
    <x v="2"/>
    <x v="1"/>
  </r>
  <r>
    <x v="371"/>
    <x v="371"/>
    <x v="0"/>
    <x v="17"/>
    <x v="3"/>
    <n v="4"/>
    <n v="162.63999999999999"/>
    <x v="0"/>
    <x v="95"/>
    <x v="5"/>
    <x v="15"/>
    <x v="2"/>
    <x v="3"/>
    <x v="0"/>
  </r>
  <r>
    <x v="372"/>
    <x v="372"/>
    <x v="0"/>
    <x v="21"/>
    <x v="5"/>
    <n v="3"/>
    <n v="107.52"/>
    <x v="1"/>
    <x v="294"/>
    <x v="4"/>
    <x v="23"/>
    <x v="2"/>
    <x v="6"/>
    <x v="1"/>
  </r>
  <r>
    <x v="373"/>
    <x v="373"/>
    <x v="0"/>
    <x v="18"/>
    <x v="3"/>
    <n v="4"/>
    <n v="162.63999999999999"/>
    <x v="0"/>
    <x v="295"/>
    <x v="6"/>
    <x v="15"/>
    <x v="2"/>
    <x v="6"/>
    <x v="1"/>
  </r>
  <r>
    <x v="374"/>
    <x v="374"/>
    <x v="0"/>
    <x v="21"/>
    <x v="7"/>
    <n v="5"/>
    <n v="75.75"/>
    <x v="0"/>
    <x v="277"/>
    <x v="0"/>
    <x v="30"/>
    <x v="2"/>
    <x v="10"/>
    <x v="2"/>
  </r>
  <r>
    <x v="375"/>
    <x v="375"/>
    <x v="0"/>
    <x v="21"/>
    <x v="7"/>
    <n v="3"/>
    <n v="45.45"/>
    <x v="1"/>
    <x v="296"/>
    <x v="0"/>
    <x v="25"/>
    <x v="2"/>
    <x v="7"/>
    <x v="0"/>
  </r>
  <r>
    <x v="376"/>
    <x v="376"/>
    <x v="0"/>
    <x v="23"/>
    <x v="1"/>
    <n v="5"/>
    <n v="1500.4"/>
    <x v="2"/>
    <x v="260"/>
    <x v="8"/>
    <x v="5"/>
    <x v="2"/>
    <x v="7"/>
    <x v="0"/>
  </r>
  <r>
    <x v="377"/>
    <x v="377"/>
    <x v="1"/>
    <x v="19"/>
    <x v="2"/>
    <n v="3"/>
    <n v="15.69"/>
    <x v="0"/>
    <x v="297"/>
    <x v="6"/>
    <x v="2"/>
    <x v="2"/>
    <x v="1"/>
    <x v="0"/>
  </r>
  <r>
    <x v="378"/>
    <x v="378"/>
    <x v="1"/>
    <x v="17"/>
    <x v="2"/>
    <n v="2"/>
    <n v="10.46"/>
    <x v="0"/>
    <x v="94"/>
    <x v="2"/>
    <x v="13"/>
    <x v="2"/>
    <x v="2"/>
    <x v="2"/>
  </r>
  <r>
    <x v="379"/>
    <x v="379"/>
    <x v="0"/>
    <x v="19"/>
    <x v="3"/>
    <n v="3"/>
    <n v="121.98"/>
    <x v="0"/>
    <x v="298"/>
    <x v="3"/>
    <x v="3"/>
    <x v="2"/>
    <x v="10"/>
    <x v="0"/>
  </r>
  <r>
    <x v="380"/>
    <x v="380"/>
    <x v="0"/>
    <x v="18"/>
    <x v="4"/>
    <n v="3"/>
    <n v="1800.51"/>
    <x v="0"/>
    <x v="299"/>
    <x v="6"/>
    <x v="37"/>
    <x v="2"/>
    <x v="2"/>
    <x v="1"/>
  </r>
  <r>
    <x v="381"/>
    <x v="381"/>
    <x v="0"/>
    <x v="22"/>
    <x v="6"/>
    <n v="1"/>
    <n v="11.73"/>
    <x v="0"/>
    <x v="300"/>
    <x v="1"/>
    <x v="31"/>
    <x v="2"/>
    <x v="10"/>
    <x v="2"/>
  </r>
  <r>
    <x v="382"/>
    <x v="382"/>
    <x v="1"/>
    <x v="21"/>
    <x v="7"/>
    <n v="5"/>
    <n v="75.75"/>
    <x v="0"/>
    <x v="280"/>
    <x v="0"/>
    <x v="30"/>
    <x v="2"/>
    <x v="8"/>
    <x v="1"/>
  </r>
  <r>
    <x v="383"/>
    <x v="383"/>
    <x v="0"/>
    <x v="24"/>
    <x v="3"/>
    <n v="5"/>
    <n v="203.3"/>
    <x v="0"/>
    <x v="160"/>
    <x v="1"/>
    <x v="12"/>
    <x v="2"/>
    <x v="4"/>
    <x v="1"/>
  </r>
  <r>
    <x v="384"/>
    <x v="384"/>
    <x v="0"/>
    <x v="24"/>
    <x v="1"/>
    <n v="1"/>
    <n v="300.08"/>
    <x v="2"/>
    <x v="301"/>
    <x v="4"/>
    <x v="1"/>
    <x v="2"/>
    <x v="1"/>
    <x v="0"/>
  </r>
  <r>
    <x v="385"/>
    <x v="385"/>
    <x v="0"/>
    <x v="24"/>
    <x v="4"/>
    <n v="4"/>
    <n v="2400.6799999999998"/>
    <x v="0"/>
    <x v="302"/>
    <x v="8"/>
    <x v="6"/>
    <x v="2"/>
    <x v="7"/>
    <x v="0"/>
  </r>
  <r>
    <x v="386"/>
    <x v="386"/>
    <x v="0"/>
    <x v="24"/>
    <x v="2"/>
    <n v="1"/>
    <n v="5.23"/>
    <x v="1"/>
    <x v="303"/>
    <x v="3"/>
    <x v="10"/>
    <x v="2"/>
    <x v="5"/>
    <x v="0"/>
  </r>
  <r>
    <x v="387"/>
    <x v="387"/>
    <x v="1"/>
    <x v="23"/>
    <x v="1"/>
    <n v="2"/>
    <n v="600.16"/>
    <x v="0"/>
    <x v="304"/>
    <x v="0"/>
    <x v="9"/>
    <x v="2"/>
    <x v="6"/>
    <x v="0"/>
  </r>
  <r>
    <x v="388"/>
    <x v="388"/>
    <x v="0"/>
    <x v="17"/>
    <x v="1"/>
    <n v="1"/>
    <n v="300.08"/>
    <x v="2"/>
    <x v="123"/>
    <x v="0"/>
    <x v="1"/>
    <x v="2"/>
    <x v="1"/>
    <x v="1"/>
  </r>
  <r>
    <x v="389"/>
    <x v="389"/>
    <x v="0"/>
    <x v="17"/>
    <x v="7"/>
    <n v="1"/>
    <n v="15.15"/>
    <x v="2"/>
    <x v="179"/>
    <x v="5"/>
    <x v="27"/>
    <x v="2"/>
    <x v="1"/>
    <x v="1"/>
  </r>
  <r>
    <x v="390"/>
    <x v="390"/>
    <x v="1"/>
    <x v="22"/>
    <x v="1"/>
    <n v="2"/>
    <n v="600.16"/>
    <x v="0"/>
    <x v="305"/>
    <x v="3"/>
    <x v="9"/>
    <x v="2"/>
    <x v="8"/>
    <x v="0"/>
  </r>
  <r>
    <x v="391"/>
    <x v="391"/>
    <x v="0"/>
    <x v="26"/>
    <x v="4"/>
    <n v="5"/>
    <n v="3000.85"/>
    <x v="0"/>
    <x v="306"/>
    <x v="0"/>
    <x v="34"/>
    <x v="2"/>
    <x v="3"/>
    <x v="0"/>
  </r>
  <r>
    <x v="392"/>
    <x v="392"/>
    <x v="0"/>
    <x v="25"/>
    <x v="0"/>
    <n v="2"/>
    <n v="2100"/>
    <x v="2"/>
    <x v="307"/>
    <x v="5"/>
    <x v="19"/>
    <x v="2"/>
    <x v="3"/>
    <x v="1"/>
  </r>
  <r>
    <x v="393"/>
    <x v="393"/>
    <x v="0"/>
    <x v="19"/>
    <x v="1"/>
    <n v="5"/>
    <n v="1500.4"/>
    <x v="0"/>
    <x v="308"/>
    <x v="0"/>
    <x v="5"/>
    <x v="2"/>
    <x v="7"/>
    <x v="1"/>
  </r>
  <r>
    <x v="394"/>
    <x v="394"/>
    <x v="1"/>
    <x v="18"/>
    <x v="1"/>
    <n v="5"/>
    <n v="1500.4"/>
    <x v="1"/>
    <x v="166"/>
    <x v="0"/>
    <x v="5"/>
    <x v="2"/>
    <x v="0"/>
    <x v="1"/>
  </r>
  <r>
    <x v="395"/>
    <x v="395"/>
    <x v="0"/>
    <x v="23"/>
    <x v="1"/>
    <n v="4"/>
    <n v="1200.32"/>
    <x v="0"/>
    <x v="309"/>
    <x v="0"/>
    <x v="8"/>
    <x v="2"/>
    <x v="3"/>
    <x v="1"/>
  </r>
  <r>
    <x v="396"/>
    <x v="396"/>
    <x v="0"/>
    <x v="18"/>
    <x v="2"/>
    <n v="5"/>
    <n v="26.15"/>
    <x v="1"/>
    <x v="227"/>
    <x v="3"/>
    <x v="22"/>
    <x v="2"/>
    <x v="2"/>
    <x v="0"/>
  </r>
  <r>
    <x v="397"/>
    <x v="397"/>
    <x v="0"/>
    <x v="24"/>
    <x v="3"/>
    <n v="1"/>
    <n v="40.659999999999997"/>
    <x v="2"/>
    <x v="310"/>
    <x v="6"/>
    <x v="29"/>
    <x v="2"/>
    <x v="11"/>
    <x v="0"/>
  </r>
  <r>
    <x v="398"/>
    <x v="398"/>
    <x v="0"/>
    <x v="25"/>
    <x v="7"/>
    <n v="4"/>
    <n v="60.6"/>
    <x v="0"/>
    <x v="311"/>
    <x v="0"/>
    <x v="21"/>
    <x v="2"/>
    <x v="7"/>
    <x v="0"/>
  </r>
  <r>
    <x v="399"/>
    <x v="399"/>
    <x v="0"/>
    <x v="26"/>
    <x v="1"/>
    <n v="2"/>
    <n v="600.16"/>
    <x v="1"/>
    <x v="312"/>
    <x v="8"/>
    <x v="9"/>
    <x v="2"/>
    <x v="11"/>
    <x v="1"/>
  </r>
  <r>
    <x v="400"/>
    <x v="400"/>
    <x v="1"/>
    <x v="17"/>
    <x v="1"/>
    <n v="3"/>
    <n v="900.24"/>
    <x v="1"/>
    <x v="184"/>
    <x v="0"/>
    <x v="4"/>
    <x v="2"/>
    <x v="10"/>
    <x v="1"/>
  </r>
  <r>
    <x v="401"/>
    <x v="401"/>
    <x v="0"/>
    <x v="18"/>
    <x v="1"/>
    <n v="2"/>
    <n v="600.16"/>
    <x v="1"/>
    <x v="129"/>
    <x v="0"/>
    <x v="9"/>
    <x v="2"/>
    <x v="11"/>
    <x v="0"/>
  </r>
  <r>
    <x v="402"/>
    <x v="402"/>
    <x v="1"/>
    <x v="20"/>
    <x v="2"/>
    <n v="1"/>
    <n v="5.23"/>
    <x v="0"/>
    <x v="306"/>
    <x v="4"/>
    <x v="10"/>
    <x v="2"/>
    <x v="3"/>
    <x v="0"/>
  </r>
  <r>
    <x v="403"/>
    <x v="403"/>
    <x v="0"/>
    <x v="24"/>
    <x v="3"/>
    <n v="2"/>
    <n v="81.319999999999993"/>
    <x v="2"/>
    <x v="313"/>
    <x v="3"/>
    <x v="26"/>
    <x v="2"/>
    <x v="2"/>
    <x v="2"/>
  </r>
  <r>
    <x v="404"/>
    <x v="404"/>
    <x v="1"/>
    <x v="18"/>
    <x v="2"/>
    <n v="5"/>
    <n v="26.15"/>
    <x v="1"/>
    <x v="314"/>
    <x v="4"/>
    <x v="22"/>
    <x v="2"/>
    <x v="4"/>
    <x v="0"/>
  </r>
  <r>
    <x v="405"/>
    <x v="405"/>
    <x v="0"/>
    <x v="25"/>
    <x v="1"/>
    <n v="3"/>
    <n v="900.24"/>
    <x v="2"/>
    <x v="315"/>
    <x v="4"/>
    <x v="4"/>
    <x v="2"/>
    <x v="0"/>
    <x v="0"/>
  </r>
  <r>
    <x v="406"/>
    <x v="406"/>
    <x v="0"/>
    <x v="26"/>
    <x v="3"/>
    <n v="3"/>
    <n v="121.98"/>
    <x v="2"/>
    <x v="316"/>
    <x v="1"/>
    <x v="3"/>
    <x v="2"/>
    <x v="1"/>
    <x v="0"/>
  </r>
  <r>
    <x v="407"/>
    <x v="407"/>
    <x v="1"/>
    <x v="21"/>
    <x v="3"/>
    <n v="1"/>
    <n v="40.659999999999997"/>
    <x v="0"/>
    <x v="317"/>
    <x v="1"/>
    <x v="29"/>
    <x v="2"/>
    <x v="11"/>
    <x v="0"/>
  </r>
  <r>
    <x v="408"/>
    <x v="408"/>
    <x v="1"/>
    <x v="25"/>
    <x v="4"/>
    <n v="3"/>
    <n v="1800.51"/>
    <x v="0"/>
    <x v="318"/>
    <x v="6"/>
    <x v="37"/>
    <x v="2"/>
    <x v="4"/>
    <x v="1"/>
  </r>
  <r>
    <x v="409"/>
    <x v="409"/>
    <x v="0"/>
    <x v="18"/>
    <x v="4"/>
    <n v="5"/>
    <n v="3000.85"/>
    <x v="1"/>
    <x v="285"/>
    <x v="0"/>
    <x v="34"/>
    <x v="2"/>
    <x v="3"/>
    <x v="1"/>
  </r>
  <r>
    <x v="410"/>
    <x v="410"/>
    <x v="1"/>
    <x v="18"/>
    <x v="1"/>
    <n v="4"/>
    <n v="1200.32"/>
    <x v="0"/>
    <x v="319"/>
    <x v="3"/>
    <x v="8"/>
    <x v="2"/>
    <x v="0"/>
    <x v="1"/>
  </r>
  <r>
    <x v="411"/>
    <x v="411"/>
    <x v="0"/>
    <x v="17"/>
    <x v="3"/>
    <n v="3"/>
    <n v="121.98"/>
    <x v="0"/>
    <x v="201"/>
    <x v="0"/>
    <x v="3"/>
    <x v="2"/>
    <x v="8"/>
    <x v="1"/>
  </r>
  <r>
    <x v="412"/>
    <x v="412"/>
    <x v="1"/>
    <x v="26"/>
    <x v="2"/>
    <n v="3"/>
    <n v="15.69"/>
    <x v="1"/>
    <x v="84"/>
    <x v="0"/>
    <x v="2"/>
    <x v="2"/>
    <x v="7"/>
    <x v="0"/>
  </r>
  <r>
    <x v="413"/>
    <x v="413"/>
    <x v="1"/>
    <x v="20"/>
    <x v="0"/>
    <n v="4"/>
    <n v="4200"/>
    <x v="1"/>
    <x v="320"/>
    <x v="4"/>
    <x v="0"/>
    <x v="2"/>
    <x v="4"/>
    <x v="0"/>
  </r>
  <r>
    <x v="414"/>
    <x v="414"/>
    <x v="0"/>
    <x v="17"/>
    <x v="1"/>
    <n v="1"/>
    <n v="300.08"/>
    <x v="0"/>
    <x v="221"/>
    <x v="1"/>
    <x v="1"/>
    <x v="2"/>
    <x v="3"/>
    <x v="0"/>
  </r>
  <r>
    <x v="415"/>
    <x v="415"/>
    <x v="0"/>
    <x v="20"/>
    <x v="1"/>
    <n v="2"/>
    <n v="600.16"/>
    <x v="0"/>
    <x v="321"/>
    <x v="2"/>
    <x v="9"/>
    <x v="2"/>
    <x v="8"/>
    <x v="0"/>
  </r>
  <r>
    <x v="416"/>
    <x v="416"/>
    <x v="0"/>
    <x v="23"/>
    <x v="1"/>
    <n v="4"/>
    <n v="1200.32"/>
    <x v="0"/>
    <x v="164"/>
    <x v="4"/>
    <x v="8"/>
    <x v="2"/>
    <x v="3"/>
    <x v="1"/>
  </r>
  <r>
    <x v="417"/>
    <x v="417"/>
    <x v="0"/>
    <x v="22"/>
    <x v="5"/>
    <n v="4"/>
    <n v="143.36000000000001"/>
    <x v="0"/>
    <x v="156"/>
    <x v="0"/>
    <x v="7"/>
    <x v="2"/>
    <x v="5"/>
    <x v="0"/>
  </r>
  <r>
    <x v="418"/>
    <x v="418"/>
    <x v="0"/>
    <x v="18"/>
    <x v="3"/>
    <n v="4"/>
    <n v="162.63999999999999"/>
    <x v="1"/>
    <x v="322"/>
    <x v="3"/>
    <x v="15"/>
    <x v="2"/>
    <x v="11"/>
    <x v="2"/>
  </r>
  <r>
    <x v="419"/>
    <x v="419"/>
    <x v="0"/>
    <x v="24"/>
    <x v="1"/>
    <n v="2"/>
    <n v="600.16"/>
    <x v="0"/>
    <x v="177"/>
    <x v="2"/>
    <x v="9"/>
    <x v="2"/>
    <x v="7"/>
    <x v="1"/>
  </r>
  <r>
    <x v="420"/>
    <x v="420"/>
    <x v="0"/>
    <x v="23"/>
    <x v="7"/>
    <n v="5"/>
    <n v="75.75"/>
    <x v="0"/>
    <x v="323"/>
    <x v="4"/>
    <x v="30"/>
    <x v="2"/>
    <x v="7"/>
    <x v="1"/>
  </r>
  <r>
    <x v="421"/>
    <x v="421"/>
    <x v="1"/>
    <x v="18"/>
    <x v="5"/>
    <n v="3"/>
    <n v="107.52"/>
    <x v="1"/>
    <x v="324"/>
    <x v="1"/>
    <x v="23"/>
    <x v="2"/>
    <x v="4"/>
    <x v="0"/>
  </r>
  <r>
    <x v="422"/>
    <x v="422"/>
    <x v="1"/>
    <x v="24"/>
    <x v="3"/>
    <n v="3"/>
    <n v="121.98"/>
    <x v="0"/>
    <x v="325"/>
    <x v="0"/>
    <x v="3"/>
    <x v="2"/>
    <x v="8"/>
    <x v="1"/>
  </r>
  <r>
    <x v="423"/>
    <x v="423"/>
    <x v="1"/>
    <x v="22"/>
    <x v="5"/>
    <n v="3"/>
    <n v="107.52"/>
    <x v="1"/>
    <x v="326"/>
    <x v="5"/>
    <x v="23"/>
    <x v="2"/>
    <x v="4"/>
    <x v="1"/>
  </r>
  <r>
    <x v="424"/>
    <x v="424"/>
    <x v="0"/>
    <x v="18"/>
    <x v="1"/>
    <n v="4"/>
    <n v="1200.32"/>
    <x v="2"/>
    <x v="327"/>
    <x v="0"/>
    <x v="8"/>
    <x v="2"/>
    <x v="6"/>
    <x v="1"/>
  </r>
  <r>
    <x v="425"/>
    <x v="425"/>
    <x v="1"/>
    <x v="24"/>
    <x v="0"/>
    <n v="3"/>
    <n v="3150"/>
    <x v="0"/>
    <x v="76"/>
    <x v="6"/>
    <x v="39"/>
    <x v="2"/>
    <x v="9"/>
    <x v="1"/>
  </r>
  <r>
    <x v="426"/>
    <x v="426"/>
    <x v="0"/>
    <x v="24"/>
    <x v="6"/>
    <n v="5"/>
    <n v="58.65"/>
    <x v="1"/>
    <x v="186"/>
    <x v="1"/>
    <x v="32"/>
    <x v="2"/>
    <x v="8"/>
    <x v="0"/>
  </r>
  <r>
    <x v="427"/>
    <x v="427"/>
    <x v="0"/>
    <x v="18"/>
    <x v="1"/>
    <n v="2"/>
    <n v="600.16"/>
    <x v="0"/>
    <x v="328"/>
    <x v="4"/>
    <x v="9"/>
    <x v="2"/>
    <x v="10"/>
    <x v="2"/>
  </r>
  <r>
    <x v="428"/>
    <x v="428"/>
    <x v="1"/>
    <x v="25"/>
    <x v="3"/>
    <n v="5"/>
    <n v="203.3"/>
    <x v="0"/>
    <x v="199"/>
    <x v="4"/>
    <x v="12"/>
    <x v="2"/>
    <x v="4"/>
    <x v="1"/>
  </r>
  <r>
    <x v="429"/>
    <x v="429"/>
    <x v="0"/>
    <x v="24"/>
    <x v="5"/>
    <n v="5"/>
    <n v="179.2"/>
    <x v="1"/>
    <x v="160"/>
    <x v="4"/>
    <x v="17"/>
    <x v="2"/>
    <x v="4"/>
    <x v="1"/>
  </r>
  <r>
    <x v="430"/>
    <x v="430"/>
    <x v="0"/>
    <x v="24"/>
    <x v="7"/>
    <n v="3"/>
    <n v="45.45"/>
    <x v="0"/>
    <x v="329"/>
    <x v="0"/>
    <x v="25"/>
    <x v="2"/>
    <x v="2"/>
    <x v="2"/>
  </r>
  <r>
    <x v="431"/>
    <x v="431"/>
    <x v="1"/>
    <x v="25"/>
    <x v="4"/>
    <n v="5"/>
    <n v="3000.85"/>
    <x v="0"/>
    <x v="234"/>
    <x v="5"/>
    <x v="34"/>
    <x v="2"/>
    <x v="5"/>
    <x v="1"/>
  </r>
  <r>
    <x v="432"/>
    <x v="432"/>
    <x v="1"/>
    <x v="24"/>
    <x v="1"/>
    <n v="3"/>
    <n v="900.24"/>
    <x v="1"/>
    <x v="330"/>
    <x v="4"/>
    <x v="4"/>
    <x v="2"/>
    <x v="7"/>
    <x v="1"/>
  </r>
  <r>
    <x v="433"/>
    <x v="433"/>
    <x v="1"/>
    <x v="18"/>
    <x v="1"/>
    <n v="4"/>
    <n v="1200.32"/>
    <x v="2"/>
    <x v="193"/>
    <x v="1"/>
    <x v="8"/>
    <x v="2"/>
    <x v="2"/>
    <x v="2"/>
  </r>
  <r>
    <x v="434"/>
    <x v="434"/>
    <x v="0"/>
    <x v="25"/>
    <x v="1"/>
    <n v="1"/>
    <n v="300.08"/>
    <x v="1"/>
    <x v="331"/>
    <x v="0"/>
    <x v="1"/>
    <x v="2"/>
    <x v="2"/>
    <x v="0"/>
  </r>
  <r>
    <x v="435"/>
    <x v="435"/>
    <x v="0"/>
    <x v="26"/>
    <x v="3"/>
    <n v="3"/>
    <n v="121.98"/>
    <x v="1"/>
    <x v="81"/>
    <x v="4"/>
    <x v="3"/>
    <x v="2"/>
    <x v="4"/>
    <x v="0"/>
  </r>
  <r>
    <x v="436"/>
    <x v="436"/>
    <x v="1"/>
    <x v="24"/>
    <x v="4"/>
    <n v="1"/>
    <n v="600.16999999999996"/>
    <x v="0"/>
    <x v="332"/>
    <x v="0"/>
    <x v="38"/>
    <x v="2"/>
    <x v="6"/>
    <x v="0"/>
  </r>
  <r>
    <x v="437"/>
    <x v="437"/>
    <x v="1"/>
    <x v="21"/>
    <x v="1"/>
    <n v="4"/>
    <n v="1200.32"/>
    <x v="0"/>
    <x v="333"/>
    <x v="9"/>
    <x v="8"/>
    <x v="2"/>
    <x v="1"/>
    <x v="0"/>
  </r>
  <r>
    <x v="438"/>
    <x v="438"/>
    <x v="0"/>
    <x v="20"/>
    <x v="2"/>
    <n v="1"/>
    <n v="5.23"/>
    <x v="1"/>
    <x v="21"/>
    <x v="8"/>
    <x v="10"/>
    <x v="2"/>
    <x v="5"/>
    <x v="0"/>
  </r>
  <r>
    <x v="439"/>
    <x v="439"/>
    <x v="0"/>
    <x v="20"/>
    <x v="3"/>
    <n v="3"/>
    <n v="121.98"/>
    <x v="0"/>
    <x v="233"/>
    <x v="4"/>
    <x v="3"/>
    <x v="2"/>
    <x v="10"/>
    <x v="1"/>
  </r>
  <r>
    <x v="440"/>
    <x v="440"/>
    <x v="1"/>
    <x v="24"/>
    <x v="6"/>
    <n v="4"/>
    <n v="46.92"/>
    <x v="0"/>
    <x v="334"/>
    <x v="8"/>
    <x v="28"/>
    <x v="2"/>
    <x v="11"/>
    <x v="0"/>
  </r>
  <r>
    <x v="441"/>
    <x v="441"/>
    <x v="1"/>
    <x v="25"/>
    <x v="1"/>
    <n v="1"/>
    <n v="300.08"/>
    <x v="1"/>
    <x v="335"/>
    <x v="4"/>
    <x v="1"/>
    <x v="2"/>
    <x v="8"/>
    <x v="0"/>
  </r>
  <r>
    <x v="442"/>
    <x v="442"/>
    <x v="0"/>
    <x v="22"/>
    <x v="2"/>
    <n v="4"/>
    <n v="20.92"/>
    <x v="2"/>
    <x v="336"/>
    <x v="5"/>
    <x v="33"/>
    <x v="2"/>
    <x v="6"/>
    <x v="1"/>
  </r>
  <r>
    <x v="443"/>
    <x v="443"/>
    <x v="0"/>
    <x v="18"/>
    <x v="7"/>
    <n v="3"/>
    <n v="45.45"/>
    <x v="1"/>
    <x v="337"/>
    <x v="2"/>
    <x v="25"/>
    <x v="2"/>
    <x v="10"/>
    <x v="2"/>
  </r>
  <r>
    <x v="444"/>
    <x v="444"/>
    <x v="1"/>
    <x v="24"/>
    <x v="3"/>
    <n v="3"/>
    <n v="121.98"/>
    <x v="2"/>
    <x v="125"/>
    <x v="2"/>
    <x v="3"/>
    <x v="2"/>
    <x v="4"/>
    <x v="1"/>
  </r>
  <r>
    <x v="445"/>
    <x v="445"/>
    <x v="0"/>
    <x v="25"/>
    <x v="1"/>
    <n v="5"/>
    <n v="1500.4"/>
    <x v="2"/>
    <x v="88"/>
    <x v="0"/>
    <x v="5"/>
    <x v="2"/>
    <x v="7"/>
    <x v="0"/>
  </r>
  <r>
    <x v="446"/>
    <x v="446"/>
    <x v="0"/>
    <x v="26"/>
    <x v="0"/>
    <n v="5"/>
    <n v="5250"/>
    <x v="0"/>
    <x v="338"/>
    <x v="2"/>
    <x v="35"/>
    <x v="2"/>
    <x v="10"/>
    <x v="1"/>
  </r>
  <r>
    <x v="447"/>
    <x v="447"/>
    <x v="1"/>
    <x v="22"/>
    <x v="2"/>
    <n v="1"/>
    <n v="5.23"/>
    <x v="0"/>
    <x v="339"/>
    <x v="6"/>
    <x v="10"/>
    <x v="2"/>
    <x v="10"/>
    <x v="1"/>
  </r>
  <r>
    <x v="448"/>
    <x v="448"/>
    <x v="0"/>
    <x v="23"/>
    <x v="5"/>
    <n v="4"/>
    <n v="143.36000000000001"/>
    <x v="0"/>
    <x v="340"/>
    <x v="7"/>
    <x v="7"/>
    <x v="2"/>
    <x v="5"/>
    <x v="0"/>
  </r>
  <r>
    <x v="449"/>
    <x v="449"/>
    <x v="0"/>
    <x v="23"/>
    <x v="5"/>
    <n v="1"/>
    <n v="35.840000000000003"/>
    <x v="0"/>
    <x v="47"/>
    <x v="4"/>
    <x v="18"/>
    <x v="2"/>
    <x v="8"/>
    <x v="0"/>
  </r>
  <r>
    <x v="450"/>
    <x v="450"/>
    <x v="1"/>
    <x v="18"/>
    <x v="5"/>
    <n v="4"/>
    <n v="143.36000000000001"/>
    <x v="0"/>
    <x v="341"/>
    <x v="3"/>
    <x v="7"/>
    <x v="2"/>
    <x v="3"/>
    <x v="1"/>
  </r>
  <r>
    <x v="451"/>
    <x v="451"/>
    <x v="1"/>
    <x v="25"/>
    <x v="3"/>
    <n v="3"/>
    <n v="121.98"/>
    <x v="1"/>
    <x v="177"/>
    <x v="4"/>
    <x v="3"/>
    <x v="2"/>
    <x v="7"/>
    <x v="1"/>
  </r>
  <r>
    <x v="452"/>
    <x v="452"/>
    <x v="1"/>
    <x v="26"/>
    <x v="2"/>
    <n v="3"/>
    <n v="15.69"/>
    <x v="1"/>
    <x v="342"/>
    <x v="6"/>
    <x v="2"/>
    <x v="2"/>
    <x v="0"/>
    <x v="1"/>
  </r>
  <r>
    <x v="453"/>
    <x v="453"/>
    <x v="0"/>
    <x v="21"/>
    <x v="1"/>
    <n v="1"/>
    <n v="300.08"/>
    <x v="1"/>
    <x v="343"/>
    <x v="8"/>
    <x v="1"/>
    <x v="2"/>
    <x v="0"/>
    <x v="0"/>
  </r>
  <r>
    <x v="454"/>
    <x v="454"/>
    <x v="1"/>
    <x v="20"/>
    <x v="4"/>
    <n v="5"/>
    <n v="3000.85"/>
    <x v="1"/>
    <x v="69"/>
    <x v="4"/>
    <x v="34"/>
    <x v="2"/>
    <x v="11"/>
    <x v="0"/>
  </r>
  <r>
    <x v="455"/>
    <x v="455"/>
    <x v="0"/>
    <x v="26"/>
    <x v="1"/>
    <n v="2"/>
    <n v="600.16"/>
    <x v="2"/>
    <x v="344"/>
    <x v="6"/>
    <x v="9"/>
    <x v="2"/>
    <x v="5"/>
    <x v="0"/>
  </r>
  <r>
    <x v="456"/>
    <x v="456"/>
    <x v="0"/>
    <x v="21"/>
    <x v="3"/>
    <n v="5"/>
    <n v="203.3"/>
    <x v="1"/>
    <x v="345"/>
    <x v="4"/>
    <x v="12"/>
    <x v="2"/>
    <x v="6"/>
    <x v="0"/>
  </r>
  <r>
    <x v="457"/>
    <x v="457"/>
    <x v="1"/>
    <x v="20"/>
    <x v="1"/>
    <n v="3"/>
    <n v="900.24"/>
    <x v="0"/>
    <x v="346"/>
    <x v="6"/>
    <x v="4"/>
    <x v="2"/>
    <x v="0"/>
    <x v="1"/>
  </r>
  <r>
    <x v="458"/>
    <x v="458"/>
    <x v="0"/>
    <x v="22"/>
    <x v="1"/>
    <n v="1"/>
    <n v="300.08"/>
    <x v="1"/>
    <x v="347"/>
    <x v="7"/>
    <x v="1"/>
    <x v="2"/>
    <x v="0"/>
    <x v="0"/>
  </r>
  <r>
    <x v="459"/>
    <x v="459"/>
    <x v="0"/>
    <x v="20"/>
    <x v="1"/>
    <n v="1"/>
    <n v="300.08"/>
    <x v="1"/>
    <x v="348"/>
    <x v="4"/>
    <x v="1"/>
    <x v="2"/>
    <x v="2"/>
    <x v="0"/>
  </r>
  <r>
    <x v="460"/>
    <x v="460"/>
    <x v="1"/>
    <x v="25"/>
    <x v="4"/>
    <n v="1"/>
    <n v="600.16999999999996"/>
    <x v="2"/>
    <x v="349"/>
    <x v="0"/>
    <x v="38"/>
    <x v="2"/>
    <x v="8"/>
    <x v="0"/>
  </r>
  <r>
    <x v="461"/>
    <x v="461"/>
    <x v="0"/>
    <x v="21"/>
    <x v="1"/>
    <n v="3"/>
    <n v="900.24"/>
    <x v="2"/>
    <x v="350"/>
    <x v="2"/>
    <x v="4"/>
    <x v="2"/>
    <x v="11"/>
    <x v="1"/>
  </r>
  <r>
    <x v="462"/>
    <x v="462"/>
    <x v="1"/>
    <x v="20"/>
    <x v="6"/>
    <n v="4"/>
    <n v="46.92"/>
    <x v="1"/>
    <x v="293"/>
    <x v="6"/>
    <x v="28"/>
    <x v="2"/>
    <x v="2"/>
    <x v="1"/>
  </r>
  <r>
    <x v="463"/>
    <x v="463"/>
    <x v="0"/>
    <x v="21"/>
    <x v="3"/>
    <n v="4"/>
    <n v="162.63999999999999"/>
    <x v="1"/>
    <x v="351"/>
    <x v="6"/>
    <x v="15"/>
    <x v="2"/>
    <x v="2"/>
    <x v="0"/>
  </r>
  <r>
    <x v="464"/>
    <x v="464"/>
    <x v="0"/>
    <x v="23"/>
    <x v="2"/>
    <n v="4"/>
    <n v="20.92"/>
    <x v="1"/>
    <x v="352"/>
    <x v="1"/>
    <x v="33"/>
    <x v="2"/>
    <x v="2"/>
    <x v="0"/>
  </r>
  <r>
    <x v="465"/>
    <x v="465"/>
    <x v="0"/>
    <x v="26"/>
    <x v="5"/>
    <n v="2"/>
    <n v="71.680000000000007"/>
    <x v="1"/>
    <x v="353"/>
    <x v="0"/>
    <x v="14"/>
    <x v="2"/>
    <x v="4"/>
    <x v="0"/>
  </r>
  <r>
    <x v="466"/>
    <x v="466"/>
    <x v="1"/>
    <x v="26"/>
    <x v="3"/>
    <n v="3"/>
    <n v="121.98"/>
    <x v="2"/>
    <x v="354"/>
    <x v="6"/>
    <x v="3"/>
    <x v="2"/>
    <x v="8"/>
    <x v="1"/>
  </r>
  <r>
    <x v="467"/>
    <x v="467"/>
    <x v="1"/>
    <x v="19"/>
    <x v="7"/>
    <n v="3"/>
    <n v="45.45"/>
    <x v="0"/>
    <x v="318"/>
    <x v="9"/>
    <x v="25"/>
    <x v="2"/>
    <x v="4"/>
    <x v="1"/>
  </r>
  <r>
    <x v="468"/>
    <x v="468"/>
    <x v="1"/>
    <x v="20"/>
    <x v="7"/>
    <n v="2"/>
    <n v="30.3"/>
    <x v="0"/>
    <x v="355"/>
    <x v="6"/>
    <x v="20"/>
    <x v="2"/>
    <x v="9"/>
    <x v="1"/>
  </r>
  <r>
    <x v="469"/>
    <x v="469"/>
    <x v="1"/>
    <x v="20"/>
    <x v="7"/>
    <n v="2"/>
    <n v="30.3"/>
    <x v="1"/>
    <x v="261"/>
    <x v="1"/>
    <x v="20"/>
    <x v="2"/>
    <x v="5"/>
    <x v="0"/>
  </r>
  <r>
    <x v="470"/>
    <x v="470"/>
    <x v="1"/>
    <x v="21"/>
    <x v="1"/>
    <n v="1"/>
    <n v="300.08"/>
    <x v="0"/>
    <x v="356"/>
    <x v="6"/>
    <x v="1"/>
    <x v="2"/>
    <x v="11"/>
    <x v="0"/>
  </r>
  <r>
    <x v="471"/>
    <x v="471"/>
    <x v="0"/>
    <x v="23"/>
    <x v="4"/>
    <n v="2"/>
    <n v="1200.3399999999999"/>
    <x v="2"/>
    <x v="138"/>
    <x v="6"/>
    <x v="24"/>
    <x v="2"/>
    <x v="11"/>
    <x v="0"/>
  </r>
  <r>
    <x v="472"/>
    <x v="472"/>
    <x v="0"/>
    <x v="18"/>
    <x v="3"/>
    <n v="4"/>
    <n v="162.63999999999999"/>
    <x v="1"/>
    <x v="357"/>
    <x v="1"/>
    <x v="15"/>
    <x v="2"/>
    <x v="5"/>
    <x v="1"/>
  </r>
  <r>
    <x v="473"/>
    <x v="473"/>
    <x v="1"/>
    <x v="22"/>
    <x v="1"/>
    <n v="4"/>
    <n v="1200.32"/>
    <x v="2"/>
    <x v="358"/>
    <x v="3"/>
    <x v="8"/>
    <x v="2"/>
    <x v="8"/>
    <x v="1"/>
  </r>
  <r>
    <x v="474"/>
    <x v="474"/>
    <x v="0"/>
    <x v="17"/>
    <x v="1"/>
    <n v="3"/>
    <n v="900.24"/>
    <x v="1"/>
    <x v="359"/>
    <x v="9"/>
    <x v="4"/>
    <x v="2"/>
    <x v="8"/>
    <x v="0"/>
  </r>
  <r>
    <x v="475"/>
    <x v="475"/>
    <x v="0"/>
    <x v="24"/>
    <x v="1"/>
    <n v="3"/>
    <n v="900.24"/>
    <x v="0"/>
    <x v="360"/>
    <x v="4"/>
    <x v="4"/>
    <x v="2"/>
    <x v="9"/>
    <x v="0"/>
  </r>
  <r>
    <x v="476"/>
    <x v="476"/>
    <x v="1"/>
    <x v="21"/>
    <x v="1"/>
    <n v="4"/>
    <n v="1200.32"/>
    <x v="1"/>
    <x v="361"/>
    <x v="0"/>
    <x v="8"/>
    <x v="2"/>
    <x v="4"/>
    <x v="1"/>
  </r>
  <r>
    <x v="477"/>
    <x v="477"/>
    <x v="1"/>
    <x v="18"/>
    <x v="4"/>
    <n v="2"/>
    <n v="1200.3399999999999"/>
    <x v="2"/>
    <x v="93"/>
    <x v="4"/>
    <x v="24"/>
    <x v="2"/>
    <x v="2"/>
    <x v="1"/>
  </r>
  <r>
    <x v="478"/>
    <x v="478"/>
    <x v="0"/>
    <x v="19"/>
    <x v="2"/>
    <n v="4"/>
    <n v="20.92"/>
    <x v="2"/>
    <x v="63"/>
    <x v="1"/>
    <x v="33"/>
    <x v="2"/>
    <x v="1"/>
    <x v="1"/>
  </r>
  <r>
    <x v="479"/>
    <x v="479"/>
    <x v="1"/>
    <x v="24"/>
    <x v="6"/>
    <n v="5"/>
    <n v="58.65"/>
    <x v="2"/>
    <x v="314"/>
    <x v="0"/>
    <x v="32"/>
    <x v="2"/>
    <x v="4"/>
    <x v="0"/>
  </r>
  <r>
    <x v="480"/>
    <x v="480"/>
    <x v="1"/>
    <x v="17"/>
    <x v="1"/>
    <n v="5"/>
    <n v="1500.4"/>
    <x v="0"/>
    <x v="101"/>
    <x v="3"/>
    <x v="5"/>
    <x v="2"/>
    <x v="9"/>
    <x v="0"/>
  </r>
  <r>
    <x v="481"/>
    <x v="481"/>
    <x v="1"/>
    <x v="17"/>
    <x v="1"/>
    <n v="1"/>
    <n v="300.08"/>
    <x v="1"/>
    <x v="362"/>
    <x v="4"/>
    <x v="1"/>
    <x v="2"/>
    <x v="10"/>
    <x v="1"/>
  </r>
  <r>
    <x v="482"/>
    <x v="482"/>
    <x v="0"/>
    <x v="17"/>
    <x v="6"/>
    <n v="4"/>
    <n v="46.92"/>
    <x v="1"/>
    <x v="363"/>
    <x v="0"/>
    <x v="28"/>
    <x v="2"/>
    <x v="4"/>
    <x v="0"/>
  </r>
  <r>
    <x v="483"/>
    <x v="483"/>
    <x v="0"/>
    <x v="24"/>
    <x v="4"/>
    <n v="2"/>
    <n v="1200.3399999999999"/>
    <x v="1"/>
    <x v="364"/>
    <x v="6"/>
    <x v="24"/>
    <x v="2"/>
    <x v="8"/>
    <x v="0"/>
  </r>
  <r>
    <x v="484"/>
    <x v="484"/>
    <x v="1"/>
    <x v="23"/>
    <x v="3"/>
    <n v="4"/>
    <n v="162.63999999999999"/>
    <x v="1"/>
    <x v="365"/>
    <x v="9"/>
    <x v="15"/>
    <x v="2"/>
    <x v="9"/>
    <x v="0"/>
  </r>
  <r>
    <x v="485"/>
    <x v="485"/>
    <x v="0"/>
    <x v="20"/>
    <x v="1"/>
    <n v="3"/>
    <n v="900.24"/>
    <x v="0"/>
    <x v="80"/>
    <x v="1"/>
    <x v="4"/>
    <x v="2"/>
    <x v="10"/>
    <x v="1"/>
  </r>
  <r>
    <x v="486"/>
    <x v="486"/>
    <x v="1"/>
    <x v="19"/>
    <x v="1"/>
    <n v="3"/>
    <n v="900.24"/>
    <x v="2"/>
    <x v="366"/>
    <x v="5"/>
    <x v="4"/>
    <x v="2"/>
    <x v="6"/>
    <x v="0"/>
  </r>
  <r>
    <x v="487"/>
    <x v="487"/>
    <x v="0"/>
    <x v="22"/>
    <x v="2"/>
    <n v="3"/>
    <n v="15.69"/>
    <x v="1"/>
    <x v="367"/>
    <x v="3"/>
    <x v="2"/>
    <x v="2"/>
    <x v="11"/>
    <x v="0"/>
  </r>
  <r>
    <x v="488"/>
    <x v="488"/>
    <x v="1"/>
    <x v="23"/>
    <x v="4"/>
    <n v="2"/>
    <n v="1200.3399999999999"/>
    <x v="1"/>
    <x v="368"/>
    <x v="8"/>
    <x v="24"/>
    <x v="2"/>
    <x v="10"/>
    <x v="2"/>
  </r>
  <r>
    <x v="489"/>
    <x v="489"/>
    <x v="0"/>
    <x v="17"/>
    <x v="3"/>
    <n v="5"/>
    <n v="203.3"/>
    <x v="0"/>
    <x v="369"/>
    <x v="9"/>
    <x v="12"/>
    <x v="2"/>
    <x v="9"/>
    <x v="1"/>
  </r>
  <r>
    <x v="490"/>
    <x v="490"/>
    <x v="1"/>
    <x v="23"/>
    <x v="7"/>
    <n v="5"/>
    <n v="75.75"/>
    <x v="1"/>
    <x v="341"/>
    <x v="1"/>
    <x v="30"/>
    <x v="2"/>
    <x v="3"/>
    <x v="1"/>
  </r>
  <r>
    <x v="491"/>
    <x v="491"/>
    <x v="1"/>
    <x v="26"/>
    <x v="1"/>
    <n v="1"/>
    <n v="300.08"/>
    <x v="1"/>
    <x v="76"/>
    <x v="4"/>
    <x v="1"/>
    <x v="2"/>
    <x v="9"/>
    <x v="1"/>
  </r>
  <r>
    <x v="492"/>
    <x v="492"/>
    <x v="0"/>
    <x v="24"/>
    <x v="1"/>
    <n v="3"/>
    <n v="900.24"/>
    <x v="1"/>
    <x v="360"/>
    <x v="4"/>
    <x v="4"/>
    <x v="2"/>
    <x v="9"/>
    <x v="0"/>
  </r>
  <r>
    <x v="493"/>
    <x v="493"/>
    <x v="0"/>
    <x v="17"/>
    <x v="6"/>
    <n v="3"/>
    <n v="35.19"/>
    <x v="1"/>
    <x v="238"/>
    <x v="6"/>
    <x v="16"/>
    <x v="2"/>
    <x v="6"/>
    <x v="1"/>
  </r>
  <r>
    <x v="494"/>
    <x v="494"/>
    <x v="0"/>
    <x v="26"/>
    <x v="0"/>
    <n v="5"/>
    <n v="5250"/>
    <x v="1"/>
    <x v="200"/>
    <x v="0"/>
    <x v="35"/>
    <x v="2"/>
    <x v="6"/>
    <x v="0"/>
  </r>
  <r>
    <x v="495"/>
    <x v="495"/>
    <x v="1"/>
    <x v="24"/>
    <x v="1"/>
    <n v="3"/>
    <n v="900.24"/>
    <x v="2"/>
    <x v="9"/>
    <x v="3"/>
    <x v="4"/>
    <x v="2"/>
    <x v="6"/>
    <x v="0"/>
  </r>
  <r>
    <x v="496"/>
    <x v="496"/>
    <x v="0"/>
    <x v="19"/>
    <x v="1"/>
    <n v="1"/>
    <n v="300.08"/>
    <x v="1"/>
    <x v="26"/>
    <x v="1"/>
    <x v="1"/>
    <x v="2"/>
    <x v="2"/>
    <x v="1"/>
  </r>
  <r>
    <x v="497"/>
    <x v="497"/>
    <x v="0"/>
    <x v="17"/>
    <x v="2"/>
    <n v="1"/>
    <n v="5.23"/>
    <x v="0"/>
    <x v="174"/>
    <x v="6"/>
    <x v="10"/>
    <x v="2"/>
    <x v="4"/>
    <x v="0"/>
  </r>
  <r>
    <x v="498"/>
    <x v="498"/>
    <x v="0"/>
    <x v="24"/>
    <x v="1"/>
    <n v="3"/>
    <n v="900.24"/>
    <x v="1"/>
    <x v="370"/>
    <x v="6"/>
    <x v="4"/>
    <x v="2"/>
    <x v="7"/>
    <x v="0"/>
  </r>
  <r>
    <x v="499"/>
    <x v="499"/>
    <x v="1"/>
    <x v="26"/>
    <x v="7"/>
    <n v="2"/>
    <n v="30.3"/>
    <x v="2"/>
    <x v="371"/>
    <x v="2"/>
    <x v="20"/>
    <x v="2"/>
    <x v="2"/>
    <x v="1"/>
  </r>
  <r>
    <x v="500"/>
    <x v="500"/>
    <x v="0"/>
    <x v="17"/>
    <x v="3"/>
    <n v="1"/>
    <n v="40.659999999999997"/>
    <x v="1"/>
    <x v="372"/>
    <x v="4"/>
    <x v="29"/>
    <x v="2"/>
    <x v="2"/>
    <x v="2"/>
  </r>
  <r>
    <x v="501"/>
    <x v="501"/>
    <x v="0"/>
    <x v="17"/>
    <x v="1"/>
    <n v="2"/>
    <n v="600.16"/>
    <x v="0"/>
    <x v="373"/>
    <x v="2"/>
    <x v="9"/>
    <x v="2"/>
    <x v="1"/>
    <x v="0"/>
  </r>
  <r>
    <x v="502"/>
    <x v="502"/>
    <x v="1"/>
    <x v="17"/>
    <x v="6"/>
    <n v="1"/>
    <n v="11.73"/>
    <x v="1"/>
    <x v="374"/>
    <x v="4"/>
    <x v="31"/>
    <x v="2"/>
    <x v="3"/>
    <x v="0"/>
  </r>
  <r>
    <x v="503"/>
    <x v="503"/>
    <x v="0"/>
    <x v="26"/>
    <x v="4"/>
    <n v="1"/>
    <n v="600.16999999999996"/>
    <x v="1"/>
    <x v="375"/>
    <x v="8"/>
    <x v="38"/>
    <x v="2"/>
    <x v="2"/>
    <x v="0"/>
  </r>
  <r>
    <x v="504"/>
    <x v="504"/>
    <x v="0"/>
    <x v="26"/>
    <x v="4"/>
    <n v="2"/>
    <n v="1200.3399999999999"/>
    <x v="0"/>
    <x v="218"/>
    <x v="3"/>
    <x v="24"/>
    <x v="2"/>
    <x v="1"/>
    <x v="0"/>
  </r>
  <r>
    <x v="505"/>
    <x v="505"/>
    <x v="0"/>
    <x v="18"/>
    <x v="5"/>
    <n v="4"/>
    <n v="143.36000000000001"/>
    <x v="2"/>
    <x v="376"/>
    <x v="6"/>
    <x v="7"/>
    <x v="2"/>
    <x v="0"/>
    <x v="1"/>
  </r>
  <r>
    <x v="506"/>
    <x v="506"/>
    <x v="0"/>
    <x v="24"/>
    <x v="6"/>
    <n v="4"/>
    <n v="46.92"/>
    <x v="0"/>
    <x v="377"/>
    <x v="1"/>
    <x v="28"/>
    <x v="2"/>
    <x v="11"/>
    <x v="2"/>
  </r>
  <r>
    <x v="507"/>
    <x v="507"/>
    <x v="1"/>
    <x v="25"/>
    <x v="2"/>
    <n v="5"/>
    <n v="26.15"/>
    <x v="0"/>
    <x v="49"/>
    <x v="4"/>
    <x v="22"/>
    <x v="2"/>
    <x v="7"/>
    <x v="0"/>
  </r>
  <r>
    <x v="508"/>
    <x v="508"/>
    <x v="0"/>
    <x v="25"/>
    <x v="2"/>
    <n v="5"/>
    <n v="26.15"/>
    <x v="1"/>
    <x v="378"/>
    <x v="4"/>
    <x v="22"/>
    <x v="2"/>
    <x v="9"/>
    <x v="1"/>
  </r>
  <r>
    <x v="509"/>
    <x v="509"/>
    <x v="0"/>
    <x v="17"/>
    <x v="6"/>
    <n v="3"/>
    <n v="35.19"/>
    <x v="1"/>
    <x v="83"/>
    <x v="0"/>
    <x v="16"/>
    <x v="2"/>
    <x v="2"/>
    <x v="0"/>
  </r>
  <r>
    <x v="510"/>
    <x v="510"/>
    <x v="1"/>
    <x v="25"/>
    <x v="6"/>
    <n v="2"/>
    <n v="23.46"/>
    <x v="2"/>
    <x v="379"/>
    <x v="0"/>
    <x v="36"/>
    <x v="2"/>
    <x v="1"/>
    <x v="1"/>
  </r>
  <r>
    <x v="511"/>
    <x v="511"/>
    <x v="1"/>
    <x v="24"/>
    <x v="0"/>
    <n v="4"/>
    <n v="4200"/>
    <x v="0"/>
    <x v="116"/>
    <x v="5"/>
    <x v="0"/>
    <x v="2"/>
    <x v="3"/>
    <x v="0"/>
  </r>
  <r>
    <x v="512"/>
    <x v="512"/>
    <x v="1"/>
    <x v="20"/>
    <x v="7"/>
    <n v="1"/>
    <n v="15.15"/>
    <x v="2"/>
    <x v="213"/>
    <x v="0"/>
    <x v="27"/>
    <x v="2"/>
    <x v="10"/>
    <x v="2"/>
  </r>
  <r>
    <x v="513"/>
    <x v="513"/>
    <x v="0"/>
    <x v="21"/>
    <x v="0"/>
    <n v="2"/>
    <n v="2100"/>
    <x v="2"/>
    <x v="240"/>
    <x v="9"/>
    <x v="19"/>
    <x v="2"/>
    <x v="8"/>
    <x v="1"/>
  </r>
  <r>
    <x v="514"/>
    <x v="514"/>
    <x v="0"/>
    <x v="18"/>
    <x v="3"/>
    <n v="2"/>
    <n v="81.319999999999993"/>
    <x v="0"/>
    <x v="64"/>
    <x v="3"/>
    <x v="26"/>
    <x v="2"/>
    <x v="7"/>
    <x v="0"/>
  </r>
  <r>
    <x v="515"/>
    <x v="515"/>
    <x v="1"/>
    <x v="19"/>
    <x v="3"/>
    <n v="4"/>
    <n v="162.63999999999999"/>
    <x v="1"/>
    <x v="374"/>
    <x v="1"/>
    <x v="15"/>
    <x v="2"/>
    <x v="3"/>
    <x v="0"/>
  </r>
  <r>
    <x v="516"/>
    <x v="516"/>
    <x v="0"/>
    <x v="24"/>
    <x v="1"/>
    <n v="2"/>
    <n v="600.16"/>
    <x v="0"/>
    <x v="65"/>
    <x v="0"/>
    <x v="9"/>
    <x v="2"/>
    <x v="2"/>
    <x v="1"/>
  </r>
  <r>
    <x v="517"/>
    <x v="517"/>
    <x v="0"/>
    <x v="20"/>
    <x v="5"/>
    <n v="2"/>
    <n v="71.680000000000007"/>
    <x v="0"/>
    <x v="208"/>
    <x v="1"/>
    <x v="14"/>
    <x v="2"/>
    <x v="11"/>
    <x v="2"/>
  </r>
  <r>
    <x v="518"/>
    <x v="518"/>
    <x v="0"/>
    <x v="27"/>
    <x v="3"/>
    <n v="3"/>
    <n v="121.98"/>
    <x v="0"/>
    <x v="306"/>
    <x v="0"/>
    <x v="3"/>
    <x v="3"/>
    <x v="3"/>
    <x v="0"/>
  </r>
  <r>
    <x v="519"/>
    <x v="519"/>
    <x v="0"/>
    <x v="28"/>
    <x v="6"/>
    <n v="3"/>
    <n v="35.19"/>
    <x v="2"/>
    <x v="380"/>
    <x v="1"/>
    <x v="16"/>
    <x v="3"/>
    <x v="1"/>
    <x v="1"/>
  </r>
  <r>
    <x v="520"/>
    <x v="520"/>
    <x v="0"/>
    <x v="28"/>
    <x v="5"/>
    <n v="2"/>
    <n v="71.680000000000007"/>
    <x v="1"/>
    <x v="381"/>
    <x v="6"/>
    <x v="14"/>
    <x v="3"/>
    <x v="7"/>
    <x v="1"/>
  </r>
  <r>
    <x v="521"/>
    <x v="521"/>
    <x v="1"/>
    <x v="29"/>
    <x v="2"/>
    <n v="1"/>
    <n v="5.23"/>
    <x v="1"/>
    <x v="362"/>
    <x v="2"/>
    <x v="10"/>
    <x v="3"/>
    <x v="10"/>
    <x v="1"/>
  </r>
  <r>
    <x v="522"/>
    <x v="522"/>
    <x v="1"/>
    <x v="29"/>
    <x v="7"/>
    <n v="5"/>
    <n v="75.75"/>
    <x v="1"/>
    <x v="382"/>
    <x v="0"/>
    <x v="30"/>
    <x v="3"/>
    <x v="3"/>
    <x v="1"/>
  </r>
  <r>
    <x v="523"/>
    <x v="523"/>
    <x v="1"/>
    <x v="30"/>
    <x v="1"/>
    <n v="5"/>
    <n v="1500.4"/>
    <x v="0"/>
    <x v="263"/>
    <x v="5"/>
    <x v="5"/>
    <x v="3"/>
    <x v="9"/>
    <x v="1"/>
  </r>
  <r>
    <x v="524"/>
    <x v="524"/>
    <x v="0"/>
    <x v="31"/>
    <x v="7"/>
    <n v="4"/>
    <n v="60.6"/>
    <x v="1"/>
    <x v="383"/>
    <x v="5"/>
    <x v="21"/>
    <x v="3"/>
    <x v="7"/>
    <x v="1"/>
  </r>
  <r>
    <x v="525"/>
    <x v="525"/>
    <x v="0"/>
    <x v="29"/>
    <x v="1"/>
    <n v="3"/>
    <n v="900.24"/>
    <x v="2"/>
    <x v="384"/>
    <x v="1"/>
    <x v="4"/>
    <x v="3"/>
    <x v="8"/>
    <x v="0"/>
  </r>
  <r>
    <x v="526"/>
    <x v="526"/>
    <x v="1"/>
    <x v="32"/>
    <x v="1"/>
    <n v="1"/>
    <n v="300.08"/>
    <x v="1"/>
    <x v="385"/>
    <x v="9"/>
    <x v="1"/>
    <x v="3"/>
    <x v="2"/>
    <x v="1"/>
  </r>
  <r>
    <x v="527"/>
    <x v="527"/>
    <x v="1"/>
    <x v="28"/>
    <x v="1"/>
    <n v="2"/>
    <n v="600.16"/>
    <x v="0"/>
    <x v="1"/>
    <x v="0"/>
    <x v="9"/>
    <x v="3"/>
    <x v="1"/>
    <x v="1"/>
  </r>
  <r>
    <x v="528"/>
    <x v="528"/>
    <x v="1"/>
    <x v="28"/>
    <x v="4"/>
    <n v="4"/>
    <n v="2400.6799999999998"/>
    <x v="0"/>
    <x v="386"/>
    <x v="9"/>
    <x v="6"/>
    <x v="3"/>
    <x v="5"/>
    <x v="0"/>
  </r>
  <r>
    <x v="529"/>
    <x v="529"/>
    <x v="1"/>
    <x v="31"/>
    <x v="2"/>
    <n v="4"/>
    <n v="20.92"/>
    <x v="1"/>
    <x v="101"/>
    <x v="4"/>
    <x v="33"/>
    <x v="3"/>
    <x v="9"/>
    <x v="0"/>
  </r>
  <r>
    <x v="530"/>
    <x v="530"/>
    <x v="0"/>
    <x v="31"/>
    <x v="4"/>
    <n v="5"/>
    <n v="3000.85"/>
    <x v="1"/>
    <x v="387"/>
    <x v="1"/>
    <x v="34"/>
    <x v="3"/>
    <x v="9"/>
    <x v="0"/>
  </r>
  <r>
    <x v="531"/>
    <x v="531"/>
    <x v="1"/>
    <x v="31"/>
    <x v="1"/>
    <n v="3"/>
    <n v="900.24"/>
    <x v="0"/>
    <x v="388"/>
    <x v="8"/>
    <x v="4"/>
    <x v="3"/>
    <x v="3"/>
    <x v="0"/>
  </r>
  <r>
    <x v="532"/>
    <x v="532"/>
    <x v="1"/>
    <x v="31"/>
    <x v="3"/>
    <n v="3"/>
    <n v="121.98"/>
    <x v="1"/>
    <x v="389"/>
    <x v="0"/>
    <x v="3"/>
    <x v="3"/>
    <x v="4"/>
    <x v="1"/>
  </r>
  <r>
    <x v="533"/>
    <x v="533"/>
    <x v="1"/>
    <x v="28"/>
    <x v="2"/>
    <n v="3"/>
    <n v="15.69"/>
    <x v="0"/>
    <x v="314"/>
    <x v="3"/>
    <x v="2"/>
    <x v="3"/>
    <x v="4"/>
    <x v="0"/>
  </r>
  <r>
    <x v="534"/>
    <x v="534"/>
    <x v="0"/>
    <x v="29"/>
    <x v="3"/>
    <n v="4"/>
    <n v="162.63999999999999"/>
    <x v="0"/>
    <x v="390"/>
    <x v="0"/>
    <x v="15"/>
    <x v="3"/>
    <x v="5"/>
    <x v="0"/>
  </r>
  <r>
    <x v="535"/>
    <x v="535"/>
    <x v="0"/>
    <x v="33"/>
    <x v="1"/>
    <n v="2"/>
    <n v="600.16"/>
    <x v="2"/>
    <x v="391"/>
    <x v="9"/>
    <x v="9"/>
    <x v="3"/>
    <x v="5"/>
    <x v="1"/>
  </r>
  <r>
    <x v="536"/>
    <x v="536"/>
    <x v="0"/>
    <x v="34"/>
    <x v="1"/>
    <n v="5"/>
    <n v="1500.4"/>
    <x v="1"/>
    <x v="392"/>
    <x v="2"/>
    <x v="5"/>
    <x v="3"/>
    <x v="0"/>
    <x v="1"/>
  </r>
  <r>
    <x v="537"/>
    <x v="537"/>
    <x v="0"/>
    <x v="29"/>
    <x v="2"/>
    <n v="5"/>
    <n v="26.15"/>
    <x v="0"/>
    <x v="393"/>
    <x v="0"/>
    <x v="22"/>
    <x v="3"/>
    <x v="10"/>
    <x v="0"/>
  </r>
  <r>
    <x v="538"/>
    <x v="538"/>
    <x v="0"/>
    <x v="29"/>
    <x v="1"/>
    <n v="3"/>
    <n v="900.24"/>
    <x v="0"/>
    <x v="374"/>
    <x v="0"/>
    <x v="4"/>
    <x v="3"/>
    <x v="3"/>
    <x v="0"/>
  </r>
  <r>
    <x v="539"/>
    <x v="539"/>
    <x v="1"/>
    <x v="35"/>
    <x v="6"/>
    <n v="2"/>
    <n v="23.46"/>
    <x v="1"/>
    <x v="48"/>
    <x v="0"/>
    <x v="36"/>
    <x v="3"/>
    <x v="5"/>
    <x v="0"/>
  </r>
  <r>
    <x v="540"/>
    <x v="540"/>
    <x v="0"/>
    <x v="28"/>
    <x v="3"/>
    <n v="1"/>
    <n v="40.659999999999997"/>
    <x v="0"/>
    <x v="42"/>
    <x v="6"/>
    <x v="29"/>
    <x v="3"/>
    <x v="7"/>
    <x v="1"/>
  </r>
  <r>
    <x v="541"/>
    <x v="541"/>
    <x v="0"/>
    <x v="34"/>
    <x v="3"/>
    <n v="3"/>
    <n v="121.98"/>
    <x v="0"/>
    <x v="90"/>
    <x v="3"/>
    <x v="3"/>
    <x v="3"/>
    <x v="4"/>
    <x v="0"/>
  </r>
  <r>
    <x v="542"/>
    <x v="542"/>
    <x v="0"/>
    <x v="29"/>
    <x v="6"/>
    <n v="5"/>
    <n v="58.65"/>
    <x v="0"/>
    <x v="394"/>
    <x v="6"/>
    <x v="32"/>
    <x v="3"/>
    <x v="2"/>
    <x v="1"/>
  </r>
  <r>
    <x v="543"/>
    <x v="543"/>
    <x v="0"/>
    <x v="36"/>
    <x v="7"/>
    <n v="5"/>
    <n v="75.75"/>
    <x v="2"/>
    <x v="176"/>
    <x v="0"/>
    <x v="30"/>
    <x v="3"/>
    <x v="2"/>
    <x v="1"/>
  </r>
  <r>
    <x v="544"/>
    <x v="544"/>
    <x v="1"/>
    <x v="27"/>
    <x v="1"/>
    <n v="1"/>
    <n v="300.08"/>
    <x v="2"/>
    <x v="257"/>
    <x v="0"/>
    <x v="1"/>
    <x v="3"/>
    <x v="2"/>
    <x v="1"/>
  </r>
  <r>
    <x v="545"/>
    <x v="545"/>
    <x v="0"/>
    <x v="36"/>
    <x v="1"/>
    <n v="2"/>
    <n v="600.16"/>
    <x v="0"/>
    <x v="395"/>
    <x v="1"/>
    <x v="9"/>
    <x v="3"/>
    <x v="9"/>
    <x v="1"/>
  </r>
  <r>
    <x v="546"/>
    <x v="546"/>
    <x v="1"/>
    <x v="31"/>
    <x v="1"/>
    <n v="5"/>
    <n v="1500.4"/>
    <x v="0"/>
    <x v="396"/>
    <x v="5"/>
    <x v="5"/>
    <x v="3"/>
    <x v="0"/>
    <x v="1"/>
  </r>
  <r>
    <x v="547"/>
    <x v="547"/>
    <x v="1"/>
    <x v="30"/>
    <x v="1"/>
    <n v="4"/>
    <n v="1200.32"/>
    <x v="1"/>
    <x v="93"/>
    <x v="4"/>
    <x v="8"/>
    <x v="3"/>
    <x v="2"/>
    <x v="1"/>
  </r>
  <r>
    <x v="548"/>
    <x v="548"/>
    <x v="1"/>
    <x v="33"/>
    <x v="1"/>
    <n v="1"/>
    <n v="300.08"/>
    <x v="0"/>
    <x v="397"/>
    <x v="1"/>
    <x v="1"/>
    <x v="3"/>
    <x v="1"/>
    <x v="0"/>
  </r>
  <r>
    <x v="549"/>
    <x v="549"/>
    <x v="0"/>
    <x v="28"/>
    <x v="2"/>
    <n v="2"/>
    <n v="10.46"/>
    <x v="0"/>
    <x v="398"/>
    <x v="0"/>
    <x v="13"/>
    <x v="3"/>
    <x v="11"/>
    <x v="0"/>
  </r>
  <r>
    <x v="550"/>
    <x v="550"/>
    <x v="1"/>
    <x v="30"/>
    <x v="2"/>
    <n v="1"/>
    <n v="5.23"/>
    <x v="1"/>
    <x v="330"/>
    <x v="0"/>
    <x v="10"/>
    <x v="3"/>
    <x v="7"/>
    <x v="1"/>
  </r>
  <r>
    <x v="551"/>
    <x v="551"/>
    <x v="1"/>
    <x v="30"/>
    <x v="5"/>
    <n v="4"/>
    <n v="143.36000000000001"/>
    <x v="0"/>
    <x v="297"/>
    <x v="0"/>
    <x v="7"/>
    <x v="3"/>
    <x v="1"/>
    <x v="0"/>
  </r>
  <r>
    <x v="552"/>
    <x v="552"/>
    <x v="0"/>
    <x v="31"/>
    <x v="1"/>
    <n v="3"/>
    <n v="900.24"/>
    <x v="1"/>
    <x v="399"/>
    <x v="4"/>
    <x v="4"/>
    <x v="3"/>
    <x v="2"/>
    <x v="2"/>
  </r>
  <r>
    <x v="553"/>
    <x v="553"/>
    <x v="1"/>
    <x v="33"/>
    <x v="7"/>
    <n v="3"/>
    <n v="45.45"/>
    <x v="2"/>
    <x v="5"/>
    <x v="1"/>
    <x v="25"/>
    <x v="3"/>
    <x v="4"/>
    <x v="0"/>
  </r>
  <r>
    <x v="554"/>
    <x v="554"/>
    <x v="0"/>
    <x v="33"/>
    <x v="3"/>
    <n v="2"/>
    <n v="81.319999999999993"/>
    <x v="0"/>
    <x v="111"/>
    <x v="6"/>
    <x v="26"/>
    <x v="3"/>
    <x v="10"/>
    <x v="2"/>
  </r>
  <r>
    <x v="555"/>
    <x v="555"/>
    <x v="0"/>
    <x v="36"/>
    <x v="1"/>
    <n v="2"/>
    <n v="600.16"/>
    <x v="2"/>
    <x v="62"/>
    <x v="4"/>
    <x v="9"/>
    <x v="3"/>
    <x v="0"/>
    <x v="0"/>
  </r>
  <r>
    <x v="556"/>
    <x v="556"/>
    <x v="0"/>
    <x v="27"/>
    <x v="1"/>
    <n v="4"/>
    <n v="1200.32"/>
    <x v="0"/>
    <x v="32"/>
    <x v="4"/>
    <x v="8"/>
    <x v="3"/>
    <x v="11"/>
    <x v="0"/>
  </r>
  <r>
    <x v="557"/>
    <x v="557"/>
    <x v="0"/>
    <x v="28"/>
    <x v="5"/>
    <n v="2"/>
    <n v="71.680000000000007"/>
    <x v="0"/>
    <x v="29"/>
    <x v="1"/>
    <x v="14"/>
    <x v="3"/>
    <x v="11"/>
    <x v="1"/>
  </r>
  <r>
    <x v="558"/>
    <x v="558"/>
    <x v="0"/>
    <x v="30"/>
    <x v="1"/>
    <n v="1"/>
    <n v="300.08"/>
    <x v="2"/>
    <x v="400"/>
    <x v="9"/>
    <x v="1"/>
    <x v="3"/>
    <x v="2"/>
    <x v="2"/>
  </r>
  <r>
    <x v="559"/>
    <x v="559"/>
    <x v="1"/>
    <x v="33"/>
    <x v="3"/>
    <n v="3"/>
    <n v="121.98"/>
    <x v="1"/>
    <x v="401"/>
    <x v="3"/>
    <x v="3"/>
    <x v="3"/>
    <x v="10"/>
    <x v="2"/>
  </r>
  <r>
    <x v="560"/>
    <x v="560"/>
    <x v="0"/>
    <x v="30"/>
    <x v="3"/>
    <n v="3"/>
    <n v="121.98"/>
    <x v="0"/>
    <x v="402"/>
    <x v="4"/>
    <x v="3"/>
    <x v="3"/>
    <x v="0"/>
    <x v="0"/>
  </r>
  <r>
    <x v="561"/>
    <x v="561"/>
    <x v="1"/>
    <x v="27"/>
    <x v="5"/>
    <n v="4"/>
    <n v="143.36000000000001"/>
    <x v="0"/>
    <x v="403"/>
    <x v="4"/>
    <x v="7"/>
    <x v="3"/>
    <x v="5"/>
    <x v="0"/>
  </r>
  <r>
    <x v="562"/>
    <x v="562"/>
    <x v="0"/>
    <x v="31"/>
    <x v="2"/>
    <n v="5"/>
    <n v="26.15"/>
    <x v="1"/>
    <x v="404"/>
    <x v="7"/>
    <x v="22"/>
    <x v="3"/>
    <x v="1"/>
    <x v="1"/>
  </r>
  <r>
    <x v="563"/>
    <x v="563"/>
    <x v="0"/>
    <x v="33"/>
    <x v="1"/>
    <n v="4"/>
    <n v="1200.32"/>
    <x v="2"/>
    <x v="405"/>
    <x v="6"/>
    <x v="8"/>
    <x v="3"/>
    <x v="2"/>
    <x v="0"/>
  </r>
  <r>
    <x v="564"/>
    <x v="564"/>
    <x v="0"/>
    <x v="30"/>
    <x v="3"/>
    <n v="2"/>
    <n v="81.319999999999993"/>
    <x v="0"/>
    <x v="90"/>
    <x v="8"/>
    <x v="26"/>
    <x v="3"/>
    <x v="4"/>
    <x v="0"/>
  </r>
  <r>
    <x v="565"/>
    <x v="565"/>
    <x v="0"/>
    <x v="33"/>
    <x v="2"/>
    <n v="3"/>
    <n v="15.69"/>
    <x v="0"/>
    <x v="211"/>
    <x v="1"/>
    <x v="2"/>
    <x v="3"/>
    <x v="7"/>
    <x v="1"/>
  </r>
  <r>
    <x v="566"/>
    <x v="566"/>
    <x v="1"/>
    <x v="29"/>
    <x v="7"/>
    <n v="2"/>
    <n v="30.3"/>
    <x v="0"/>
    <x v="148"/>
    <x v="1"/>
    <x v="20"/>
    <x v="3"/>
    <x v="11"/>
    <x v="2"/>
  </r>
  <r>
    <x v="567"/>
    <x v="567"/>
    <x v="0"/>
    <x v="35"/>
    <x v="3"/>
    <n v="4"/>
    <n v="162.63999999999999"/>
    <x v="1"/>
    <x v="308"/>
    <x v="1"/>
    <x v="15"/>
    <x v="3"/>
    <x v="7"/>
    <x v="1"/>
  </r>
  <r>
    <x v="568"/>
    <x v="568"/>
    <x v="0"/>
    <x v="29"/>
    <x v="4"/>
    <n v="4"/>
    <n v="2400.6799999999998"/>
    <x v="0"/>
    <x v="135"/>
    <x v="3"/>
    <x v="6"/>
    <x v="3"/>
    <x v="10"/>
    <x v="0"/>
  </r>
  <r>
    <x v="569"/>
    <x v="569"/>
    <x v="0"/>
    <x v="34"/>
    <x v="1"/>
    <n v="2"/>
    <n v="600.16"/>
    <x v="0"/>
    <x v="406"/>
    <x v="7"/>
    <x v="9"/>
    <x v="3"/>
    <x v="5"/>
    <x v="0"/>
  </r>
  <r>
    <x v="570"/>
    <x v="570"/>
    <x v="1"/>
    <x v="36"/>
    <x v="1"/>
    <n v="1"/>
    <n v="300.08"/>
    <x v="1"/>
    <x v="407"/>
    <x v="3"/>
    <x v="1"/>
    <x v="3"/>
    <x v="1"/>
    <x v="1"/>
  </r>
  <r>
    <x v="571"/>
    <x v="571"/>
    <x v="0"/>
    <x v="28"/>
    <x v="3"/>
    <n v="4"/>
    <n v="162.63999999999999"/>
    <x v="1"/>
    <x v="408"/>
    <x v="6"/>
    <x v="15"/>
    <x v="3"/>
    <x v="9"/>
    <x v="1"/>
  </r>
  <r>
    <x v="572"/>
    <x v="572"/>
    <x v="0"/>
    <x v="33"/>
    <x v="1"/>
    <n v="2"/>
    <n v="600.16"/>
    <x v="1"/>
    <x v="263"/>
    <x v="1"/>
    <x v="9"/>
    <x v="3"/>
    <x v="9"/>
    <x v="1"/>
  </r>
  <r>
    <x v="573"/>
    <x v="573"/>
    <x v="0"/>
    <x v="31"/>
    <x v="4"/>
    <n v="4"/>
    <n v="2400.6799999999998"/>
    <x v="2"/>
    <x v="409"/>
    <x v="4"/>
    <x v="6"/>
    <x v="3"/>
    <x v="10"/>
    <x v="0"/>
  </r>
  <r>
    <x v="574"/>
    <x v="574"/>
    <x v="0"/>
    <x v="31"/>
    <x v="4"/>
    <n v="4"/>
    <n v="2400.6799999999998"/>
    <x v="0"/>
    <x v="238"/>
    <x v="7"/>
    <x v="6"/>
    <x v="3"/>
    <x v="6"/>
    <x v="1"/>
  </r>
  <r>
    <x v="575"/>
    <x v="575"/>
    <x v="1"/>
    <x v="31"/>
    <x v="2"/>
    <n v="3"/>
    <n v="15.69"/>
    <x v="0"/>
    <x v="165"/>
    <x v="4"/>
    <x v="2"/>
    <x v="3"/>
    <x v="8"/>
    <x v="0"/>
  </r>
  <r>
    <x v="576"/>
    <x v="576"/>
    <x v="1"/>
    <x v="32"/>
    <x v="1"/>
    <n v="5"/>
    <n v="1500.4"/>
    <x v="1"/>
    <x v="299"/>
    <x v="4"/>
    <x v="5"/>
    <x v="3"/>
    <x v="2"/>
    <x v="1"/>
  </r>
  <r>
    <x v="577"/>
    <x v="577"/>
    <x v="1"/>
    <x v="29"/>
    <x v="6"/>
    <n v="5"/>
    <n v="58.65"/>
    <x v="2"/>
    <x v="135"/>
    <x v="0"/>
    <x v="32"/>
    <x v="3"/>
    <x v="10"/>
    <x v="0"/>
  </r>
  <r>
    <x v="578"/>
    <x v="578"/>
    <x v="1"/>
    <x v="36"/>
    <x v="3"/>
    <n v="2"/>
    <n v="81.319999999999993"/>
    <x v="1"/>
    <x v="218"/>
    <x v="7"/>
    <x v="26"/>
    <x v="3"/>
    <x v="1"/>
    <x v="0"/>
  </r>
  <r>
    <x v="579"/>
    <x v="579"/>
    <x v="0"/>
    <x v="28"/>
    <x v="7"/>
    <n v="1"/>
    <n v="15.15"/>
    <x v="1"/>
    <x v="410"/>
    <x v="4"/>
    <x v="27"/>
    <x v="3"/>
    <x v="5"/>
    <x v="0"/>
  </r>
  <r>
    <x v="580"/>
    <x v="580"/>
    <x v="1"/>
    <x v="27"/>
    <x v="1"/>
    <n v="2"/>
    <n v="600.16"/>
    <x v="1"/>
    <x v="397"/>
    <x v="0"/>
    <x v="9"/>
    <x v="3"/>
    <x v="1"/>
    <x v="0"/>
  </r>
  <r>
    <x v="581"/>
    <x v="581"/>
    <x v="0"/>
    <x v="32"/>
    <x v="0"/>
    <n v="3"/>
    <n v="3150"/>
    <x v="0"/>
    <x v="411"/>
    <x v="6"/>
    <x v="39"/>
    <x v="3"/>
    <x v="1"/>
    <x v="0"/>
  </r>
  <r>
    <x v="582"/>
    <x v="582"/>
    <x v="1"/>
    <x v="27"/>
    <x v="1"/>
    <n v="4"/>
    <n v="1200.32"/>
    <x v="2"/>
    <x v="412"/>
    <x v="2"/>
    <x v="8"/>
    <x v="3"/>
    <x v="11"/>
    <x v="0"/>
  </r>
  <r>
    <x v="583"/>
    <x v="583"/>
    <x v="0"/>
    <x v="27"/>
    <x v="1"/>
    <n v="3"/>
    <n v="900.24"/>
    <x v="0"/>
    <x v="413"/>
    <x v="8"/>
    <x v="4"/>
    <x v="3"/>
    <x v="1"/>
    <x v="0"/>
  </r>
  <r>
    <x v="584"/>
    <x v="584"/>
    <x v="0"/>
    <x v="32"/>
    <x v="2"/>
    <n v="1"/>
    <n v="5.23"/>
    <x v="1"/>
    <x v="414"/>
    <x v="1"/>
    <x v="10"/>
    <x v="3"/>
    <x v="1"/>
    <x v="0"/>
  </r>
  <r>
    <x v="585"/>
    <x v="585"/>
    <x v="1"/>
    <x v="27"/>
    <x v="1"/>
    <n v="5"/>
    <n v="1500.4"/>
    <x v="0"/>
    <x v="415"/>
    <x v="0"/>
    <x v="5"/>
    <x v="3"/>
    <x v="8"/>
    <x v="1"/>
  </r>
  <r>
    <x v="586"/>
    <x v="586"/>
    <x v="1"/>
    <x v="28"/>
    <x v="1"/>
    <n v="2"/>
    <n v="600.16"/>
    <x v="0"/>
    <x v="306"/>
    <x v="8"/>
    <x v="9"/>
    <x v="3"/>
    <x v="3"/>
    <x v="0"/>
  </r>
  <r>
    <x v="587"/>
    <x v="587"/>
    <x v="0"/>
    <x v="36"/>
    <x v="1"/>
    <n v="4"/>
    <n v="1200.32"/>
    <x v="1"/>
    <x v="357"/>
    <x v="7"/>
    <x v="8"/>
    <x v="3"/>
    <x v="5"/>
    <x v="1"/>
  </r>
  <r>
    <x v="588"/>
    <x v="588"/>
    <x v="0"/>
    <x v="27"/>
    <x v="5"/>
    <n v="4"/>
    <n v="143.36000000000001"/>
    <x v="2"/>
    <x v="416"/>
    <x v="8"/>
    <x v="7"/>
    <x v="3"/>
    <x v="1"/>
    <x v="1"/>
  </r>
  <r>
    <x v="589"/>
    <x v="589"/>
    <x v="1"/>
    <x v="33"/>
    <x v="4"/>
    <n v="4"/>
    <n v="2400.6799999999998"/>
    <x v="1"/>
    <x v="102"/>
    <x v="4"/>
    <x v="6"/>
    <x v="3"/>
    <x v="8"/>
    <x v="0"/>
  </r>
  <r>
    <x v="590"/>
    <x v="590"/>
    <x v="0"/>
    <x v="28"/>
    <x v="3"/>
    <n v="4"/>
    <n v="162.63999999999999"/>
    <x v="0"/>
    <x v="417"/>
    <x v="8"/>
    <x v="15"/>
    <x v="3"/>
    <x v="1"/>
    <x v="1"/>
  </r>
  <r>
    <x v="591"/>
    <x v="591"/>
    <x v="0"/>
    <x v="34"/>
    <x v="1"/>
    <n v="2"/>
    <n v="600.16"/>
    <x v="1"/>
    <x v="418"/>
    <x v="4"/>
    <x v="9"/>
    <x v="3"/>
    <x v="6"/>
    <x v="1"/>
  </r>
  <r>
    <x v="592"/>
    <x v="592"/>
    <x v="0"/>
    <x v="34"/>
    <x v="7"/>
    <n v="3"/>
    <n v="45.45"/>
    <x v="0"/>
    <x v="419"/>
    <x v="1"/>
    <x v="25"/>
    <x v="3"/>
    <x v="4"/>
    <x v="1"/>
  </r>
  <r>
    <x v="593"/>
    <x v="593"/>
    <x v="0"/>
    <x v="27"/>
    <x v="1"/>
    <n v="3"/>
    <n v="900.24"/>
    <x v="1"/>
    <x v="420"/>
    <x v="2"/>
    <x v="4"/>
    <x v="3"/>
    <x v="10"/>
    <x v="1"/>
  </r>
  <r>
    <x v="594"/>
    <x v="594"/>
    <x v="1"/>
    <x v="33"/>
    <x v="5"/>
    <n v="2"/>
    <n v="71.680000000000007"/>
    <x v="1"/>
    <x v="312"/>
    <x v="3"/>
    <x v="14"/>
    <x v="3"/>
    <x v="11"/>
    <x v="1"/>
  </r>
  <r>
    <x v="595"/>
    <x v="595"/>
    <x v="1"/>
    <x v="28"/>
    <x v="7"/>
    <n v="3"/>
    <n v="45.45"/>
    <x v="0"/>
    <x v="421"/>
    <x v="8"/>
    <x v="25"/>
    <x v="3"/>
    <x v="10"/>
    <x v="2"/>
  </r>
  <r>
    <x v="596"/>
    <x v="596"/>
    <x v="0"/>
    <x v="27"/>
    <x v="7"/>
    <n v="4"/>
    <n v="60.6"/>
    <x v="1"/>
    <x v="128"/>
    <x v="0"/>
    <x v="21"/>
    <x v="3"/>
    <x v="5"/>
    <x v="1"/>
  </r>
  <r>
    <x v="597"/>
    <x v="597"/>
    <x v="0"/>
    <x v="36"/>
    <x v="6"/>
    <n v="5"/>
    <n v="58.65"/>
    <x v="2"/>
    <x v="422"/>
    <x v="2"/>
    <x v="32"/>
    <x v="3"/>
    <x v="4"/>
    <x v="1"/>
  </r>
  <r>
    <x v="598"/>
    <x v="598"/>
    <x v="1"/>
    <x v="31"/>
    <x v="1"/>
    <n v="2"/>
    <n v="600.16"/>
    <x v="1"/>
    <x v="423"/>
    <x v="2"/>
    <x v="9"/>
    <x v="3"/>
    <x v="6"/>
    <x v="1"/>
  </r>
  <r>
    <x v="599"/>
    <x v="599"/>
    <x v="0"/>
    <x v="35"/>
    <x v="1"/>
    <n v="3"/>
    <n v="900.24"/>
    <x v="0"/>
    <x v="424"/>
    <x v="3"/>
    <x v="4"/>
    <x v="3"/>
    <x v="5"/>
    <x v="0"/>
  </r>
  <r>
    <x v="600"/>
    <x v="600"/>
    <x v="0"/>
    <x v="31"/>
    <x v="1"/>
    <n v="5"/>
    <n v="1500.4"/>
    <x v="0"/>
    <x v="425"/>
    <x v="9"/>
    <x v="5"/>
    <x v="3"/>
    <x v="2"/>
    <x v="0"/>
  </r>
  <r>
    <x v="601"/>
    <x v="601"/>
    <x v="0"/>
    <x v="33"/>
    <x v="5"/>
    <n v="4"/>
    <n v="143.36000000000001"/>
    <x v="0"/>
    <x v="51"/>
    <x v="6"/>
    <x v="7"/>
    <x v="3"/>
    <x v="3"/>
    <x v="0"/>
  </r>
  <r>
    <x v="602"/>
    <x v="602"/>
    <x v="0"/>
    <x v="31"/>
    <x v="1"/>
    <n v="4"/>
    <n v="1200.32"/>
    <x v="0"/>
    <x v="426"/>
    <x v="1"/>
    <x v="8"/>
    <x v="3"/>
    <x v="3"/>
    <x v="1"/>
  </r>
  <r>
    <x v="603"/>
    <x v="603"/>
    <x v="0"/>
    <x v="33"/>
    <x v="6"/>
    <n v="3"/>
    <n v="35.19"/>
    <x v="1"/>
    <x v="144"/>
    <x v="4"/>
    <x v="16"/>
    <x v="3"/>
    <x v="7"/>
    <x v="1"/>
  </r>
  <r>
    <x v="604"/>
    <x v="604"/>
    <x v="0"/>
    <x v="33"/>
    <x v="7"/>
    <n v="2"/>
    <n v="30.3"/>
    <x v="0"/>
    <x v="427"/>
    <x v="8"/>
    <x v="20"/>
    <x v="3"/>
    <x v="2"/>
    <x v="0"/>
  </r>
  <r>
    <x v="605"/>
    <x v="605"/>
    <x v="0"/>
    <x v="28"/>
    <x v="1"/>
    <n v="2"/>
    <n v="600.16"/>
    <x v="2"/>
    <x v="323"/>
    <x v="0"/>
    <x v="9"/>
    <x v="3"/>
    <x v="7"/>
    <x v="1"/>
  </r>
  <r>
    <x v="606"/>
    <x v="606"/>
    <x v="1"/>
    <x v="28"/>
    <x v="1"/>
    <n v="4"/>
    <n v="1200.32"/>
    <x v="0"/>
    <x v="428"/>
    <x v="4"/>
    <x v="8"/>
    <x v="3"/>
    <x v="1"/>
    <x v="0"/>
  </r>
  <r>
    <x v="607"/>
    <x v="607"/>
    <x v="0"/>
    <x v="32"/>
    <x v="2"/>
    <n v="2"/>
    <n v="10.46"/>
    <x v="0"/>
    <x v="344"/>
    <x v="3"/>
    <x v="13"/>
    <x v="3"/>
    <x v="5"/>
    <x v="0"/>
  </r>
  <r>
    <x v="608"/>
    <x v="608"/>
    <x v="1"/>
    <x v="33"/>
    <x v="1"/>
    <n v="5"/>
    <n v="1500.4"/>
    <x v="2"/>
    <x v="429"/>
    <x v="7"/>
    <x v="5"/>
    <x v="3"/>
    <x v="11"/>
    <x v="0"/>
  </r>
  <r>
    <x v="609"/>
    <x v="609"/>
    <x v="0"/>
    <x v="32"/>
    <x v="3"/>
    <n v="2"/>
    <n v="81.319999999999993"/>
    <x v="1"/>
    <x v="273"/>
    <x v="1"/>
    <x v="26"/>
    <x v="3"/>
    <x v="10"/>
    <x v="1"/>
  </r>
  <r>
    <x v="610"/>
    <x v="610"/>
    <x v="0"/>
    <x v="31"/>
    <x v="4"/>
    <n v="2"/>
    <n v="1200.3399999999999"/>
    <x v="1"/>
    <x v="111"/>
    <x v="1"/>
    <x v="24"/>
    <x v="3"/>
    <x v="10"/>
    <x v="2"/>
  </r>
  <r>
    <x v="611"/>
    <x v="611"/>
    <x v="0"/>
    <x v="31"/>
    <x v="5"/>
    <n v="3"/>
    <n v="107.52"/>
    <x v="2"/>
    <x v="341"/>
    <x v="9"/>
    <x v="23"/>
    <x v="3"/>
    <x v="3"/>
    <x v="1"/>
  </r>
  <r>
    <x v="612"/>
    <x v="612"/>
    <x v="0"/>
    <x v="31"/>
    <x v="1"/>
    <n v="2"/>
    <n v="600.16"/>
    <x v="2"/>
    <x v="430"/>
    <x v="1"/>
    <x v="9"/>
    <x v="3"/>
    <x v="4"/>
    <x v="1"/>
  </r>
  <r>
    <x v="613"/>
    <x v="613"/>
    <x v="0"/>
    <x v="27"/>
    <x v="1"/>
    <n v="4"/>
    <n v="1200.32"/>
    <x v="0"/>
    <x v="106"/>
    <x v="6"/>
    <x v="8"/>
    <x v="3"/>
    <x v="9"/>
    <x v="0"/>
  </r>
  <r>
    <x v="614"/>
    <x v="614"/>
    <x v="1"/>
    <x v="34"/>
    <x v="1"/>
    <n v="4"/>
    <n v="1200.32"/>
    <x v="2"/>
    <x v="431"/>
    <x v="4"/>
    <x v="8"/>
    <x v="3"/>
    <x v="5"/>
    <x v="1"/>
  </r>
  <r>
    <x v="615"/>
    <x v="615"/>
    <x v="0"/>
    <x v="35"/>
    <x v="0"/>
    <n v="5"/>
    <n v="5250"/>
    <x v="0"/>
    <x v="425"/>
    <x v="6"/>
    <x v="35"/>
    <x v="3"/>
    <x v="2"/>
    <x v="0"/>
  </r>
  <r>
    <x v="616"/>
    <x v="616"/>
    <x v="0"/>
    <x v="33"/>
    <x v="7"/>
    <n v="1"/>
    <n v="15.15"/>
    <x v="1"/>
    <x v="432"/>
    <x v="4"/>
    <x v="27"/>
    <x v="3"/>
    <x v="6"/>
    <x v="1"/>
  </r>
  <r>
    <x v="617"/>
    <x v="617"/>
    <x v="0"/>
    <x v="27"/>
    <x v="4"/>
    <n v="3"/>
    <n v="1800.51"/>
    <x v="0"/>
    <x v="433"/>
    <x v="5"/>
    <x v="37"/>
    <x v="3"/>
    <x v="7"/>
    <x v="1"/>
  </r>
  <r>
    <x v="618"/>
    <x v="618"/>
    <x v="0"/>
    <x v="31"/>
    <x v="1"/>
    <n v="4"/>
    <n v="1200.32"/>
    <x v="0"/>
    <x v="311"/>
    <x v="2"/>
    <x v="8"/>
    <x v="3"/>
    <x v="7"/>
    <x v="0"/>
  </r>
  <r>
    <x v="619"/>
    <x v="619"/>
    <x v="0"/>
    <x v="29"/>
    <x v="1"/>
    <n v="4"/>
    <n v="1200.32"/>
    <x v="0"/>
    <x v="434"/>
    <x v="5"/>
    <x v="8"/>
    <x v="3"/>
    <x v="4"/>
    <x v="0"/>
  </r>
  <r>
    <x v="620"/>
    <x v="620"/>
    <x v="1"/>
    <x v="32"/>
    <x v="2"/>
    <n v="3"/>
    <n v="15.69"/>
    <x v="1"/>
    <x v="435"/>
    <x v="6"/>
    <x v="2"/>
    <x v="3"/>
    <x v="1"/>
    <x v="1"/>
  </r>
  <r>
    <x v="621"/>
    <x v="621"/>
    <x v="0"/>
    <x v="32"/>
    <x v="3"/>
    <n v="2"/>
    <n v="81.319999999999993"/>
    <x v="0"/>
    <x v="378"/>
    <x v="0"/>
    <x v="26"/>
    <x v="3"/>
    <x v="9"/>
    <x v="1"/>
  </r>
  <r>
    <x v="622"/>
    <x v="622"/>
    <x v="1"/>
    <x v="30"/>
    <x v="1"/>
    <n v="1"/>
    <n v="300.08"/>
    <x v="2"/>
    <x v="436"/>
    <x v="4"/>
    <x v="1"/>
    <x v="3"/>
    <x v="10"/>
    <x v="1"/>
  </r>
  <r>
    <x v="623"/>
    <x v="623"/>
    <x v="1"/>
    <x v="32"/>
    <x v="3"/>
    <n v="3"/>
    <n v="121.98"/>
    <x v="0"/>
    <x v="32"/>
    <x v="1"/>
    <x v="3"/>
    <x v="3"/>
    <x v="11"/>
    <x v="0"/>
  </r>
  <r>
    <x v="624"/>
    <x v="624"/>
    <x v="0"/>
    <x v="31"/>
    <x v="6"/>
    <n v="4"/>
    <n v="46.92"/>
    <x v="0"/>
    <x v="19"/>
    <x v="6"/>
    <x v="28"/>
    <x v="3"/>
    <x v="0"/>
    <x v="1"/>
  </r>
  <r>
    <x v="625"/>
    <x v="625"/>
    <x v="0"/>
    <x v="35"/>
    <x v="1"/>
    <n v="4"/>
    <n v="1200.32"/>
    <x v="2"/>
    <x v="146"/>
    <x v="4"/>
    <x v="8"/>
    <x v="3"/>
    <x v="8"/>
    <x v="1"/>
  </r>
  <r>
    <x v="626"/>
    <x v="626"/>
    <x v="0"/>
    <x v="35"/>
    <x v="1"/>
    <n v="3"/>
    <n v="900.24"/>
    <x v="2"/>
    <x v="22"/>
    <x v="1"/>
    <x v="4"/>
    <x v="3"/>
    <x v="10"/>
    <x v="1"/>
  </r>
  <r>
    <x v="627"/>
    <x v="627"/>
    <x v="0"/>
    <x v="35"/>
    <x v="2"/>
    <n v="4"/>
    <n v="20.92"/>
    <x v="2"/>
    <x v="51"/>
    <x v="3"/>
    <x v="33"/>
    <x v="3"/>
    <x v="3"/>
    <x v="0"/>
  </r>
  <r>
    <x v="628"/>
    <x v="628"/>
    <x v="0"/>
    <x v="28"/>
    <x v="0"/>
    <n v="2"/>
    <n v="2100"/>
    <x v="1"/>
    <x v="124"/>
    <x v="3"/>
    <x v="19"/>
    <x v="3"/>
    <x v="9"/>
    <x v="1"/>
  </r>
  <r>
    <x v="629"/>
    <x v="629"/>
    <x v="0"/>
    <x v="34"/>
    <x v="1"/>
    <n v="1"/>
    <n v="300.08"/>
    <x v="0"/>
    <x v="190"/>
    <x v="0"/>
    <x v="1"/>
    <x v="3"/>
    <x v="2"/>
    <x v="2"/>
  </r>
  <r>
    <x v="630"/>
    <x v="630"/>
    <x v="1"/>
    <x v="28"/>
    <x v="3"/>
    <n v="2"/>
    <n v="81.319999999999993"/>
    <x v="1"/>
    <x v="435"/>
    <x v="4"/>
    <x v="26"/>
    <x v="3"/>
    <x v="1"/>
    <x v="1"/>
  </r>
  <r>
    <x v="631"/>
    <x v="631"/>
    <x v="0"/>
    <x v="28"/>
    <x v="4"/>
    <n v="3"/>
    <n v="1800.51"/>
    <x v="0"/>
    <x v="437"/>
    <x v="6"/>
    <x v="37"/>
    <x v="3"/>
    <x v="10"/>
    <x v="0"/>
  </r>
  <r>
    <x v="632"/>
    <x v="632"/>
    <x v="1"/>
    <x v="36"/>
    <x v="2"/>
    <n v="2"/>
    <n v="10.46"/>
    <x v="1"/>
    <x v="232"/>
    <x v="4"/>
    <x v="13"/>
    <x v="3"/>
    <x v="11"/>
    <x v="0"/>
  </r>
  <r>
    <x v="633"/>
    <x v="633"/>
    <x v="1"/>
    <x v="35"/>
    <x v="2"/>
    <n v="4"/>
    <n v="20.92"/>
    <x v="0"/>
    <x v="438"/>
    <x v="3"/>
    <x v="33"/>
    <x v="3"/>
    <x v="5"/>
    <x v="1"/>
  </r>
  <r>
    <x v="634"/>
    <x v="634"/>
    <x v="0"/>
    <x v="29"/>
    <x v="3"/>
    <n v="5"/>
    <n v="203.3"/>
    <x v="2"/>
    <x v="439"/>
    <x v="9"/>
    <x v="12"/>
    <x v="3"/>
    <x v="3"/>
    <x v="0"/>
  </r>
  <r>
    <x v="635"/>
    <x v="635"/>
    <x v="1"/>
    <x v="35"/>
    <x v="7"/>
    <n v="2"/>
    <n v="30.3"/>
    <x v="1"/>
    <x v="215"/>
    <x v="0"/>
    <x v="20"/>
    <x v="3"/>
    <x v="1"/>
    <x v="1"/>
  </r>
  <r>
    <x v="636"/>
    <x v="636"/>
    <x v="1"/>
    <x v="28"/>
    <x v="0"/>
    <n v="3"/>
    <n v="3150"/>
    <x v="0"/>
    <x v="440"/>
    <x v="1"/>
    <x v="39"/>
    <x v="3"/>
    <x v="10"/>
    <x v="1"/>
  </r>
  <r>
    <x v="637"/>
    <x v="637"/>
    <x v="1"/>
    <x v="31"/>
    <x v="1"/>
    <n v="2"/>
    <n v="600.16"/>
    <x v="1"/>
    <x v="441"/>
    <x v="1"/>
    <x v="9"/>
    <x v="3"/>
    <x v="6"/>
    <x v="0"/>
  </r>
  <r>
    <x v="638"/>
    <x v="638"/>
    <x v="0"/>
    <x v="28"/>
    <x v="4"/>
    <n v="1"/>
    <n v="600.16999999999996"/>
    <x v="0"/>
    <x v="442"/>
    <x v="9"/>
    <x v="38"/>
    <x v="3"/>
    <x v="6"/>
    <x v="1"/>
  </r>
  <r>
    <x v="639"/>
    <x v="639"/>
    <x v="0"/>
    <x v="33"/>
    <x v="2"/>
    <n v="5"/>
    <n v="26.15"/>
    <x v="2"/>
    <x v="443"/>
    <x v="4"/>
    <x v="22"/>
    <x v="3"/>
    <x v="0"/>
    <x v="1"/>
  </r>
  <r>
    <x v="640"/>
    <x v="640"/>
    <x v="0"/>
    <x v="34"/>
    <x v="1"/>
    <n v="5"/>
    <n v="1500.4"/>
    <x v="2"/>
    <x v="300"/>
    <x v="7"/>
    <x v="5"/>
    <x v="3"/>
    <x v="10"/>
    <x v="2"/>
  </r>
  <r>
    <x v="641"/>
    <x v="641"/>
    <x v="1"/>
    <x v="36"/>
    <x v="7"/>
    <n v="3"/>
    <n v="45.45"/>
    <x v="1"/>
    <x v="186"/>
    <x v="7"/>
    <x v="25"/>
    <x v="3"/>
    <x v="8"/>
    <x v="0"/>
  </r>
  <r>
    <x v="642"/>
    <x v="642"/>
    <x v="1"/>
    <x v="27"/>
    <x v="3"/>
    <n v="3"/>
    <n v="121.98"/>
    <x v="0"/>
    <x v="444"/>
    <x v="0"/>
    <x v="3"/>
    <x v="3"/>
    <x v="7"/>
    <x v="1"/>
  </r>
  <r>
    <x v="643"/>
    <x v="643"/>
    <x v="0"/>
    <x v="27"/>
    <x v="3"/>
    <n v="1"/>
    <n v="40.659999999999997"/>
    <x v="2"/>
    <x v="406"/>
    <x v="0"/>
    <x v="29"/>
    <x v="3"/>
    <x v="5"/>
    <x v="0"/>
  </r>
  <r>
    <x v="644"/>
    <x v="644"/>
    <x v="0"/>
    <x v="31"/>
    <x v="6"/>
    <n v="3"/>
    <n v="35.19"/>
    <x v="0"/>
    <x v="274"/>
    <x v="5"/>
    <x v="16"/>
    <x v="3"/>
    <x v="4"/>
    <x v="0"/>
  </r>
  <r>
    <x v="645"/>
    <x v="645"/>
    <x v="1"/>
    <x v="27"/>
    <x v="1"/>
    <n v="5"/>
    <n v="1500.4"/>
    <x v="2"/>
    <x v="192"/>
    <x v="1"/>
    <x v="5"/>
    <x v="3"/>
    <x v="10"/>
    <x v="2"/>
  </r>
  <r>
    <x v="646"/>
    <x v="646"/>
    <x v="0"/>
    <x v="31"/>
    <x v="6"/>
    <n v="4"/>
    <n v="46.92"/>
    <x v="0"/>
    <x v="266"/>
    <x v="0"/>
    <x v="28"/>
    <x v="3"/>
    <x v="4"/>
    <x v="1"/>
  </r>
  <r>
    <x v="647"/>
    <x v="647"/>
    <x v="0"/>
    <x v="35"/>
    <x v="1"/>
    <n v="4"/>
    <n v="1200.32"/>
    <x v="2"/>
    <x v="445"/>
    <x v="0"/>
    <x v="8"/>
    <x v="3"/>
    <x v="11"/>
    <x v="0"/>
  </r>
  <r>
    <x v="648"/>
    <x v="648"/>
    <x v="1"/>
    <x v="32"/>
    <x v="3"/>
    <n v="3"/>
    <n v="121.98"/>
    <x v="2"/>
    <x v="446"/>
    <x v="4"/>
    <x v="3"/>
    <x v="3"/>
    <x v="6"/>
    <x v="0"/>
  </r>
  <r>
    <x v="649"/>
    <x v="649"/>
    <x v="0"/>
    <x v="28"/>
    <x v="5"/>
    <n v="4"/>
    <n v="143.36000000000001"/>
    <x v="1"/>
    <x v="417"/>
    <x v="5"/>
    <x v="7"/>
    <x v="3"/>
    <x v="1"/>
    <x v="1"/>
  </r>
  <r>
    <x v="650"/>
    <x v="650"/>
    <x v="0"/>
    <x v="35"/>
    <x v="2"/>
    <n v="4"/>
    <n v="20.92"/>
    <x v="2"/>
    <x v="447"/>
    <x v="5"/>
    <x v="33"/>
    <x v="3"/>
    <x v="2"/>
    <x v="0"/>
  </r>
  <r>
    <x v="651"/>
    <x v="651"/>
    <x v="0"/>
    <x v="33"/>
    <x v="5"/>
    <n v="2"/>
    <n v="71.680000000000007"/>
    <x v="2"/>
    <x v="448"/>
    <x v="3"/>
    <x v="14"/>
    <x v="3"/>
    <x v="9"/>
    <x v="1"/>
  </r>
  <r>
    <x v="652"/>
    <x v="652"/>
    <x v="1"/>
    <x v="29"/>
    <x v="2"/>
    <n v="1"/>
    <n v="5.23"/>
    <x v="1"/>
    <x v="449"/>
    <x v="4"/>
    <x v="10"/>
    <x v="3"/>
    <x v="4"/>
    <x v="1"/>
  </r>
  <r>
    <x v="653"/>
    <x v="653"/>
    <x v="0"/>
    <x v="34"/>
    <x v="4"/>
    <n v="5"/>
    <n v="3000.85"/>
    <x v="1"/>
    <x v="202"/>
    <x v="7"/>
    <x v="34"/>
    <x v="3"/>
    <x v="5"/>
    <x v="1"/>
  </r>
  <r>
    <x v="654"/>
    <x v="654"/>
    <x v="1"/>
    <x v="32"/>
    <x v="1"/>
    <n v="2"/>
    <n v="600.16"/>
    <x v="0"/>
    <x v="287"/>
    <x v="6"/>
    <x v="9"/>
    <x v="3"/>
    <x v="8"/>
    <x v="1"/>
  </r>
  <r>
    <x v="655"/>
    <x v="655"/>
    <x v="0"/>
    <x v="30"/>
    <x v="1"/>
    <n v="1"/>
    <n v="300.08"/>
    <x v="1"/>
    <x v="450"/>
    <x v="5"/>
    <x v="1"/>
    <x v="3"/>
    <x v="3"/>
    <x v="1"/>
  </r>
  <r>
    <x v="656"/>
    <x v="656"/>
    <x v="0"/>
    <x v="34"/>
    <x v="4"/>
    <n v="4"/>
    <n v="2400.6799999999998"/>
    <x v="0"/>
    <x v="227"/>
    <x v="9"/>
    <x v="6"/>
    <x v="3"/>
    <x v="2"/>
    <x v="0"/>
  </r>
  <r>
    <x v="657"/>
    <x v="657"/>
    <x v="0"/>
    <x v="30"/>
    <x v="3"/>
    <n v="2"/>
    <n v="81.319999999999993"/>
    <x v="2"/>
    <x v="451"/>
    <x v="3"/>
    <x v="26"/>
    <x v="3"/>
    <x v="11"/>
    <x v="0"/>
  </r>
  <r>
    <x v="658"/>
    <x v="658"/>
    <x v="0"/>
    <x v="27"/>
    <x v="6"/>
    <n v="3"/>
    <n v="35.19"/>
    <x v="0"/>
    <x v="375"/>
    <x v="2"/>
    <x v="16"/>
    <x v="3"/>
    <x v="2"/>
    <x v="0"/>
  </r>
  <r>
    <x v="659"/>
    <x v="659"/>
    <x v="1"/>
    <x v="29"/>
    <x v="5"/>
    <n v="3"/>
    <n v="107.52"/>
    <x v="0"/>
    <x v="67"/>
    <x v="9"/>
    <x v="23"/>
    <x v="3"/>
    <x v="2"/>
    <x v="1"/>
  </r>
  <r>
    <x v="660"/>
    <x v="660"/>
    <x v="0"/>
    <x v="30"/>
    <x v="4"/>
    <n v="3"/>
    <n v="1800.51"/>
    <x v="0"/>
    <x v="452"/>
    <x v="0"/>
    <x v="37"/>
    <x v="3"/>
    <x v="9"/>
    <x v="0"/>
  </r>
  <r>
    <x v="661"/>
    <x v="661"/>
    <x v="0"/>
    <x v="34"/>
    <x v="1"/>
    <n v="2"/>
    <n v="600.16"/>
    <x v="0"/>
    <x v="117"/>
    <x v="8"/>
    <x v="9"/>
    <x v="3"/>
    <x v="3"/>
    <x v="1"/>
  </r>
  <r>
    <x v="662"/>
    <x v="662"/>
    <x v="0"/>
    <x v="32"/>
    <x v="3"/>
    <n v="4"/>
    <n v="162.63999999999999"/>
    <x v="0"/>
    <x v="453"/>
    <x v="1"/>
    <x v="15"/>
    <x v="3"/>
    <x v="2"/>
    <x v="1"/>
  </r>
  <r>
    <x v="663"/>
    <x v="663"/>
    <x v="1"/>
    <x v="35"/>
    <x v="4"/>
    <n v="4"/>
    <n v="2400.6799999999998"/>
    <x v="0"/>
    <x v="303"/>
    <x v="1"/>
    <x v="6"/>
    <x v="3"/>
    <x v="5"/>
    <x v="0"/>
  </r>
  <r>
    <x v="664"/>
    <x v="664"/>
    <x v="0"/>
    <x v="34"/>
    <x v="4"/>
    <n v="5"/>
    <n v="3000.85"/>
    <x v="0"/>
    <x v="242"/>
    <x v="1"/>
    <x v="34"/>
    <x v="3"/>
    <x v="3"/>
    <x v="1"/>
  </r>
  <r>
    <x v="665"/>
    <x v="665"/>
    <x v="1"/>
    <x v="31"/>
    <x v="3"/>
    <n v="4"/>
    <n v="162.63999999999999"/>
    <x v="1"/>
    <x v="74"/>
    <x v="2"/>
    <x v="15"/>
    <x v="3"/>
    <x v="0"/>
    <x v="1"/>
  </r>
  <r>
    <x v="666"/>
    <x v="666"/>
    <x v="0"/>
    <x v="33"/>
    <x v="1"/>
    <n v="2"/>
    <n v="600.16"/>
    <x v="0"/>
    <x v="448"/>
    <x v="4"/>
    <x v="9"/>
    <x v="3"/>
    <x v="9"/>
    <x v="1"/>
  </r>
  <r>
    <x v="667"/>
    <x v="667"/>
    <x v="0"/>
    <x v="35"/>
    <x v="4"/>
    <n v="2"/>
    <n v="1200.3399999999999"/>
    <x v="0"/>
    <x v="454"/>
    <x v="1"/>
    <x v="24"/>
    <x v="3"/>
    <x v="8"/>
    <x v="0"/>
  </r>
  <r>
    <x v="668"/>
    <x v="668"/>
    <x v="0"/>
    <x v="30"/>
    <x v="1"/>
    <n v="3"/>
    <n v="900.24"/>
    <x v="1"/>
    <x v="455"/>
    <x v="4"/>
    <x v="4"/>
    <x v="3"/>
    <x v="2"/>
    <x v="2"/>
  </r>
  <r>
    <x v="669"/>
    <x v="669"/>
    <x v="1"/>
    <x v="34"/>
    <x v="1"/>
    <n v="4"/>
    <n v="1200.32"/>
    <x v="2"/>
    <x v="456"/>
    <x v="4"/>
    <x v="8"/>
    <x v="3"/>
    <x v="0"/>
    <x v="0"/>
  </r>
  <r>
    <x v="670"/>
    <x v="670"/>
    <x v="1"/>
    <x v="32"/>
    <x v="1"/>
    <n v="2"/>
    <n v="600.16"/>
    <x v="0"/>
    <x v="457"/>
    <x v="1"/>
    <x v="9"/>
    <x v="3"/>
    <x v="8"/>
    <x v="1"/>
  </r>
  <r>
    <x v="671"/>
    <x v="671"/>
    <x v="1"/>
    <x v="33"/>
    <x v="1"/>
    <n v="3"/>
    <n v="900.24"/>
    <x v="1"/>
    <x v="415"/>
    <x v="3"/>
    <x v="4"/>
    <x v="3"/>
    <x v="8"/>
    <x v="1"/>
  </r>
  <r>
    <x v="672"/>
    <x v="672"/>
    <x v="0"/>
    <x v="35"/>
    <x v="2"/>
    <n v="1"/>
    <n v="5.23"/>
    <x v="2"/>
    <x v="458"/>
    <x v="4"/>
    <x v="10"/>
    <x v="3"/>
    <x v="6"/>
    <x v="1"/>
  </r>
  <r>
    <x v="673"/>
    <x v="673"/>
    <x v="0"/>
    <x v="29"/>
    <x v="2"/>
    <n v="5"/>
    <n v="26.15"/>
    <x v="2"/>
    <x v="459"/>
    <x v="4"/>
    <x v="22"/>
    <x v="3"/>
    <x v="2"/>
    <x v="1"/>
  </r>
  <r>
    <x v="674"/>
    <x v="674"/>
    <x v="0"/>
    <x v="29"/>
    <x v="4"/>
    <n v="1"/>
    <n v="600.16999999999996"/>
    <x v="1"/>
    <x v="204"/>
    <x v="4"/>
    <x v="38"/>
    <x v="3"/>
    <x v="1"/>
    <x v="1"/>
  </r>
  <r>
    <x v="675"/>
    <x v="675"/>
    <x v="1"/>
    <x v="31"/>
    <x v="5"/>
    <n v="3"/>
    <n v="107.52"/>
    <x v="2"/>
    <x v="2"/>
    <x v="8"/>
    <x v="23"/>
    <x v="3"/>
    <x v="1"/>
    <x v="0"/>
  </r>
  <r>
    <x v="676"/>
    <x v="676"/>
    <x v="0"/>
    <x v="29"/>
    <x v="1"/>
    <n v="4"/>
    <n v="1200.32"/>
    <x v="2"/>
    <x v="460"/>
    <x v="1"/>
    <x v="8"/>
    <x v="3"/>
    <x v="9"/>
    <x v="0"/>
  </r>
  <r>
    <x v="677"/>
    <x v="677"/>
    <x v="1"/>
    <x v="31"/>
    <x v="5"/>
    <n v="4"/>
    <n v="143.36000000000001"/>
    <x v="0"/>
    <x v="110"/>
    <x v="1"/>
    <x v="7"/>
    <x v="3"/>
    <x v="0"/>
    <x v="0"/>
  </r>
  <r>
    <x v="678"/>
    <x v="678"/>
    <x v="0"/>
    <x v="32"/>
    <x v="5"/>
    <n v="5"/>
    <n v="179.2"/>
    <x v="0"/>
    <x v="461"/>
    <x v="0"/>
    <x v="17"/>
    <x v="3"/>
    <x v="8"/>
    <x v="0"/>
  </r>
  <r>
    <x v="679"/>
    <x v="679"/>
    <x v="0"/>
    <x v="30"/>
    <x v="1"/>
    <n v="5"/>
    <n v="1500.4"/>
    <x v="0"/>
    <x v="462"/>
    <x v="1"/>
    <x v="5"/>
    <x v="3"/>
    <x v="1"/>
    <x v="1"/>
  </r>
  <r>
    <x v="680"/>
    <x v="680"/>
    <x v="0"/>
    <x v="32"/>
    <x v="2"/>
    <n v="2"/>
    <n v="10.46"/>
    <x v="0"/>
    <x v="275"/>
    <x v="1"/>
    <x v="13"/>
    <x v="3"/>
    <x v="7"/>
    <x v="1"/>
  </r>
  <r>
    <x v="681"/>
    <x v="681"/>
    <x v="1"/>
    <x v="32"/>
    <x v="1"/>
    <n v="1"/>
    <n v="300.08"/>
    <x v="1"/>
    <x v="463"/>
    <x v="0"/>
    <x v="1"/>
    <x v="3"/>
    <x v="0"/>
    <x v="0"/>
  </r>
  <r>
    <x v="682"/>
    <x v="682"/>
    <x v="0"/>
    <x v="27"/>
    <x v="4"/>
    <n v="1"/>
    <n v="600.16999999999996"/>
    <x v="0"/>
    <x v="139"/>
    <x v="3"/>
    <x v="38"/>
    <x v="3"/>
    <x v="0"/>
    <x v="1"/>
  </r>
  <r>
    <x v="683"/>
    <x v="683"/>
    <x v="1"/>
    <x v="29"/>
    <x v="1"/>
    <n v="5"/>
    <n v="1500.4"/>
    <x v="1"/>
    <x v="464"/>
    <x v="0"/>
    <x v="5"/>
    <x v="3"/>
    <x v="11"/>
    <x v="1"/>
  </r>
  <r>
    <x v="684"/>
    <x v="684"/>
    <x v="0"/>
    <x v="27"/>
    <x v="1"/>
    <n v="4"/>
    <n v="1200.32"/>
    <x v="0"/>
    <x v="299"/>
    <x v="2"/>
    <x v="8"/>
    <x v="3"/>
    <x v="2"/>
    <x v="1"/>
  </r>
  <r>
    <x v="685"/>
    <x v="685"/>
    <x v="1"/>
    <x v="28"/>
    <x v="3"/>
    <n v="4"/>
    <n v="162.63999999999999"/>
    <x v="1"/>
    <x v="2"/>
    <x v="0"/>
    <x v="15"/>
    <x v="3"/>
    <x v="1"/>
    <x v="0"/>
  </r>
  <r>
    <x v="686"/>
    <x v="686"/>
    <x v="1"/>
    <x v="29"/>
    <x v="7"/>
    <n v="1"/>
    <n v="15.15"/>
    <x v="1"/>
    <x v="465"/>
    <x v="4"/>
    <x v="27"/>
    <x v="3"/>
    <x v="6"/>
    <x v="1"/>
  </r>
  <r>
    <x v="687"/>
    <x v="687"/>
    <x v="0"/>
    <x v="31"/>
    <x v="2"/>
    <n v="2"/>
    <n v="10.46"/>
    <x v="0"/>
    <x v="430"/>
    <x v="3"/>
    <x v="13"/>
    <x v="3"/>
    <x v="4"/>
    <x v="1"/>
  </r>
  <r>
    <x v="688"/>
    <x v="688"/>
    <x v="1"/>
    <x v="33"/>
    <x v="1"/>
    <n v="2"/>
    <n v="600.16"/>
    <x v="2"/>
    <x v="466"/>
    <x v="1"/>
    <x v="9"/>
    <x v="3"/>
    <x v="1"/>
    <x v="0"/>
  </r>
  <r>
    <x v="689"/>
    <x v="689"/>
    <x v="0"/>
    <x v="31"/>
    <x v="0"/>
    <n v="1"/>
    <n v="1050"/>
    <x v="0"/>
    <x v="467"/>
    <x v="0"/>
    <x v="11"/>
    <x v="3"/>
    <x v="5"/>
    <x v="1"/>
  </r>
  <r>
    <x v="690"/>
    <x v="690"/>
    <x v="0"/>
    <x v="33"/>
    <x v="5"/>
    <n v="5"/>
    <n v="179.2"/>
    <x v="0"/>
    <x v="461"/>
    <x v="1"/>
    <x v="17"/>
    <x v="3"/>
    <x v="8"/>
    <x v="0"/>
  </r>
  <r>
    <x v="691"/>
    <x v="691"/>
    <x v="1"/>
    <x v="27"/>
    <x v="1"/>
    <n v="5"/>
    <n v="1500.4"/>
    <x v="0"/>
    <x v="146"/>
    <x v="9"/>
    <x v="5"/>
    <x v="3"/>
    <x v="8"/>
    <x v="1"/>
  </r>
  <r>
    <x v="692"/>
    <x v="692"/>
    <x v="0"/>
    <x v="32"/>
    <x v="1"/>
    <n v="5"/>
    <n v="1500.4"/>
    <x v="2"/>
    <x v="404"/>
    <x v="1"/>
    <x v="5"/>
    <x v="3"/>
    <x v="1"/>
    <x v="1"/>
  </r>
  <r>
    <x v="693"/>
    <x v="693"/>
    <x v="0"/>
    <x v="36"/>
    <x v="6"/>
    <n v="5"/>
    <n v="58.65"/>
    <x v="0"/>
    <x v="468"/>
    <x v="0"/>
    <x v="32"/>
    <x v="3"/>
    <x v="9"/>
    <x v="1"/>
  </r>
  <r>
    <x v="694"/>
    <x v="694"/>
    <x v="1"/>
    <x v="28"/>
    <x v="3"/>
    <n v="2"/>
    <n v="81.319999999999993"/>
    <x v="1"/>
    <x v="269"/>
    <x v="0"/>
    <x v="26"/>
    <x v="3"/>
    <x v="2"/>
    <x v="2"/>
  </r>
  <r>
    <x v="695"/>
    <x v="695"/>
    <x v="1"/>
    <x v="35"/>
    <x v="2"/>
    <n v="2"/>
    <n v="10.46"/>
    <x v="0"/>
    <x v="469"/>
    <x v="9"/>
    <x v="13"/>
    <x v="3"/>
    <x v="6"/>
    <x v="0"/>
  </r>
  <r>
    <x v="696"/>
    <x v="696"/>
    <x v="0"/>
    <x v="32"/>
    <x v="2"/>
    <n v="5"/>
    <n v="26.15"/>
    <x v="0"/>
    <x v="468"/>
    <x v="1"/>
    <x v="22"/>
    <x v="3"/>
    <x v="9"/>
    <x v="1"/>
  </r>
  <r>
    <x v="697"/>
    <x v="697"/>
    <x v="1"/>
    <x v="36"/>
    <x v="6"/>
    <n v="3"/>
    <n v="35.19"/>
    <x v="2"/>
    <x v="138"/>
    <x v="4"/>
    <x v="16"/>
    <x v="3"/>
    <x v="11"/>
    <x v="0"/>
  </r>
  <r>
    <x v="698"/>
    <x v="698"/>
    <x v="0"/>
    <x v="27"/>
    <x v="1"/>
    <n v="2"/>
    <n v="600.16"/>
    <x v="0"/>
    <x v="172"/>
    <x v="0"/>
    <x v="9"/>
    <x v="3"/>
    <x v="8"/>
    <x v="1"/>
  </r>
  <r>
    <x v="699"/>
    <x v="699"/>
    <x v="0"/>
    <x v="31"/>
    <x v="5"/>
    <n v="5"/>
    <n v="179.2"/>
    <x v="1"/>
    <x v="350"/>
    <x v="1"/>
    <x v="17"/>
    <x v="3"/>
    <x v="11"/>
    <x v="1"/>
  </r>
  <r>
    <x v="700"/>
    <x v="700"/>
    <x v="0"/>
    <x v="31"/>
    <x v="3"/>
    <n v="2"/>
    <n v="81.319999999999993"/>
    <x v="0"/>
    <x v="207"/>
    <x v="1"/>
    <x v="26"/>
    <x v="3"/>
    <x v="0"/>
    <x v="0"/>
  </r>
  <r>
    <x v="701"/>
    <x v="701"/>
    <x v="0"/>
    <x v="33"/>
    <x v="1"/>
    <n v="3"/>
    <n v="900.24"/>
    <x v="1"/>
    <x v="470"/>
    <x v="3"/>
    <x v="4"/>
    <x v="3"/>
    <x v="9"/>
    <x v="0"/>
  </r>
  <r>
    <x v="702"/>
    <x v="702"/>
    <x v="0"/>
    <x v="36"/>
    <x v="4"/>
    <n v="1"/>
    <n v="600.16999999999996"/>
    <x v="0"/>
    <x v="471"/>
    <x v="1"/>
    <x v="38"/>
    <x v="3"/>
    <x v="7"/>
    <x v="1"/>
  </r>
  <r>
    <x v="703"/>
    <x v="703"/>
    <x v="0"/>
    <x v="32"/>
    <x v="1"/>
    <n v="5"/>
    <n v="1500.4"/>
    <x v="0"/>
    <x v="462"/>
    <x v="8"/>
    <x v="5"/>
    <x v="3"/>
    <x v="1"/>
    <x v="1"/>
  </r>
  <r>
    <x v="704"/>
    <x v="704"/>
    <x v="0"/>
    <x v="35"/>
    <x v="2"/>
    <n v="5"/>
    <n v="26.15"/>
    <x v="1"/>
    <x v="92"/>
    <x v="4"/>
    <x v="22"/>
    <x v="3"/>
    <x v="10"/>
    <x v="2"/>
  </r>
  <r>
    <x v="705"/>
    <x v="705"/>
    <x v="0"/>
    <x v="32"/>
    <x v="3"/>
    <n v="4"/>
    <n v="162.63999999999999"/>
    <x v="0"/>
    <x v="472"/>
    <x v="3"/>
    <x v="15"/>
    <x v="3"/>
    <x v="10"/>
    <x v="0"/>
  </r>
  <r>
    <x v="706"/>
    <x v="706"/>
    <x v="0"/>
    <x v="28"/>
    <x v="3"/>
    <n v="4"/>
    <n v="162.63999999999999"/>
    <x v="0"/>
    <x v="282"/>
    <x v="1"/>
    <x v="15"/>
    <x v="3"/>
    <x v="7"/>
    <x v="0"/>
  </r>
  <r>
    <x v="707"/>
    <x v="707"/>
    <x v="1"/>
    <x v="37"/>
    <x v="1"/>
    <n v="5"/>
    <n v="1500.4"/>
    <x v="0"/>
    <x v="95"/>
    <x v="2"/>
    <x v="5"/>
    <x v="4"/>
    <x v="3"/>
    <x v="0"/>
  </r>
  <r>
    <x v="708"/>
    <x v="708"/>
    <x v="1"/>
    <x v="38"/>
    <x v="3"/>
    <n v="5"/>
    <n v="203.3"/>
    <x v="0"/>
    <x v="435"/>
    <x v="8"/>
    <x v="12"/>
    <x v="4"/>
    <x v="1"/>
    <x v="1"/>
  </r>
  <r>
    <x v="709"/>
    <x v="709"/>
    <x v="0"/>
    <x v="39"/>
    <x v="7"/>
    <n v="3"/>
    <n v="45.45"/>
    <x v="1"/>
    <x v="372"/>
    <x v="2"/>
    <x v="25"/>
    <x v="4"/>
    <x v="2"/>
    <x v="2"/>
  </r>
  <r>
    <x v="710"/>
    <x v="710"/>
    <x v="1"/>
    <x v="40"/>
    <x v="2"/>
    <n v="4"/>
    <n v="20.92"/>
    <x v="1"/>
    <x v="418"/>
    <x v="9"/>
    <x v="33"/>
    <x v="4"/>
    <x v="6"/>
    <x v="1"/>
  </r>
  <r>
    <x v="711"/>
    <x v="711"/>
    <x v="0"/>
    <x v="41"/>
    <x v="1"/>
    <n v="1"/>
    <n v="300.08"/>
    <x v="2"/>
    <x v="473"/>
    <x v="4"/>
    <x v="1"/>
    <x v="4"/>
    <x v="1"/>
    <x v="1"/>
  </r>
  <r>
    <x v="712"/>
    <x v="712"/>
    <x v="1"/>
    <x v="42"/>
    <x v="0"/>
    <n v="5"/>
    <n v="5250"/>
    <x v="2"/>
    <x v="474"/>
    <x v="6"/>
    <x v="35"/>
    <x v="4"/>
    <x v="7"/>
    <x v="1"/>
  </r>
  <r>
    <x v="713"/>
    <x v="713"/>
    <x v="1"/>
    <x v="38"/>
    <x v="5"/>
    <n v="4"/>
    <n v="143.36000000000001"/>
    <x v="1"/>
    <x v="288"/>
    <x v="6"/>
    <x v="7"/>
    <x v="4"/>
    <x v="5"/>
    <x v="0"/>
  </r>
  <r>
    <x v="714"/>
    <x v="714"/>
    <x v="0"/>
    <x v="43"/>
    <x v="4"/>
    <n v="2"/>
    <n v="1200.3399999999999"/>
    <x v="1"/>
    <x v="475"/>
    <x v="4"/>
    <x v="24"/>
    <x v="4"/>
    <x v="6"/>
    <x v="0"/>
  </r>
  <r>
    <x v="715"/>
    <x v="715"/>
    <x v="0"/>
    <x v="41"/>
    <x v="1"/>
    <n v="5"/>
    <n v="1500.4"/>
    <x v="0"/>
    <x v="232"/>
    <x v="2"/>
    <x v="5"/>
    <x v="4"/>
    <x v="11"/>
    <x v="0"/>
  </r>
  <r>
    <x v="716"/>
    <x v="716"/>
    <x v="0"/>
    <x v="43"/>
    <x v="5"/>
    <n v="2"/>
    <n v="71.680000000000007"/>
    <x v="0"/>
    <x v="476"/>
    <x v="6"/>
    <x v="14"/>
    <x v="4"/>
    <x v="4"/>
    <x v="1"/>
  </r>
  <r>
    <x v="717"/>
    <x v="717"/>
    <x v="1"/>
    <x v="44"/>
    <x v="1"/>
    <n v="2"/>
    <n v="600.16"/>
    <x v="0"/>
    <x v="477"/>
    <x v="3"/>
    <x v="9"/>
    <x v="4"/>
    <x v="9"/>
    <x v="1"/>
  </r>
  <r>
    <x v="718"/>
    <x v="718"/>
    <x v="0"/>
    <x v="41"/>
    <x v="2"/>
    <n v="4"/>
    <n v="20.92"/>
    <x v="1"/>
    <x v="247"/>
    <x v="0"/>
    <x v="33"/>
    <x v="4"/>
    <x v="7"/>
    <x v="0"/>
  </r>
  <r>
    <x v="719"/>
    <x v="719"/>
    <x v="0"/>
    <x v="44"/>
    <x v="3"/>
    <n v="3"/>
    <n v="121.98"/>
    <x v="0"/>
    <x v="478"/>
    <x v="6"/>
    <x v="3"/>
    <x v="4"/>
    <x v="9"/>
    <x v="0"/>
  </r>
  <r>
    <x v="720"/>
    <x v="720"/>
    <x v="0"/>
    <x v="37"/>
    <x v="2"/>
    <n v="5"/>
    <n v="26.15"/>
    <x v="0"/>
    <x v="448"/>
    <x v="0"/>
    <x v="22"/>
    <x v="4"/>
    <x v="9"/>
    <x v="1"/>
  </r>
  <r>
    <x v="721"/>
    <x v="721"/>
    <x v="1"/>
    <x v="45"/>
    <x v="1"/>
    <n v="2"/>
    <n v="600.16"/>
    <x v="0"/>
    <x v="479"/>
    <x v="4"/>
    <x v="9"/>
    <x v="4"/>
    <x v="3"/>
    <x v="1"/>
  </r>
  <r>
    <x v="722"/>
    <x v="722"/>
    <x v="0"/>
    <x v="45"/>
    <x v="7"/>
    <n v="3"/>
    <n v="45.45"/>
    <x v="1"/>
    <x v="93"/>
    <x v="6"/>
    <x v="25"/>
    <x v="4"/>
    <x v="2"/>
    <x v="1"/>
  </r>
  <r>
    <x v="723"/>
    <x v="723"/>
    <x v="0"/>
    <x v="45"/>
    <x v="2"/>
    <n v="1"/>
    <n v="5.23"/>
    <x v="0"/>
    <x v="480"/>
    <x v="6"/>
    <x v="10"/>
    <x v="4"/>
    <x v="0"/>
    <x v="1"/>
  </r>
  <r>
    <x v="724"/>
    <x v="724"/>
    <x v="1"/>
    <x v="46"/>
    <x v="1"/>
    <n v="1"/>
    <n v="300.08"/>
    <x v="2"/>
    <x v="481"/>
    <x v="9"/>
    <x v="1"/>
    <x v="4"/>
    <x v="2"/>
    <x v="2"/>
  </r>
  <r>
    <x v="725"/>
    <x v="725"/>
    <x v="1"/>
    <x v="47"/>
    <x v="1"/>
    <n v="1"/>
    <n v="300.08"/>
    <x v="2"/>
    <x v="448"/>
    <x v="0"/>
    <x v="1"/>
    <x v="4"/>
    <x v="9"/>
    <x v="1"/>
  </r>
  <r>
    <x v="726"/>
    <x v="726"/>
    <x v="0"/>
    <x v="48"/>
    <x v="3"/>
    <n v="5"/>
    <n v="203.3"/>
    <x v="1"/>
    <x v="482"/>
    <x v="5"/>
    <x v="12"/>
    <x v="4"/>
    <x v="3"/>
    <x v="1"/>
  </r>
  <r>
    <x v="727"/>
    <x v="727"/>
    <x v="1"/>
    <x v="47"/>
    <x v="6"/>
    <n v="5"/>
    <n v="58.65"/>
    <x v="0"/>
    <x v="483"/>
    <x v="3"/>
    <x v="32"/>
    <x v="4"/>
    <x v="11"/>
    <x v="1"/>
  </r>
  <r>
    <x v="728"/>
    <x v="728"/>
    <x v="0"/>
    <x v="49"/>
    <x v="1"/>
    <n v="2"/>
    <n v="600.16"/>
    <x v="2"/>
    <x v="484"/>
    <x v="1"/>
    <x v="9"/>
    <x v="4"/>
    <x v="10"/>
    <x v="1"/>
  </r>
  <r>
    <x v="729"/>
    <x v="729"/>
    <x v="0"/>
    <x v="44"/>
    <x v="6"/>
    <n v="3"/>
    <n v="35.19"/>
    <x v="1"/>
    <x v="23"/>
    <x v="4"/>
    <x v="16"/>
    <x v="4"/>
    <x v="7"/>
    <x v="1"/>
  </r>
  <r>
    <x v="730"/>
    <x v="730"/>
    <x v="0"/>
    <x v="39"/>
    <x v="5"/>
    <n v="3"/>
    <n v="107.52"/>
    <x v="0"/>
    <x v="463"/>
    <x v="1"/>
    <x v="23"/>
    <x v="4"/>
    <x v="0"/>
    <x v="0"/>
  </r>
  <r>
    <x v="731"/>
    <x v="731"/>
    <x v="0"/>
    <x v="39"/>
    <x v="0"/>
    <n v="1"/>
    <n v="1050"/>
    <x v="2"/>
    <x v="169"/>
    <x v="6"/>
    <x v="11"/>
    <x v="4"/>
    <x v="3"/>
    <x v="1"/>
  </r>
  <r>
    <x v="732"/>
    <x v="732"/>
    <x v="0"/>
    <x v="47"/>
    <x v="3"/>
    <n v="4"/>
    <n v="162.63999999999999"/>
    <x v="2"/>
    <x v="485"/>
    <x v="4"/>
    <x v="15"/>
    <x v="4"/>
    <x v="4"/>
    <x v="0"/>
  </r>
  <r>
    <x v="733"/>
    <x v="733"/>
    <x v="0"/>
    <x v="39"/>
    <x v="5"/>
    <n v="5"/>
    <n v="179.2"/>
    <x v="0"/>
    <x v="74"/>
    <x v="5"/>
    <x v="17"/>
    <x v="4"/>
    <x v="0"/>
    <x v="1"/>
  </r>
  <r>
    <x v="734"/>
    <x v="734"/>
    <x v="0"/>
    <x v="50"/>
    <x v="1"/>
    <n v="2"/>
    <n v="600.16"/>
    <x v="1"/>
    <x v="486"/>
    <x v="4"/>
    <x v="9"/>
    <x v="4"/>
    <x v="7"/>
    <x v="0"/>
  </r>
  <r>
    <x v="735"/>
    <x v="735"/>
    <x v="0"/>
    <x v="48"/>
    <x v="1"/>
    <n v="3"/>
    <n v="900.24"/>
    <x v="1"/>
    <x v="487"/>
    <x v="4"/>
    <x v="4"/>
    <x v="4"/>
    <x v="2"/>
    <x v="0"/>
  </r>
  <r>
    <x v="736"/>
    <x v="736"/>
    <x v="0"/>
    <x v="38"/>
    <x v="1"/>
    <n v="4"/>
    <n v="1200.32"/>
    <x v="0"/>
    <x v="424"/>
    <x v="9"/>
    <x v="8"/>
    <x v="4"/>
    <x v="5"/>
    <x v="0"/>
  </r>
  <r>
    <x v="737"/>
    <x v="737"/>
    <x v="0"/>
    <x v="42"/>
    <x v="3"/>
    <n v="4"/>
    <n v="162.63999999999999"/>
    <x v="0"/>
    <x v="488"/>
    <x v="1"/>
    <x v="15"/>
    <x v="4"/>
    <x v="9"/>
    <x v="0"/>
  </r>
  <r>
    <x v="738"/>
    <x v="738"/>
    <x v="0"/>
    <x v="49"/>
    <x v="5"/>
    <n v="2"/>
    <n v="71.680000000000007"/>
    <x v="1"/>
    <x v="30"/>
    <x v="7"/>
    <x v="14"/>
    <x v="4"/>
    <x v="0"/>
    <x v="0"/>
  </r>
  <r>
    <x v="739"/>
    <x v="739"/>
    <x v="1"/>
    <x v="50"/>
    <x v="3"/>
    <n v="3"/>
    <n v="121.98"/>
    <x v="2"/>
    <x v="489"/>
    <x v="4"/>
    <x v="3"/>
    <x v="4"/>
    <x v="0"/>
    <x v="0"/>
  </r>
  <r>
    <x v="740"/>
    <x v="740"/>
    <x v="0"/>
    <x v="51"/>
    <x v="1"/>
    <n v="5"/>
    <n v="1500.4"/>
    <x v="2"/>
    <x v="490"/>
    <x v="6"/>
    <x v="5"/>
    <x v="4"/>
    <x v="4"/>
    <x v="0"/>
  </r>
  <r>
    <x v="741"/>
    <x v="741"/>
    <x v="0"/>
    <x v="45"/>
    <x v="2"/>
    <n v="3"/>
    <n v="15.69"/>
    <x v="1"/>
    <x v="390"/>
    <x v="4"/>
    <x v="2"/>
    <x v="4"/>
    <x v="5"/>
    <x v="0"/>
  </r>
  <r>
    <x v="742"/>
    <x v="742"/>
    <x v="1"/>
    <x v="46"/>
    <x v="2"/>
    <n v="2"/>
    <n v="10.46"/>
    <x v="0"/>
    <x v="373"/>
    <x v="8"/>
    <x v="13"/>
    <x v="4"/>
    <x v="1"/>
    <x v="0"/>
  </r>
  <r>
    <x v="743"/>
    <x v="743"/>
    <x v="0"/>
    <x v="47"/>
    <x v="1"/>
    <n v="5"/>
    <n v="1500.4"/>
    <x v="0"/>
    <x v="491"/>
    <x v="4"/>
    <x v="5"/>
    <x v="4"/>
    <x v="6"/>
    <x v="0"/>
  </r>
  <r>
    <x v="744"/>
    <x v="744"/>
    <x v="0"/>
    <x v="45"/>
    <x v="1"/>
    <n v="1"/>
    <n v="300.08"/>
    <x v="2"/>
    <x v="309"/>
    <x v="5"/>
    <x v="1"/>
    <x v="4"/>
    <x v="3"/>
    <x v="1"/>
  </r>
  <r>
    <x v="745"/>
    <x v="745"/>
    <x v="1"/>
    <x v="51"/>
    <x v="2"/>
    <n v="5"/>
    <n v="26.15"/>
    <x v="0"/>
    <x v="492"/>
    <x v="4"/>
    <x v="22"/>
    <x v="4"/>
    <x v="9"/>
    <x v="1"/>
  </r>
  <r>
    <x v="746"/>
    <x v="746"/>
    <x v="0"/>
    <x v="41"/>
    <x v="2"/>
    <n v="1"/>
    <n v="5.23"/>
    <x v="1"/>
    <x v="405"/>
    <x v="4"/>
    <x v="10"/>
    <x v="4"/>
    <x v="2"/>
    <x v="0"/>
  </r>
  <r>
    <x v="747"/>
    <x v="747"/>
    <x v="0"/>
    <x v="46"/>
    <x v="5"/>
    <n v="3"/>
    <n v="107.52"/>
    <x v="2"/>
    <x v="493"/>
    <x v="1"/>
    <x v="23"/>
    <x v="4"/>
    <x v="4"/>
    <x v="1"/>
  </r>
  <r>
    <x v="748"/>
    <x v="748"/>
    <x v="0"/>
    <x v="46"/>
    <x v="4"/>
    <n v="4"/>
    <n v="2400.6799999999998"/>
    <x v="1"/>
    <x v="459"/>
    <x v="1"/>
    <x v="6"/>
    <x v="4"/>
    <x v="2"/>
    <x v="1"/>
  </r>
  <r>
    <x v="749"/>
    <x v="749"/>
    <x v="0"/>
    <x v="42"/>
    <x v="3"/>
    <n v="1"/>
    <n v="40.659999999999997"/>
    <x v="1"/>
    <x v="494"/>
    <x v="0"/>
    <x v="29"/>
    <x v="4"/>
    <x v="9"/>
    <x v="1"/>
  </r>
  <r>
    <x v="750"/>
    <x v="750"/>
    <x v="1"/>
    <x v="46"/>
    <x v="3"/>
    <n v="3"/>
    <n v="121.98"/>
    <x v="1"/>
    <x v="63"/>
    <x v="4"/>
    <x v="3"/>
    <x v="4"/>
    <x v="1"/>
    <x v="1"/>
  </r>
  <r>
    <x v="751"/>
    <x v="751"/>
    <x v="1"/>
    <x v="40"/>
    <x v="6"/>
    <n v="2"/>
    <n v="23.46"/>
    <x v="2"/>
    <x v="495"/>
    <x v="0"/>
    <x v="36"/>
    <x v="4"/>
    <x v="2"/>
    <x v="2"/>
  </r>
  <r>
    <x v="752"/>
    <x v="752"/>
    <x v="0"/>
    <x v="45"/>
    <x v="3"/>
    <n v="3"/>
    <n v="121.98"/>
    <x v="1"/>
    <x v="426"/>
    <x v="8"/>
    <x v="3"/>
    <x v="4"/>
    <x v="3"/>
    <x v="1"/>
  </r>
  <r>
    <x v="753"/>
    <x v="753"/>
    <x v="1"/>
    <x v="51"/>
    <x v="3"/>
    <n v="4"/>
    <n v="162.63999999999999"/>
    <x v="0"/>
    <x v="157"/>
    <x v="0"/>
    <x v="15"/>
    <x v="4"/>
    <x v="3"/>
    <x v="1"/>
  </r>
  <r>
    <x v="754"/>
    <x v="754"/>
    <x v="0"/>
    <x v="40"/>
    <x v="6"/>
    <n v="5"/>
    <n v="58.65"/>
    <x v="0"/>
    <x v="496"/>
    <x v="6"/>
    <x v="32"/>
    <x v="4"/>
    <x v="8"/>
    <x v="0"/>
  </r>
  <r>
    <x v="755"/>
    <x v="755"/>
    <x v="0"/>
    <x v="47"/>
    <x v="1"/>
    <n v="1"/>
    <n v="300.08"/>
    <x v="0"/>
    <x v="427"/>
    <x v="0"/>
    <x v="1"/>
    <x v="4"/>
    <x v="2"/>
    <x v="0"/>
  </r>
  <r>
    <x v="756"/>
    <x v="756"/>
    <x v="1"/>
    <x v="47"/>
    <x v="4"/>
    <n v="4"/>
    <n v="2400.6799999999998"/>
    <x v="1"/>
    <x v="497"/>
    <x v="4"/>
    <x v="6"/>
    <x v="4"/>
    <x v="11"/>
    <x v="1"/>
  </r>
  <r>
    <x v="757"/>
    <x v="757"/>
    <x v="1"/>
    <x v="40"/>
    <x v="5"/>
    <n v="3"/>
    <n v="107.52"/>
    <x v="2"/>
    <x v="160"/>
    <x v="1"/>
    <x v="23"/>
    <x v="4"/>
    <x v="4"/>
    <x v="1"/>
  </r>
  <r>
    <x v="758"/>
    <x v="758"/>
    <x v="0"/>
    <x v="41"/>
    <x v="0"/>
    <n v="5"/>
    <n v="5250"/>
    <x v="0"/>
    <x v="421"/>
    <x v="5"/>
    <x v="35"/>
    <x v="4"/>
    <x v="10"/>
    <x v="2"/>
  </r>
  <r>
    <x v="759"/>
    <x v="759"/>
    <x v="0"/>
    <x v="49"/>
    <x v="4"/>
    <n v="2"/>
    <n v="1200.3399999999999"/>
    <x v="0"/>
    <x v="498"/>
    <x v="0"/>
    <x v="24"/>
    <x v="4"/>
    <x v="11"/>
    <x v="1"/>
  </r>
  <r>
    <x v="760"/>
    <x v="760"/>
    <x v="0"/>
    <x v="46"/>
    <x v="6"/>
    <n v="3"/>
    <n v="35.19"/>
    <x v="2"/>
    <x v="112"/>
    <x v="4"/>
    <x v="16"/>
    <x v="4"/>
    <x v="5"/>
    <x v="0"/>
  </r>
  <r>
    <x v="761"/>
    <x v="761"/>
    <x v="0"/>
    <x v="37"/>
    <x v="1"/>
    <n v="3"/>
    <n v="900.24"/>
    <x v="0"/>
    <x v="499"/>
    <x v="3"/>
    <x v="4"/>
    <x v="4"/>
    <x v="2"/>
    <x v="0"/>
  </r>
  <r>
    <x v="762"/>
    <x v="762"/>
    <x v="0"/>
    <x v="37"/>
    <x v="6"/>
    <n v="2"/>
    <n v="23.46"/>
    <x v="0"/>
    <x v="74"/>
    <x v="3"/>
    <x v="36"/>
    <x v="4"/>
    <x v="0"/>
    <x v="1"/>
  </r>
  <r>
    <x v="763"/>
    <x v="763"/>
    <x v="1"/>
    <x v="50"/>
    <x v="1"/>
    <n v="1"/>
    <n v="300.08"/>
    <x v="2"/>
    <x v="500"/>
    <x v="9"/>
    <x v="1"/>
    <x v="4"/>
    <x v="2"/>
    <x v="2"/>
  </r>
  <r>
    <x v="764"/>
    <x v="764"/>
    <x v="0"/>
    <x v="39"/>
    <x v="1"/>
    <n v="1"/>
    <n v="300.08"/>
    <x v="0"/>
    <x v="164"/>
    <x v="3"/>
    <x v="1"/>
    <x v="4"/>
    <x v="3"/>
    <x v="1"/>
  </r>
  <r>
    <x v="765"/>
    <x v="765"/>
    <x v="0"/>
    <x v="39"/>
    <x v="4"/>
    <n v="4"/>
    <n v="2400.6799999999998"/>
    <x v="0"/>
    <x v="140"/>
    <x v="9"/>
    <x v="6"/>
    <x v="4"/>
    <x v="10"/>
    <x v="2"/>
  </r>
  <r>
    <x v="766"/>
    <x v="766"/>
    <x v="0"/>
    <x v="43"/>
    <x v="5"/>
    <n v="3"/>
    <n v="107.52"/>
    <x v="0"/>
    <x v="186"/>
    <x v="5"/>
    <x v="23"/>
    <x v="4"/>
    <x v="8"/>
    <x v="0"/>
  </r>
  <r>
    <x v="767"/>
    <x v="767"/>
    <x v="0"/>
    <x v="50"/>
    <x v="1"/>
    <n v="2"/>
    <n v="600.16"/>
    <x v="0"/>
    <x v="20"/>
    <x v="3"/>
    <x v="9"/>
    <x v="4"/>
    <x v="9"/>
    <x v="1"/>
  </r>
  <r>
    <x v="768"/>
    <x v="768"/>
    <x v="0"/>
    <x v="46"/>
    <x v="1"/>
    <n v="2"/>
    <n v="600.16"/>
    <x v="1"/>
    <x v="501"/>
    <x v="3"/>
    <x v="9"/>
    <x v="4"/>
    <x v="11"/>
    <x v="0"/>
  </r>
  <r>
    <x v="769"/>
    <x v="769"/>
    <x v="1"/>
    <x v="44"/>
    <x v="1"/>
    <n v="5"/>
    <n v="1500.4"/>
    <x v="2"/>
    <x v="118"/>
    <x v="4"/>
    <x v="5"/>
    <x v="4"/>
    <x v="9"/>
    <x v="1"/>
  </r>
  <r>
    <x v="770"/>
    <x v="770"/>
    <x v="1"/>
    <x v="42"/>
    <x v="7"/>
    <n v="5"/>
    <n v="75.75"/>
    <x v="2"/>
    <x v="502"/>
    <x v="0"/>
    <x v="30"/>
    <x v="4"/>
    <x v="5"/>
    <x v="0"/>
  </r>
  <r>
    <x v="771"/>
    <x v="771"/>
    <x v="1"/>
    <x v="38"/>
    <x v="5"/>
    <n v="3"/>
    <n v="107.52"/>
    <x v="0"/>
    <x v="503"/>
    <x v="6"/>
    <x v="23"/>
    <x v="4"/>
    <x v="11"/>
    <x v="0"/>
  </r>
  <r>
    <x v="772"/>
    <x v="772"/>
    <x v="0"/>
    <x v="47"/>
    <x v="1"/>
    <n v="5"/>
    <n v="1500.4"/>
    <x v="0"/>
    <x v="110"/>
    <x v="0"/>
    <x v="5"/>
    <x v="4"/>
    <x v="0"/>
    <x v="0"/>
  </r>
  <r>
    <x v="773"/>
    <x v="773"/>
    <x v="1"/>
    <x v="40"/>
    <x v="7"/>
    <n v="5"/>
    <n v="75.75"/>
    <x v="0"/>
    <x v="504"/>
    <x v="9"/>
    <x v="30"/>
    <x v="4"/>
    <x v="3"/>
    <x v="0"/>
  </r>
  <r>
    <x v="774"/>
    <x v="774"/>
    <x v="0"/>
    <x v="50"/>
    <x v="2"/>
    <n v="4"/>
    <n v="20.92"/>
    <x v="2"/>
    <x v="505"/>
    <x v="4"/>
    <x v="33"/>
    <x v="4"/>
    <x v="5"/>
    <x v="0"/>
  </r>
  <r>
    <x v="775"/>
    <x v="775"/>
    <x v="0"/>
    <x v="45"/>
    <x v="1"/>
    <n v="4"/>
    <n v="1200.32"/>
    <x v="2"/>
    <x v="506"/>
    <x v="6"/>
    <x v="8"/>
    <x v="4"/>
    <x v="1"/>
    <x v="1"/>
  </r>
  <r>
    <x v="776"/>
    <x v="776"/>
    <x v="1"/>
    <x v="37"/>
    <x v="0"/>
    <n v="4"/>
    <n v="4200"/>
    <x v="1"/>
    <x v="62"/>
    <x v="1"/>
    <x v="0"/>
    <x v="4"/>
    <x v="0"/>
    <x v="0"/>
  </r>
  <r>
    <x v="777"/>
    <x v="777"/>
    <x v="0"/>
    <x v="39"/>
    <x v="1"/>
    <n v="2"/>
    <n v="600.16"/>
    <x v="1"/>
    <x v="507"/>
    <x v="5"/>
    <x v="9"/>
    <x v="4"/>
    <x v="2"/>
    <x v="2"/>
  </r>
  <r>
    <x v="778"/>
    <x v="778"/>
    <x v="1"/>
    <x v="46"/>
    <x v="1"/>
    <n v="2"/>
    <n v="600.16"/>
    <x v="2"/>
    <x v="418"/>
    <x v="0"/>
    <x v="9"/>
    <x v="4"/>
    <x v="6"/>
    <x v="1"/>
  </r>
  <r>
    <x v="779"/>
    <x v="779"/>
    <x v="0"/>
    <x v="46"/>
    <x v="7"/>
    <n v="2"/>
    <n v="30.3"/>
    <x v="0"/>
    <x v="505"/>
    <x v="1"/>
    <x v="20"/>
    <x v="4"/>
    <x v="5"/>
    <x v="0"/>
  </r>
  <r>
    <x v="780"/>
    <x v="780"/>
    <x v="1"/>
    <x v="48"/>
    <x v="5"/>
    <n v="4"/>
    <n v="143.36000000000001"/>
    <x v="0"/>
    <x v="350"/>
    <x v="3"/>
    <x v="7"/>
    <x v="4"/>
    <x v="11"/>
    <x v="1"/>
  </r>
  <r>
    <x v="781"/>
    <x v="781"/>
    <x v="1"/>
    <x v="44"/>
    <x v="6"/>
    <n v="2"/>
    <n v="23.46"/>
    <x v="2"/>
    <x v="443"/>
    <x v="7"/>
    <x v="36"/>
    <x v="4"/>
    <x v="0"/>
    <x v="1"/>
  </r>
  <r>
    <x v="782"/>
    <x v="782"/>
    <x v="0"/>
    <x v="46"/>
    <x v="2"/>
    <n v="4"/>
    <n v="20.92"/>
    <x v="0"/>
    <x v="360"/>
    <x v="4"/>
    <x v="33"/>
    <x v="4"/>
    <x v="9"/>
    <x v="0"/>
  </r>
  <r>
    <x v="783"/>
    <x v="783"/>
    <x v="0"/>
    <x v="44"/>
    <x v="1"/>
    <n v="4"/>
    <n v="1200.32"/>
    <x v="1"/>
    <x v="508"/>
    <x v="8"/>
    <x v="8"/>
    <x v="4"/>
    <x v="6"/>
    <x v="1"/>
  </r>
  <r>
    <x v="784"/>
    <x v="784"/>
    <x v="1"/>
    <x v="45"/>
    <x v="5"/>
    <n v="2"/>
    <n v="71.680000000000007"/>
    <x v="0"/>
    <x v="374"/>
    <x v="9"/>
    <x v="14"/>
    <x v="4"/>
    <x v="3"/>
    <x v="0"/>
  </r>
  <r>
    <x v="785"/>
    <x v="785"/>
    <x v="0"/>
    <x v="48"/>
    <x v="2"/>
    <n v="3"/>
    <n v="15.69"/>
    <x v="1"/>
    <x v="112"/>
    <x v="6"/>
    <x v="2"/>
    <x v="4"/>
    <x v="5"/>
    <x v="0"/>
  </r>
  <r>
    <x v="786"/>
    <x v="786"/>
    <x v="0"/>
    <x v="51"/>
    <x v="5"/>
    <n v="5"/>
    <n v="179.2"/>
    <x v="1"/>
    <x v="509"/>
    <x v="6"/>
    <x v="17"/>
    <x v="4"/>
    <x v="5"/>
    <x v="1"/>
  </r>
  <r>
    <x v="787"/>
    <x v="787"/>
    <x v="0"/>
    <x v="46"/>
    <x v="7"/>
    <n v="3"/>
    <n v="45.45"/>
    <x v="1"/>
    <x v="510"/>
    <x v="0"/>
    <x v="25"/>
    <x v="4"/>
    <x v="5"/>
    <x v="1"/>
  </r>
  <r>
    <x v="788"/>
    <x v="788"/>
    <x v="1"/>
    <x v="38"/>
    <x v="2"/>
    <n v="3"/>
    <n v="15.69"/>
    <x v="2"/>
    <x v="69"/>
    <x v="9"/>
    <x v="2"/>
    <x v="4"/>
    <x v="11"/>
    <x v="0"/>
  </r>
  <r>
    <x v="789"/>
    <x v="789"/>
    <x v="1"/>
    <x v="46"/>
    <x v="7"/>
    <n v="2"/>
    <n v="30.3"/>
    <x v="2"/>
    <x v="504"/>
    <x v="4"/>
    <x v="20"/>
    <x v="4"/>
    <x v="3"/>
    <x v="0"/>
  </r>
  <r>
    <x v="790"/>
    <x v="790"/>
    <x v="0"/>
    <x v="50"/>
    <x v="1"/>
    <n v="5"/>
    <n v="1500.4"/>
    <x v="1"/>
    <x v="367"/>
    <x v="6"/>
    <x v="5"/>
    <x v="4"/>
    <x v="11"/>
    <x v="0"/>
  </r>
  <r>
    <x v="791"/>
    <x v="791"/>
    <x v="1"/>
    <x v="41"/>
    <x v="1"/>
    <n v="2"/>
    <n v="600.16"/>
    <x v="0"/>
    <x v="501"/>
    <x v="2"/>
    <x v="9"/>
    <x v="4"/>
    <x v="11"/>
    <x v="0"/>
  </r>
  <r>
    <x v="792"/>
    <x v="792"/>
    <x v="1"/>
    <x v="38"/>
    <x v="3"/>
    <n v="1"/>
    <n v="40.659999999999997"/>
    <x v="0"/>
    <x v="265"/>
    <x v="9"/>
    <x v="29"/>
    <x v="4"/>
    <x v="9"/>
    <x v="1"/>
  </r>
  <r>
    <x v="793"/>
    <x v="793"/>
    <x v="1"/>
    <x v="37"/>
    <x v="1"/>
    <n v="1"/>
    <n v="300.08"/>
    <x v="0"/>
    <x v="269"/>
    <x v="5"/>
    <x v="1"/>
    <x v="4"/>
    <x v="2"/>
    <x v="2"/>
  </r>
  <r>
    <x v="794"/>
    <x v="794"/>
    <x v="0"/>
    <x v="41"/>
    <x v="1"/>
    <n v="3"/>
    <n v="900.24"/>
    <x v="1"/>
    <x v="222"/>
    <x v="2"/>
    <x v="4"/>
    <x v="4"/>
    <x v="1"/>
    <x v="1"/>
  </r>
  <r>
    <x v="795"/>
    <x v="795"/>
    <x v="1"/>
    <x v="51"/>
    <x v="4"/>
    <n v="4"/>
    <n v="2400.6799999999998"/>
    <x v="1"/>
    <x v="345"/>
    <x v="4"/>
    <x v="6"/>
    <x v="4"/>
    <x v="6"/>
    <x v="0"/>
  </r>
  <r>
    <x v="796"/>
    <x v="796"/>
    <x v="1"/>
    <x v="49"/>
    <x v="3"/>
    <n v="1"/>
    <n v="40.659999999999997"/>
    <x v="1"/>
    <x v="511"/>
    <x v="0"/>
    <x v="29"/>
    <x v="4"/>
    <x v="10"/>
    <x v="1"/>
  </r>
  <r>
    <x v="797"/>
    <x v="797"/>
    <x v="0"/>
    <x v="47"/>
    <x v="7"/>
    <n v="3"/>
    <n v="45.45"/>
    <x v="0"/>
    <x v="512"/>
    <x v="4"/>
    <x v="25"/>
    <x v="4"/>
    <x v="2"/>
    <x v="2"/>
  </r>
  <r>
    <x v="798"/>
    <x v="798"/>
    <x v="0"/>
    <x v="41"/>
    <x v="4"/>
    <n v="4"/>
    <n v="2400.6799999999998"/>
    <x v="0"/>
    <x v="222"/>
    <x v="2"/>
    <x v="6"/>
    <x v="4"/>
    <x v="1"/>
    <x v="1"/>
  </r>
  <r>
    <x v="799"/>
    <x v="799"/>
    <x v="0"/>
    <x v="39"/>
    <x v="1"/>
    <n v="1"/>
    <n v="300.08"/>
    <x v="1"/>
    <x v="271"/>
    <x v="9"/>
    <x v="1"/>
    <x v="4"/>
    <x v="0"/>
    <x v="0"/>
  </r>
  <r>
    <x v="800"/>
    <x v="800"/>
    <x v="1"/>
    <x v="46"/>
    <x v="4"/>
    <n v="3"/>
    <n v="1800.51"/>
    <x v="0"/>
    <x v="156"/>
    <x v="3"/>
    <x v="37"/>
    <x v="4"/>
    <x v="5"/>
    <x v="0"/>
  </r>
  <r>
    <x v="801"/>
    <x v="801"/>
    <x v="0"/>
    <x v="40"/>
    <x v="1"/>
    <n v="2"/>
    <n v="600.16"/>
    <x v="2"/>
    <x v="34"/>
    <x v="2"/>
    <x v="9"/>
    <x v="4"/>
    <x v="11"/>
    <x v="0"/>
  </r>
  <r>
    <x v="802"/>
    <x v="802"/>
    <x v="1"/>
    <x v="49"/>
    <x v="4"/>
    <n v="3"/>
    <n v="1800.51"/>
    <x v="1"/>
    <x v="462"/>
    <x v="0"/>
    <x v="37"/>
    <x v="4"/>
    <x v="1"/>
    <x v="1"/>
  </r>
  <r>
    <x v="803"/>
    <x v="803"/>
    <x v="1"/>
    <x v="50"/>
    <x v="0"/>
    <n v="3"/>
    <n v="3150"/>
    <x v="2"/>
    <x v="251"/>
    <x v="4"/>
    <x v="39"/>
    <x v="4"/>
    <x v="1"/>
    <x v="0"/>
  </r>
  <r>
    <x v="804"/>
    <x v="804"/>
    <x v="0"/>
    <x v="47"/>
    <x v="1"/>
    <n v="3"/>
    <n v="900.24"/>
    <x v="2"/>
    <x v="436"/>
    <x v="4"/>
    <x v="4"/>
    <x v="4"/>
    <x v="10"/>
    <x v="1"/>
  </r>
  <r>
    <x v="805"/>
    <x v="805"/>
    <x v="0"/>
    <x v="42"/>
    <x v="4"/>
    <n v="3"/>
    <n v="1800.51"/>
    <x v="0"/>
    <x v="137"/>
    <x v="7"/>
    <x v="37"/>
    <x v="4"/>
    <x v="5"/>
    <x v="1"/>
  </r>
  <r>
    <x v="806"/>
    <x v="806"/>
    <x v="0"/>
    <x v="41"/>
    <x v="1"/>
    <n v="2"/>
    <n v="600.16"/>
    <x v="0"/>
    <x v="513"/>
    <x v="4"/>
    <x v="9"/>
    <x v="4"/>
    <x v="2"/>
    <x v="0"/>
  </r>
  <r>
    <x v="807"/>
    <x v="807"/>
    <x v="1"/>
    <x v="51"/>
    <x v="1"/>
    <n v="4"/>
    <n v="1200.32"/>
    <x v="1"/>
    <x v="309"/>
    <x v="1"/>
    <x v="8"/>
    <x v="4"/>
    <x v="3"/>
    <x v="1"/>
  </r>
  <r>
    <x v="808"/>
    <x v="808"/>
    <x v="0"/>
    <x v="48"/>
    <x v="1"/>
    <n v="5"/>
    <n v="1500.4"/>
    <x v="0"/>
    <x v="466"/>
    <x v="6"/>
    <x v="5"/>
    <x v="4"/>
    <x v="1"/>
    <x v="0"/>
  </r>
  <r>
    <x v="809"/>
    <x v="809"/>
    <x v="0"/>
    <x v="41"/>
    <x v="1"/>
    <n v="2"/>
    <n v="600.16"/>
    <x v="0"/>
    <x v="266"/>
    <x v="9"/>
    <x v="9"/>
    <x v="4"/>
    <x v="4"/>
    <x v="1"/>
  </r>
  <r>
    <x v="810"/>
    <x v="810"/>
    <x v="0"/>
    <x v="42"/>
    <x v="1"/>
    <n v="3"/>
    <n v="900.24"/>
    <x v="0"/>
    <x v="514"/>
    <x v="0"/>
    <x v="4"/>
    <x v="4"/>
    <x v="8"/>
    <x v="1"/>
  </r>
  <r>
    <x v="811"/>
    <x v="811"/>
    <x v="0"/>
    <x v="44"/>
    <x v="3"/>
    <n v="3"/>
    <n v="121.98"/>
    <x v="1"/>
    <x v="347"/>
    <x v="3"/>
    <x v="3"/>
    <x v="4"/>
    <x v="0"/>
    <x v="0"/>
  </r>
  <r>
    <x v="812"/>
    <x v="812"/>
    <x v="1"/>
    <x v="43"/>
    <x v="6"/>
    <n v="2"/>
    <n v="23.46"/>
    <x v="0"/>
    <x v="515"/>
    <x v="1"/>
    <x v="36"/>
    <x v="4"/>
    <x v="0"/>
    <x v="0"/>
  </r>
  <r>
    <x v="813"/>
    <x v="813"/>
    <x v="0"/>
    <x v="50"/>
    <x v="2"/>
    <n v="1"/>
    <n v="5.23"/>
    <x v="1"/>
    <x v="35"/>
    <x v="3"/>
    <x v="10"/>
    <x v="4"/>
    <x v="5"/>
    <x v="1"/>
  </r>
  <r>
    <x v="814"/>
    <x v="814"/>
    <x v="1"/>
    <x v="50"/>
    <x v="5"/>
    <n v="5"/>
    <n v="179.2"/>
    <x v="0"/>
    <x v="265"/>
    <x v="7"/>
    <x v="17"/>
    <x v="4"/>
    <x v="9"/>
    <x v="1"/>
  </r>
  <r>
    <x v="815"/>
    <x v="815"/>
    <x v="0"/>
    <x v="45"/>
    <x v="2"/>
    <n v="5"/>
    <n v="26.15"/>
    <x v="1"/>
    <x v="168"/>
    <x v="8"/>
    <x v="22"/>
    <x v="4"/>
    <x v="0"/>
    <x v="1"/>
  </r>
  <r>
    <x v="816"/>
    <x v="816"/>
    <x v="1"/>
    <x v="39"/>
    <x v="6"/>
    <n v="4"/>
    <n v="46.92"/>
    <x v="0"/>
    <x v="73"/>
    <x v="6"/>
    <x v="28"/>
    <x v="4"/>
    <x v="6"/>
    <x v="0"/>
  </r>
  <r>
    <x v="817"/>
    <x v="817"/>
    <x v="0"/>
    <x v="37"/>
    <x v="1"/>
    <n v="3"/>
    <n v="900.24"/>
    <x v="1"/>
    <x v="484"/>
    <x v="0"/>
    <x v="4"/>
    <x v="4"/>
    <x v="10"/>
    <x v="1"/>
  </r>
  <r>
    <x v="818"/>
    <x v="818"/>
    <x v="0"/>
    <x v="50"/>
    <x v="2"/>
    <n v="2"/>
    <n v="10.46"/>
    <x v="0"/>
    <x v="516"/>
    <x v="5"/>
    <x v="13"/>
    <x v="4"/>
    <x v="4"/>
    <x v="1"/>
  </r>
  <r>
    <x v="819"/>
    <x v="819"/>
    <x v="1"/>
    <x v="45"/>
    <x v="2"/>
    <n v="4"/>
    <n v="20.92"/>
    <x v="1"/>
    <x v="314"/>
    <x v="0"/>
    <x v="33"/>
    <x v="4"/>
    <x v="4"/>
    <x v="0"/>
  </r>
  <r>
    <x v="820"/>
    <x v="820"/>
    <x v="0"/>
    <x v="50"/>
    <x v="5"/>
    <n v="3"/>
    <n v="107.52"/>
    <x v="0"/>
    <x v="34"/>
    <x v="7"/>
    <x v="23"/>
    <x v="4"/>
    <x v="11"/>
    <x v="0"/>
  </r>
  <r>
    <x v="821"/>
    <x v="821"/>
    <x v="0"/>
    <x v="46"/>
    <x v="6"/>
    <n v="1"/>
    <n v="11.73"/>
    <x v="1"/>
    <x v="517"/>
    <x v="4"/>
    <x v="31"/>
    <x v="4"/>
    <x v="10"/>
    <x v="1"/>
  </r>
  <r>
    <x v="822"/>
    <x v="822"/>
    <x v="0"/>
    <x v="48"/>
    <x v="5"/>
    <n v="2"/>
    <n v="71.680000000000007"/>
    <x v="1"/>
    <x v="287"/>
    <x v="4"/>
    <x v="14"/>
    <x v="4"/>
    <x v="8"/>
    <x v="1"/>
  </r>
  <r>
    <x v="823"/>
    <x v="823"/>
    <x v="0"/>
    <x v="39"/>
    <x v="1"/>
    <n v="4"/>
    <n v="1200.32"/>
    <x v="1"/>
    <x v="518"/>
    <x v="0"/>
    <x v="8"/>
    <x v="4"/>
    <x v="7"/>
    <x v="0"/>
  </r>
  <r>
    <x v="824"/>
    <x v="824"/>
    <x v="0"/>
    <x v="37"/>
    <x v="3"/>
    <n v="2"/>
    <n v="81.319999999999993"/>
    <x v="2"/>
    <x v="519"/>
    <x v="2"/>
    <x v="26"/>
    <x v="4"/>
    <x v="8"/>
    <x v="0"/>
  </r>
  <r>
    <x v="825"/>
    <x v="825"/>
    <x v="1"/>
    <x v="44"/>
    <x v="7"/>
    <n v="4"/>
    <n v="60.6"/>
    <x v="1"/>
    <x v="520"/>
    <x v="3"/>
    <x v="21"/>
    <x v="4"/>
    <x v="10"/>
    <x v="1"/>
  </r>
  <r>
    <x v="826"/>
    <x v="826"/>
    <x v="0"/>
    <x v="49"/>
    <x v="5"/>
    <n v="5"/>
    <n v="179.2"/>
    <x v="1"/>
    <x v="327"/>
    <x v="4"/>
    <x v="17"/>
    <x v="4"/>
    <x v="6"/>
    <x v="1"/>
  </r>
  <r>
    <x v="827"/>
    <x v="827"/>
    <x v="0"/>
    <x v="51"/>
    <x v="1"/>
    <n v="1"/>
    <n v="300.08"/>
    <x v="0"/>
    <x v="239"/>
    <x v="4"/>
    <x v="1"/>
    <x v="4"/>
    <x v="2"/>
    <x v="2"/>
  </r>
  <r>
    <x v="828"/>
    <x v="828"/>
    <x v="0"/>
    <x v="38"/>
    <x v="2"/>
    <n v="3"/>
    <n v="15.69"/>
    <x v="2"/>
    <x v="521"/>
    <x v="4"/>
    <x v="2"/>
    <x v="4"/>
    <x v="3"/>
    <x v="0"/>
  </r>
  <r>
    <x v="829"/>
    <x v="829"/>
    <x v="0"/>
    <x v="41"/>
    <x v="1"/>
    <n v="3"/>
    <n v="900.24"/>
    <x v="0"/>
    <x v="522"/>
    <x v="3"/>
    <x v="4"/>
    <x v="4"/>
    <x v="1"/>
    <x v="0"/>
  </r>
  <r>
    <x v="830"/>
    <x v="830"/>
    <x v="0"/>
    <x v="39"/>
    <x v="3"/>
    <n v="3"/>
    <n v="121.98"/>
    <x v="0"/>
    <x v="523"/>
    <x v="4"/>
    <x v="3"/>
    <x v="4"/>
    <x v="5"/>
    <x v="1"/>
  </r>
  <r>
    <x v="831"/>
    <x v="831"/>
    <x v="0"/>
    <x v="37"/>
    <x v="3"/>
    <n v="1"/>
    <n v="40.659999999999997"/>
    <x v="2"/>
    <x v="524"/>
    <x v="4"/>
    <x v="29"/>
    <x v="4"/>
    <x v="5"/>
    <x v="1"/>
  </r>
  <r>
    <x v="832"/>
    <x v="832"/>
    <x v="1"/>
    <x v="45"/>
    <x v="0"/>
    <n v="3"/>
    <n v="3150"/>
    <x v="0"/>
    <x v="224"/>
    <x v="4"/>
    <x v="39"/>
    <x v="4"/>
    <x v="10"/>
    <x v="0"/>
  </r>
  <r>
    <x v="833"/>
    <x v="833"/>
    <x v="0"/>
    <x v="49"/>
    <x v="5"/>
    <n v="2"/>
    <n v="71.680000000000007"/>
    <x v="0"/>
    <x v="525"/>
    <x v="3"/>
    <x v="14"/>
    <x v="4"/>
    <x v="0"/>
    <x v="0"/>
  </r>
  <r>
    <x v="834"/>
    <x v="834"/>
    <x v="1"/>
    <x v="40"/>
    <x v="5"/>
    <n v="1"/>
    <n v="35.840000000000003"/>
    <x v="1"/>
    <x v="526"/>
    <x v="9"/>
    <x v="18"/>
    <x v="4"/>
    <x v="11"/>
    <x v="0"/>
  </r>
  <r>
    <x v="835"/>
    <x v="835"/>
    <x v="1"/>
    <x v="48"/>
    <x v="2"/>
    <n v="4"/>
    <n v="20.92"/>
    <x v="1"/>
    <x v="238"/>
    <x v="4"/>
    <x v="33"/>
    <x v="4"/>
    <x v="6"/>
    <x v="1"/>
  </r>
  <r>
    <x v="836"/>
    <x v="836"/>
    <x v="0"/>
    <x v="45"/>
    <x v="1"/>
    <n v="3"/>
    <n v="900.24"/>
    <x v="0"/>
    <x v="327"/>
    <x v="9"/>
    <x v="4"/>
    <x v="4"/>
    <x v="6"/>
    <x v="1"/>
  </r>
  <r>
    <x v="837"/>
    <x v="837"/>
    <x v="0"/>
    <x v="44"/>
    <x v="0"/>
    <n v="5"/>
    <n v="5250"/>
    <x v="0"/>
    <x v="489"/>
    <x v="9"/>
    <x v="35"/>
    <x v="4"/>
    <x v="0"/>
    <x v="0"/>
  </r>
  <r>
    <x v="838"/>
    <x v="838"/>
    <x v="1"/>
    <x v="40"/>
    <x v="5"/>
    <n v="3"/>
    <n v="107.52"/>
    <x v="0"/>
    <x v="527"/>
    <x v="5"/>
    <x v="23"/>
    <x v="4"/>
    <x v="3"/>
    <x v="0"/>
  </r>
  <r>
    <x v="839"/>
    <x v="839"/>
    <x v="0"/>
    <x v="50"/>
    <x v="5"/>
    <n v="2"/>
    <n v="71.680000000000007"/>
    <x v="1"/>
    <x v="434"/>
    <x v="2"/>
    <x v="14"/>
    <x v="4"/>
    <x v="4"/>
    <x v="0"/>
  </r>
  <r>
    <x v="840"/>
    <x v="840"/>
    <x v="0"/>
    <x v="48"/>
    <x v="1"/>
    <n v="3"/>
    <n v="900.24"/>
    <x v="2"/>
    <x v="361"/>
    <x v="3"/>
    <x v="4"/>
    <x v="4"/>
    <x v="4"/>
    <x v="1"/>
  </r>
  <r>
    <x v="841"/>
    <x v="841"/>
    <x v="0"/>
    <x v="47"/>
    <x v="3"/>
    <n v="4"/>
    <n v="162.63999999999999"/>
    <x v="0"/>
    <x v="528"/>
    <x v="5"/>
    <x v="15"/>
    <x v="4"/>
    <x v="3"/>
    <x v="0"/>
  </r>
  <r>
    <x v="842"/>
    <x v="842"/>
    <x v="1"/>
    <x v="48"/>
    <x v="1"/>
    <n v="1"/>
    <n v="300.08"/>
    <x v="2"/>
    <x v="60"/>
    <x v="4"/>
    <x v="1"/>
    <x v="4"/>
    <x v="7"/>
    <x v="1"/>
  </r>
  <r>
    <x v="843"/>
    <x v="843"/>
    <x v="0"/>
    <x v="51"/>
    <x v="7"/>
    <n v="3"/>
    <n v="45.45"/>
    <x v="0"/>
    <x v="208"/>
    <x v="1"/>
    <x v="25"/>
    <x v="4"/>
    <x v="11"/>
    <x v="2"/>
  </r>
  <r>
    <x v="844"/>
    <x v="844"/>
    <x v="0"/>
    <x v="37"/>
    <x v="7"/>
    <n v="3"/>
    <n v="45.45"/>
    <x v="1"/>
    <x v="529"/>
    <x v="0"/>
    <x v="25"/>
    <x v="4"/>
    <x v="8"/>
    <x v="0"/>
  </r>
  <r>
    <x v="845"/>
    <x v="845"/>
    <x v="0"/>
    <x v="41"/>
    <x v="1"/>
    <n v="3"/>
    <n v="900.24"/>
    <x v="0"/>
    <x v="530"/>
    <x v="4"/>
    <x v="4"/>
    <x v="4"/>
    <x v="0"/>
    <x v="1"/>
  </r>
  <r>
    <x v="846"/>
    <x v="846"/>
    <x v="0"/>
    <x v="49"/>
    <x v="3"/>
    <n v="2"/>
    <n v="81.319999999999993"/>
    <x v="1"/>
    <x v="164"/>
    <x v="1"/>
    <x v="26"/>
    <x v="4"/>
    <x v="3"/>
    <x v="1"/>
  </r>
  <r>
    <x v="847"/>
    <x v="847"/>
    <x v="1"/>
    <x v="39"/>
    <x v="5"/>
    <n v="2"/>
    <n v="71.680000000000007"/>
    <x v="0"/>
    <x v="531"/>
    <x v="4"/>
    <x v="14"/>
    <x v="4"/>
    <x v="6"/>
    <x v="1"/>
  </r>
  <r>
    <x v="848"/>
    <x v="848"/>
    <x v="0"/>
    <x v="45"/>
    <x v="1"/>
    <n v="4"/>
    <n v="1200.32"/>
    <x v="2"/>
    <x v="60"/>
    <x v="4"/>
    <x v="8"/>
    <x v="4"/>
    <x v="7"/>
    <x v="1"/>
  </r>
  <r>
    <x v="849"/>
    <x v="849"/>
    <x v="1"/>
    <x v="46"/>
    <x v="3"/>
    <n v="3"/>
    <n v="121.98"/>
    <x v="0"/>
    <x v="423"/>
    <x v="4"/>
    <x v="3"/>
    <x v="4"/>
    <x v="6"/>
    <x v="1"/>
  </r>
  <r>
    <x v="850"/>
    <x v="850"/>
    <x v="1"/>
    <x v="49"/>
    <x v="2"/>
    <n v="2"/>
    <n v="10.46"/>
    <x v="2"/>
    <x v="302"/>
    <x v="9"/>
    <x v="13"/>
    <x v="4"/>
    <x v="7"/>
    <x v="0"/>
  </r>
  <r>
    <x v="851"/>
    <x v="851"/>
    <x v="0"/>
    <x v="41"/>
    <x v="1"/>
    <n v="4"/>
    <n v="1200.32"/>
    <x v="1"/>
    <x v="59"/>
    <x v="1"/>
    <x v="8"/>
    <x v="4"/>
    <x v="9"/>
    <x v="0"/>
  </r>
  <r>
    <x v="852"/>
    <x v="852"/>
    <x v="0"/>
    <x v="43"/>
    <x v="6"/>
    <n v="2"/>
    <n v="23.46"/>
    <x v="0"/>
    <x v="509"/>
    <x v="4"/>
    <x v="36"/>
    <x v="4"/>
    <x v="5"/>
    <x v="1"/>
  </r>
  <r>
    <x v="853"/>
    <x v="853"/>
    <x v="0"/>
    <x v="41"/>
    <x v="3"/>
    <n v="1"/>
    <n v="40.659999999999997"/>
    <x v="1"/>
    <x v="278"/>
    <x v="0"/>
    <x v="29"/>
    <x v="4"/>
    <x v="8"/>
    <x v="1"/>
  </r>
  <r>
    <x v="854"/>
    <x v="854"/>
    <x v="0"/>
    <x v="39"/>
    <x v="4"/>
    <n v="5"/>
    <n v="3000.85"/>
    <x v="0"/>
    <x v="532"/>
    <x v="8"/>
    <x v="34"/>
    <x v="4"/>
    <x v="9"/>
    <x v="0"/>
  </r>
  <r>
    <x v="855"/>
    <x v="855"/>
    <x v="1"/>
    <x v="39"/>
    <x v="6"/>
    <n v="4"/>
    <n v="46.92"/>
    <x v="0"/>
    <x v="108"/>
    <x v="0"/>
    <x v="28"/>
    <x v="4"/>
    <x v="11"/>
    <x v="1"/>
  </r>
  <r>
    <x v="856"/>
    <x v="856"/>
    <x v="1"/>
    <x v="40"/>
    <x v="3"/>
    <n v="2"/>
    <n v="81.319999999999993"/>
    <x v="1"/>
    <x v="533"/>
    <x v="3"/>
    <x v="26"/>
    <x v="4"/>
    <x v="11"/>
    <x v="0"/>
  </r>
  <r>
    <x v="857"/>
    <x v="857"/>
    <x v="0"/>
    <x v="37"/>
    <x v="3"/>
    <n v="1"/>
    <n v="40.659999999999997"/>
    <x v="1"/>
    <x v="534"/>
    <x v="0"/>
    <x v="29"/>
    <x v="4"/>
    <x v="9"/>
    <x v="0"/>
  </r>
  <r>
    <x v="858"/>
    <x v="858"/>
    <x v="1"/>
    <x v="38"/>
    <x v="2"/>
    <n v="1"/>
    <n v="5.23"/>
    <x v="0"/>
    <x v="154"/>
    <x v="1"/>
    <x v="10"/>
    <x v="4"/>
    <x v="0"/>
    <x v="1"/>
  </r>
  <r>
    <x v="859"/>
    <x v="859"/>
    <x v="1"/>
    <x v="39"/>
    <x v="3"/>
    <n v="1"/>
    <n v="40.659999999999997"/>
    <x v="0"/>
    <x v="334"/>
    <x v="1"/>
    <x v="29"/>
    <x v="4"/>
    <x v="11"/>
    <x v="0"/>
  </r>
  <r>
    <x v="860"/>
    <x v="860"/>
    <x v="0"/>
    <x v="44"/>
    <x v="2"/>
    <n v="5"/>
    <n v="26.15"/>
    <x v="0"/>
    <x v="356"/>
    <x v="1"/>
    <x v="22"/>
    <x v="4"/>
    <x v="11"/>
    <x v="0"/>
  </r>
  <r>
    <x v="861"/>
    <x v="861"/>
    <x v="1"/>
    <x v="39"/>
    <x v="1"/>
    <n v="2"/>
    <n v="600.16"/>
    <x v="0"/>
    <x v="535"/>
    <x v="5"/>
    <x v="9"/>
    <x v="4"/>
    <x v="0"/>
    <x v="0"/>
  </r>
  <r>
    <x v="862"/>
    <x v="862"/>
    <x v="1"/>
    <x v="43"/>
    <x v="4"/>
    <n v="3"/>
    <n v="1800.51"/>
    <x v="1"/>
    <x v="536"/>
    <x v="0"/>
    <x v="37"/>
    <x v="4"/>
    <x v="3"/>
    <x v="1"/>
  </r>
  <r>
    <x v="863"/>
    <x v="863"/>
    <x v="0"/>
    <x v="40"/>
    <x v="3"/>
    <n v="3"/>
    <n v="121.98"/>
    <x v="1"/>
    <x v="487"/>
    <x v="0"/>
    <x v="3"/>
    <x v="4"/>
    <x v="2"/>
    <x v="0"/>
  </r>
  <r>
    <x v="864"/>
    <x v="864"/>
    <x v="1"/>
    <x v="51"/>
    <x v="2"/>
    <n v="5"/>
    <n v="26.15"/>
    <x v="2"/>
    <x v="132"/>
    <x v="8"/>
    <x v="22"/>
    <x v="4"/>
    <x v="5"/>
    <x v="0"/>
  </r>
  <r>
    <x v="865"/>
    <x v="865"/>
    <x v="0"/>
    <x v="42"/>
    <x v="1"/>
    <n v="2"/>
    <n v="600.16"/>
    <x v="1"/>
    <x v="537"/>
    <x v="0"/>
    <x v="9"/>
    <x v="4"/>
    <x v="10"/>
    <x v="2"/>
  </r>
  <r>
    <x v="866"/>
    <x v="866"/>
    <x v="0"/>
    <x v="46"/>
    <x v="7"/>
    <n v="3"/>
    <n v="45.45"/>
    <x v="2"/>
    <x v="526"/>
    <x v="0"/>
    <x v="25"/>
    <x v="4"/>
    <x v="11"/>
    <x v="0"/>
  </r>
  <r>
    <x v="867"/>
    <x v="867"/>
    <x v="0"/>
    <x v="43"/>
    <x v="7"/>
    <n v="1"/>
    <n v="15.15"/>
    <x v="1"/>
    <x v="538"/>
    <x v="4"/>
    <x v="27"/>
    <x v="4"/>
    <x v="8"/>
    <x v="1"/>
  </r>
  <r>
    <x v="868"/>
    <x v="868"/>
    <x v="0"/>
    <x v="49"/>
    <x v="0"/>
    <n v="3"/>
    <n v="3150"/>
    <x v="1"/>
    <x v="0"/>
    <x v="8"/>
    <x v="39"/>
    <x v="4"/>
    <x v="0"/>
    <x v="0"/>
  </r>
  <r>
    <x v="869"/>
    <x v="869"/>
    <x v="0"/>
    <x v="45"/>
    <x v="5"/>
    <n v="4"/>
    <n v="143.36000000000001"/>
    <x v="1"/>
    <x v="309"/>
    <x v="2"/>
    <x v="7"/>
    <x v="4"/>
    <x v="3"/>
    <x v="1"/>
  </r>
  <r>
    <x v="870"/>
    <x v="870"/>
    <x v="0"/>
    <x v="49"/>
    <x v="5"/>
    <n v="3"/>
    <n v="107.52"/>
    <x v="0"/>
    <x v="301"/>
    <x v="6"/>
    <x v="23"/>
    <x v="4"/>
    <x v="1"/>
    <x v="0"/>
  </r>
  <r>
    <x v="871"/>
    <x v="871"/>
    <x v="1"/>
    <x v="45"/>
    <x v="1"/>
    <n v="1"/>
    <n v="300.08"/>
    <x v="0"/>
    <x v="539"/>
    <x v="2"/>
    <x v="1"/>
    <x v="4"/>
    <x v="7"/>
    <x v="1"/>
  </r>
  <r>
    <x v="872"/>
    <x v="872"/>
    <x v="1"/>
    <x v="42"/>
    <x v="1"/>
    <n v="4"/>
    <n v="1200.32"/>
    <x v="1"/>
    <x v="204"/>
    <x v="2"/>
    <x v="8"/>
    <x v="4"/>
    <x v="1"/>
    <x v="1"/>
  </r>
  <r>
    <x v="873"/>
    <x v="873"/>
    <x v="0"/>
    <x v="45"/>
    <x v="5"/>
    <n v="5"/>
    <n v="179.2"/>
    <x v="0"/>
    <x v="540"/>
    <x v="3"/>
    <x v="17"/>
    <x v="4"/>
    <x v="5"/>
    <x v="1"/>
  </r>
  <r>
    <x v="874"/>
    <x v="874"/>
    <x v="1"/>
    <x v="51"/>
    <x v="1"/>
    <n v="3"/>
    <n v="900.24"/>
    <x v="1"/>
    <x v="429"/>
    <x v="4"/>
    <x v="4"/>
    <x v="4"/>
    <x v="11"/>
    <x v="0"/>
  </r>
  <r>
    <x v="875"/>
    <x v="875"/>
    <x v="0"/>
    <x v="46"/>
    <x v="4"/>
    <n v="1"/>
    <n v="600.16999999999996"/>
    <x v="1"/>
    <x v="438"/>
    <x v="6"/>
    <x v="38"/>
    <x v="4"/>
    <x v="5"/>
    <x v="1"/>
  </r>
  <r>
    <x v="876"/>
    <x v="876"/>
    <x v="0"/>
    <x v="51"/>
    <x v="1"/>
    <n v="5"/>
    <n v="1500.4"/>
    <x v="0"/>
    <x v="399"/>
    <x v="4"/>
    <x v="5"/>
    <x v="4"/>
    <x v="2"/>
    <x v="2"/>
  </r>
  <r>
    <x v="877"/>
    <x v="877"/>
    <x v="0"/>
    <x v="43"/>
    <x v="4"/>
    <n v="3"/>
    <n v="1800.51"/>
    <x v="0"/>
    <x v="24"/>
    <x v="6"/>
    <x v="37"/>
    <x v="4"/>
    <x v="11"/>
    <x v="1"/>
  </r>
  <r>
    <x v="878"/>
    <x v="878"/>
    <x v="0"/>
    <x v="39"/>
    <x v="1"/>
    <n v="2"/>
    <n v="600.16"/>
    <x v="1"/>
    <x v="541"/>
    <x v="2"/>
    <x v="9"/>
    <x v="4"/>
    <x v="4"/>
    <x v="1"/>
  </r>
  <r>
    <x v="879"/>
    <x v="879"/>
    <x v="1"/>
    <x v="47"/>
    <x v="7"/>
    <n v="4"/>
    <n v="60.6"/>
    <x v="1"/>
    <x v="542"/>
    <x v="7"/>
    <x v="21"/>
    <x v="4"/>
    <x v="5"/>
    <x v="1"/>
  </r>
  <r>
    <x v="880"/>
    <x v="880"/>
    <x v="1"/>
    <x v="45"/>
    <x v="1"/>
    <n v="5"/>
    <n v="1500.4"/>
    <x v="0"/>
    <x v="80"/>
    <x v="6"/>
    <x v="5"/>
    <x v="4"/>
    <x v="10"/>
    <x v="1"/>
  </r>
  <r>
    <x v="881"/>
    <x v="881"/>
    <x v="0"/>
    <x v="42"/>
    <x v="1"/>
    <n v="5"/>
    <n v="1500.4"/>
    <x v="1"/>
    <x v="234"/>
    <x v="0"/>
    <x v="5"/>
    <x v="4"/>
    <x v="5"/>
    <x v="1"/>
  </r>
  <r>
    <x v="882"/>
    <x v="882"/>
    <x v="1"/>
    <x v="37"/>
    <x v="4"/>
    <n v="2"/>
    <n v="1200.3399999999999"/>
    <x v="1"/>
    <x v="271"/>
    <x v="1"/>
    <x v="24"/>
    <x v="4"/>
    <x v="0"/>
    <x v="0"/>
  </r>
  <r>
    <x v="883"/>
    <x v="883"/>
    <x v="1"/>
    <x v="50"/>
    <x v="0"/>
    <n v="3"/>
    <n v="3150"/>
    <x v="2"/>
    <x v="421"/>
    <x v="0"/>
    <x v="39"/>
    <x v="4"/>
    <x v="10"/>
    <x v="2"/>
  </r>
  <r>
    <x v="884"/>
    <x v="884"/>
    <x v="1"/>
    <x v="40"/>
    <x v="1"/>
    <n v="3"/>
    <n v="900.24"/>
    <x v="1"/>
    <x v="543"/>
    <x v="1"/>
    <x v="4"/>
    <x v="4"/>
    <x v="2"/>
    <x v="2"/>
  </r>
  <r>
    <x v="885"/>
    <x v="885"/>
    <x v="0"/>
    <x v="47"/>
    <x v="1"/>
    <n v="5"/>
    <n v="1500.4"/>
    <x v="1"/>
    <x v="544"/>
    <x v="1"/>
    <x v="5"/>
    <x v="4"/>
    <x v="10"/>
    <x v="0"/>
  </r>
  <r>
    <x v="886"/>
    <x v="886"/>
    <x v="1"/>
    <x v="47"/>
    <x v="5"/>
    <n v="5"/>
    <n v="179.2"/>
    <x v="1"/>
    <x v="355"/>
    <x v="0"/>
    <x v="17"/>
    <x v="4"/>
    <x v="9"/>
    <x v="1"/>
  </r>
  <r>
    <x v="887"/>
    <x v="887"/>
    <x v="1"/>
    <x v="47"/>
    <x v="5"/>
    <n v="1"/>
    <n v="35.840000000000003"/>
    <x v="1"/>
    <x v="354"/>
    <x v="9"/>
    <x v="18"/>
    <x v="4"/>
    <x v="8"/>
    <x v="1"/>
  </r>
  <r>
    <x v="888"/>
    <x v="888"/>
    <x v="1"/>
    <x v="50"/>
    <x v="1"/>
    <n v="4"/>
    <n v="1200.32"/>
    <x v="1"/>
    <x v="464"/>
    <x v="9"/>
    <x v="8"/>
    <x v="4"/>
    <x v="11"/>
    <x v="1"/>
  </r>
  <r>
    <x v="889"/>
    <x v="889"/>
    <x v="0"/>
    <x v="42"/>
    <x v="1"/>
    <n v="2"/>
    <n v="600.16"/>
    <x v="2"/>
    <x v="371"/>
    <x v="4"/>
    <x v="9"/>
    <x v="4"/>
    <x v="2"/>
    <x v="1"/>
  </r>
  <r>
    <x v="890"/>
    <x v="890"/>
    <x v="0"/>
    <x v="48"/>
    <x v="5"/>
    <n v="1"/>
    <n v="35.840000000000003"/>
    <x v="0"/>
    <x v="545"/>
    <x v="1"/>
    <x v="18"/>
    <x v="4"/>
    <x v="6"/>
    <x v="0"/>
  </r>
  <r>
    <x v="891"/>
    <x v="891"/>
    <x v="1"/>
    <x v="48"/>
    <x v="2"/>
    <n v="1"/>
    <n v="5.23"/>
    <x v="0"/>
    <x v="392"/>
    <x v="5"/>
    <x v="10"/>
    <x v="4"/>
    <x v="0"/>
    <x v="1"/>
  </r>
  <r>
    <x v="892"/>
    <x v="892"/>
    <x v="1"/>
    <x v="37"/>
    <x v="5"/>
    <n v="3"/>
    <n v="107.52"/>
    <x v="1"/>
    <x v="379"/>
    <x v="6"/>
    <x v="23"/>
    <x v="4"/>
    <x v="1"/>
    <x v="1"/>
  </r>
  <r>
    <x v="893"/>
    <x v="893"/>
    <x v="0"/>
    <x v="48"/>
    <x v="3"/>
    <n v="4"/>
    <n v="162.63999999999999"/>
    <x v="0"/>
    <x v="437"/>
    <x v="6"/>
    <x v="15"/>
    <x v="4"/>
    <x v="10"/>
    <x v="0"/>
  </r>
  <r>
    <x v="894"/>
    <x v="894"/>
    <x v="0"/>
    <x v="40"/>
    <x v="1"/>
    <n v="2"/>
    <n v="600.16"/>
    <x v="0"/>
    <x v="546"/>
    <x v="0"/>
    <x v="9"/>
    <x v="4"/>
    <x v="0"/>
    <x v="1"/>
  </r>
  <r>
    <x v="895"/>
    <x v="895"/>
    <x v="0"/>
    <x v="37"/>
    <x v="2"/>
    <n v="2"/>
    <n v="10.46"/>
    <x v="0"/>
    <x v="547"/>
    <x v="8"/>
    <x v="13"/>
    <x v="4"/>
    <x v="2"/>
    <x v="0"/>
  </r>
  <r>
    <x v="896"/>
    <x v="896"/>
    <x v="0"/>
    <x v="51"/>
    <x v="3"/>
    <n v="1"/>
    <n v="40.659999999999997"/>
    <x v="0"/>
    <x v="164"/>
    <x v="1"/>
    <x v="29"/>
    <x v="4"/>
    <x v="3"/>
    <x v="1"/>
  </r>
  <r>
    <x v="897"/>
    <x v="897"/>
    <x v="0"/>
    <x v="45"/>
    <x v="6"/>
    <n v="1"/>
    <n v="11.73"/>
    <x v="2"/>
    <x v="32"/>
    <x v="4"/>
    <x v="31"/>
    <x v="4"/>
    <x v="11"/>
    <x v="0"/>
  </r>
  <r>
    <x v="898"/>
    <x v="898"/>
    <x v="1"/>
    <x v="50"/>
    <x v="4"/>
    <n v="2"/>
    <n v="1200.3399999999999"/>
    <x v="1"/>
    <x v="548"/>
    <x v="3"/>
    <x v="24"/>
    <x v="4"/>
    <x v="1"/>
    <x v="0"/>
  </r>
  <r>
    <x v="899"/>
    <x v="899"/>
    <x v="0"/>
    <x v="45"/>
    <x v="3"/>
    <n v="3"/>
    <n v="121.98"/>
    <x v="0"/>
    <x v="328"/>
    <x v="4"/>
    <x v="3"/>
    <x v="4"/>
    <x v="10"/>
    <x v="2"/>
  </r>
  <r>
    <x v="900"/>
    <x v="900"/>
    <x v="0"/>
    <x v="37"/>
    <x v="2"/>
    <n v="1"/>
    <n v="5.23"/>
    <x v="2"/>
    <x v="21"/>
    <x v="9"/>
    <x v="10"/>
    <x v="4"/>
    <x v="5"/>
    <x v="0"/>
  </r>
  <r>
    <x v="901"/>
    <x v="901"/>
    <x v="0"/>
    <x v="42"/>
    <x v="4"/>
    <n v="3"/>
    <n v="1800.51"/>
    <x v="1"/>
    <x v="499"/>
    <x v="4"/>
    <x v="37"/>
    <x v="4"/>
    <x v="2"/>
    <x v="0"/>
  </r>
  <r>
    <x v="902"/>
    <x v="902"/>
    <x v="0"/>
    <x v="44"/>
    <x v="1"/>
    <n v="4"/>
    <n v="1200.32"/>
    <x v="1"/>
    <x v="447"/>
    <x v="1"/>
    <x v="8"/>
    <x v="4"/>
    <x v="2"/>
    <x v="0"/>
  </r>
  <r>
    <x v="903"/>
    <x v="903"/>
    <x v="0"/>
    <x v="42"/>
    <x v="5"/>
    <n v="2"/>
    <n v="71.680000000000007"/>
    <x v="0"/>
    <x v="532"/>
    <x v="4"/>
    <x v="14"/>
    <x v="4"/>
    <x v="9"/>
    <x v="0"/>
  </r>
  <r>
    <x v="904"/>
    <x v="904"/>
    <x v="0"/>
    <x v="42"/>
    <x v="2"/>
    <n v="3"/>
    <n v="15.69"/>
    <x v="1"/>
    <x v="549"/>
    <x v="6"/>
    <x v="2"/>
    <x v="4"/>
    <x v="10"/>
    <x v="2"/>
  </r>
  <r>
    <x v="905"/>
    <x v="905"/>
    <x v="1"/>
    <x v="38"/>
    <x v="7"/>
    <n v="1"/>
    <n v="15.15"/>
    <x v="0"/>
    <x v="311"/>
    <x v="4"/>
    <x v="27"/>
    <x v="4"/>
    <x v="7"/>
    <x v="0"/>
  </r>
  <r>
    <x v="906"/>
    <x v="906"/>
    <x v="0"/>
    <x v="37"/>
    <x v="1"/>
    <n v="2"/>
    <n v="600.16"/>
    <x v="0"/>
    <x v="39"/>
    <x v="1"/>
    <x v="9"/>
    <x v="4"/>
    <x v="8"/>
    <x v="1"/>
  </r>
  <r>
    <x v="907"/>
    <x v="907"/>
    <x v="1"/>
    <x v="49"/>
    <x v="5"/>
    <n v="1"/>
    <n v="35.840000000000003"/>
    <x v="0"/>
    <x v="186"/>
    <x v="0"/>
    <x v="18"/>
    <x v="4"/>
    <x v="8"/>
    <x v="0"/>
  </r>
  <r>
    <x v="908"/>
    <x v="908"/>
    <x v="0"/>
    <x v="41"/>
    <x v="5"/>
    <n v="4"/>
    <n v="143.36000000000001"/>
    <x v="2"/>
    <x v="458"/>
    <x v="0"/>
    <x v="7"/>
    <x v="4"/>
    <x v="6"/>
    <x v="1"/>
  </r>
  <r>
    <x v="909"/>
    <x v="909"/>
    <x v="0"/>
    <x v="44"/>
    <x v="0"/>
    <n v="4"/>
    <n v="4200"/>
    <x v="1"/>
    <x v="550"/>
    <x v="6"/>
    <x v="0"/>
    <x v="4"/>
    <x v="3"/>
    <x v="0"/>
  </r>
  <r>
    <x v="910"/>
    <x v="910"/>
    <x v="0"/>
    <x v="47"/>
    <x v="3"/>
    <n v="1"/>
    <n v="40.659999999999997"/>
    <x v="1"/>
    <x v="551"/>
    <x v="1"/>
    <x v="29"/>
    <x v="4"/>
    <x v="7"/>
    <x v="0"/>
  </r>
  <r>
    <x v="911"/>
    <x v="911"/>
    <x v="0"/>
    <x v="37"/>
    <x v="1"/>
    <n v="5"/>
    <n v="1500.4"/>
    <x v="2"/>
    <x v="552"/>
    <x v="4"/>
    <x v="5"/>
    <x v="4"/>
    <x v="8"/>
    <x v="1"/>
  </r>
  <r>
    <x v="912"/>
    <x v="912"/>
    <x v="1"/>
    <x v="48"/>
    <x v="2"/>
    <n v="4"/>
    <n v="20.92"/>
    <x v="1"/>
    <x v="553"/>
    <x v="4"/>
    <x v="33"/>
    <x v="4"/>
    <x v="5"/>
    <x v="1"/>
  </r>
  <r>
    <x v="913"/>
    <x v="913"/>
    <x v="0"/>
    <x v="42"/>
    <x v="3"/>
    <n v="2"/>
    <n v="81.319999999999993"/>
    <x v="1"/>
    <x v="439"/>
    <x v="0"/>
    <x v="26"/>
    <x v="4"/>
    <x v="3"/>
    <x v="0"/>
  </r>
  <r>
    <x v="914"/>
    <x v="914"/>
    <x v="0"/>
    <x v="49"/>
    <x v="0"/>
    <n v="1"/>
    <n v="1050"/>
    <x v="0"/>
    <x v="24"/>
    <x v="0"/>
    <x v="11"/>
    <x v="4"/>
    <x v="11"/>
    <x v="1"/>
  </r>
  <r>
    <x v="915"/>
    <x v="915"/>
    <x v="1"/>
    <x v="37"/>
    <x v="4"/>
    <n v="1"/>
    <n v="600.16999999999996"/>
    <x v="1"/>
    <x v="554"/>
    <x v="4"/>
    <x v="38"/>
    <x v="4"/>
    <x v="10"/>
    <x v="0"/>
  </r>
  <r>
    <x v="916"/>
    <x v="916"/>
    <x v="0"/>
    <x v="40"/>
    <x v="1"/>
    <n v="2"/>
    <n v="600.16"/>
    <x v="1"/>
    <x v="185"/>
    <x v="3"/>
    <x v="9"/>
    <x v="4"/>
    <x v="2"/>
    <x v="1"/>
  </r>
  <r>
    <x v="917"/>
    <x v="917"/>
    <x v="1"/>
    <x v="42"/>
    <x v="0"/>
    <n v="3"/>
    <n v="3150"/>
    <x v="0"/>
    <x v="502"/>
    <x v="1"/>
    <x v="39"/>
    <x v="4"/>
    <x v="5"/>
    <x v="0"/>
  </r>
  <r>
    <x v="918"/>
    <x v="918"/>
    <x v="0"/>
    <x v="41"/>
    <x v="1"/>
    <n v="5"/>
    <n v="1500.4"/>
    <x v="0"/>
    <x v="551"/>
    <x v="1"/>
    <x v="5"/>
    <x v="4"/>
    <x v="7"/>
    <x v="0"/>
  </r>
  <r>
    <x v="919"/>
    <x v="919"/>
    <x v="1"/>
    <x v="46"/>
    <x v="3"/>
    <n v="4"/>
    <n v="162.63999999999999"/>
    <x v="0"/>
    <x v="555"/>
    <x v="5"/>
    <x v="15"/>
    <x v="4"/>
    <x v="8"/>
    <x v="0"/>
  </r>
  <r>
    <x v="920"/>
    <x v="920"/>
    <x v="0"/>
    <x v="43"/>
    <x v="5"/>
    <n v="2"/>
    <n v="71.680000000000007"/>
    <x v="0"/>
    <x v="307"/>
    <x v="3"/>
    <x v="14"/>
    <x v="4"/>
    <x v="3"/>
    <x v="1"/>
  </r>
  <r>
    <x v="921"/>
    <x v="921"/>
    <x v="0"/>
    <x v="41"/>
    <x v="5"/>
    <n v="2"/>
    <n v="71.680000000000007"/>
    <x v="1"/>
    <x v="287"/>
    <x v="2"/>
    <x v="14"/>
    <x v="4"/>
    <x v="8"/>
    <x v="1"/>
  </r>
  <r>
    <x v="922"/>
    <x v="922"/>
    <x v="0"/>
    <x v="50"/>
    <x v="3"/>
    <n v="5"/>
    <n v="203.3"/>
    <x v="1"/>
    <x v="398"/>
    <x v="1"/>
    <x v="12"/>
    <x v="4"/>
    <x v="11"/>
    <x v="0"/>
  </r>
  <r>
    <x v="923"/>
    <x v="923"/>
    <x v="0"/>
    <x v="39"/>
    <x v="1"/>
    <n v="5"/>
    <n v="1500.4"/>
    <x v="1"/>
    <x v="268"/>
    <x v="3"/>
    <x v="5"/>
    <x v="4"/>
    <x v="10"/>
    <x v="2"/>
  </r>
  <r>
    <x v="924"/>
    <x v="924"/>
    <x v="0"/>
    <x v="43"/>
    <x v="0"/>
    <n v="5"/>
    <n v="5250"/>
    <x v="0"/>
    <x v="556"/>
    <x v="3"/>
    <x v="35"/>
    <x v="4"/>
    <x v="7"/>
    <x v="0"/>
  </r>
  <r>
    <x v="925"/>
    <x v="925"/>
    <x v="0"/>
    <x v="51"/>
    <x v="4"/>
    <n v="3"/>
    <n v="1800.51"/>
    <x v="0"/>
    <x v="220"/>
    <x v="1"/>
    <x v="37"/>
    <x v="4"/>
    <x v="11"/>
    <x v="0"/>
  </r>
  <r>
    <x v="926"/>
    <x v="926"/>
    <x v="1"/>
    <x v="46"/>
    <x v="1"/>
    <n v="2"/>
    <n v="600.16"/>
    <x v="1"/>
    <x v="272"/>
    <x v="2"/>
    <x v="9"/>
    <x v="4"/>
    <x v="11"/>
    <x v="2"/>
  </r>
  <r>
    <x v="927"/>
    <x v="927"/>
    <x v="1"/>
    <x v="41"/>
    <x v="6"/>
    <n v="5"/>
    <n v="58.65"/>
    <x v="0"/>
    <x v="96"/>
    <x v="7"/>
    <x v="32"/>
    <x v="4"/>
    <x v="2"/>
    <x v="0"/>
  </r>
  <r>
    <x v="928"/>
    <x v="928"/>
    <x v="0"/>
    <x v="40"/>
    <x v="6"/>
    <n v="1"/>
    <n v="11.73"/>
    <x v="0"/>
    <x v="405"/>
    <x v="0"/>
    <x v="31"/>
    <x v="4"/>
    <x v="2"/>
    <x v="0"/>
  </r>
  <r>
    <x v="929"/>
    <x v="929"/>
    <x v="1"/>
    <x v="40"/>
    <x v="1"/>
    <n v="3"/>
    <n v="900.24"/>
    <x v="1"/>
    <x v="557"/>
    <x v="4"/>
    <x v="4"/>
    <x v="4"/>
    <x v="1"/>
    <x v="1"/>
  </r>
  <r>
    <x v="930"/>
    <x v="930"/>
    <x v="0"/>
    <x v="48"/>
    <x v="1"/>
    <n v="5"/>
    <n v="1500.4"/>
    <x v="1"/>
    <x v="558"/>
    <x v="0"/>
    <x v="5"/>
    <x v="4"/>
    <x v="3"/>
    <x v="0"/>
  </r>
  <r>
    <x v="931"/>
    <x v="931"/>
    <x v="0"/>
    <x v="43"/>
    <x v="1"/>
    <n v="3"/>
    <n v="900.24"/>
    <x v="1"/>
    <x v="363"/>
    <x v="8"/>
    <x v="4"/>
    <x v="4"/>
    <x v="4"/>
    <x v="0"/>
  </r>
  <r>
    <x v="932"/>
    <x v="932"/>
    <x v="1"/>
    <x v="51"/>
    <x v="1"/>
    <n v="5"/>
    <n v="1500.4"/>
    <x v="2"/>
    <x v="559"/>
    <x v="2"/>
    <x v="5"/>
    <x v="4"/>
    <x v="6"/>
    <x v="0"/>
  </r>
  <r>
    <x v="933"/>
    <x v="933"/>
    <x v="0"/>
    <x v="38"/>
    <x v="1"/>
    <n v="4"/>
    <n v="1200.32"/>
    <x v="2"/>
    <x v="560"/>
    <x v="7"/>
    <x v="8"/>
    <x v="4"/>
    <x v="3"/>
    <x v="1"/>
  </r>
  <r>
    <x v="934"/>
    <x v="934"/>
    <x v="0"/>
    <x v="48"/>
    <x v="1"/>
    <n v="5"/>
    <n v="1500.4"/>
    <x v="0"/>
    <x v="388"/>
    <x v="0"/>
    <x v="5"/>
    <x v="4"/>
    <x v="3"/>
    <x v="0"/>
  </r>
  <r>
    <x v="935"/>
    <x v="935"/>
    <x v="1"/>
    <x v="44"/>
    <x v="4"/>
    <n v="5"/>
    <n v="3000.85"/>
    <x v="1"/>
    <x v="298"/>
    <x v="0"/>
    <x v="34"/>
    <x v="4"/>
    <x v="10"/>
    <x v="0"/>
  </r>
  <r>
    <x v="936"/>
    <x v="936"/>
    <x v="1"/>
    <x v="50"/>
    <x v="4"/>
    <n v="4"/>
    <n v="2400.6799999999998"/>
    <x v="1"/>
    <x v="390"/>
    <x v="4"/>
    <x v="6"/>
    <x v="4"/>
    <x v="5"/>
    <x v="0"/>
  </r>
  <r>
    <x v="937"/>
    <x v="937"/>
    <x v="1"/>
    <x v="47"/>
    <x v="3"/>
    <n v="5"/>
    <n v="203.3"/>
    <x v="0"/>
    <x v="561"/>
    <x v="3"/>
    <x v="12"/>
    <x v="4"/>
    <x v="0"/>
    <x v="1"/>
  </r>
  <r>
    <x v="938"/>
    <x v="938"/>
    <x v="1"/>
    <x v="40"/>
    <x v="2"/>
    <n v="2"/>
    <n v="10.46"/>
    <x v="2"/>
    <x v="124"/>
    <x v="4"/>
    <x v="13"/>
    <x v="4"/>
    <x v="9"/>
    <x v="1"/>
  </r>
  <r>
    <x v="939"/>
    <x v="939"/>
    <x v="1"/>
    <x v="41"/>
    <x v="1"/>
    <n v="1"/>
    <n v="300.08"/>
    <x v="1"/>
    <x v="43"/>
    <x v="0"/>
    <x v="1"/>
    <x v="4"/>
    <x v="8"/>
    <x v="0"/>
  </r>
  <r>
    <x v="940"/>
    <x v="940"/>
    <x v="1"/>
    <x v="51"/>
    <x v="4"/>
    <n v="2"/>
    <n v="1200.3399999999999"/>
    <x v="1"/>
    <x v="562"/>
    <x v="7"/>
    <x v="24"/>
    <x v="4"/>
    <x v="6"/>
    <x v="1"/>
  </r>
  <r>
    <x v="941"/>
    <x v="941"/>
    <x v="1"/>
    <x v="51"/>
    <x v="1"/>
    <n v="3"/>
    <n v="900.24"/>
    <x v="1"/>
    <x v="563"/>
    <x v="3"/>
    <x v="4"/>
    <x v="4"/>
    <x v="6"/>
    <x v="0"/>
  </r>
  <r>
    <x v="942"/>
    <x v="942"/>
    <x v="1"/>
    <x v="51"/>
    <x v="3"/>
    <n v="1"/>
    <n v="40.659999999999997"/>
    <x v="0"/>
    <x v="564"/>
    <x v="4"/>
    <x v="29"/>
    <x v="4"/>
    <x v="2"/>
    <x v="0"/>
  </r>
  <r>
    <x v="943"/>
    <x v="943"/>
    <x v="0"/>
    <x v="38"/>
    <x v="3"/>
    <n v="3"/>
    <n v="121.98"/>
    <x v="1"/>
    <x v="420"/>
    <x v="6"/>
    <x v="3"/>
    <x v="4"/>
    <x v="10"/>
    <x v="1"/>
  </r>
  <r>
    <x v="944"/>
    <x v="944"/>
    <x v="0"/>
    <x v="46"/>
    <x v="1"/>
    <n v="2"/>
    <n v="600.16"/>
    <x v="2"/>
    <x v="565"/>
    <x v="9"/>
    <x v="9"/>
    <x v="4"/>
    <x v="1"/>
    <x v="1"/>
  </r>
  <r>
    <x v="945"/>
    <x v="945"/>
    <x v="1"/>
    <x v="41"/>
    <x v="1"/>
    <n v="3"/>
    <n v="900.24"/>
    <x v="1"/>
    <x v="458"/>
    <x v="1"/>
    <x v="4"/>
    <x v="4"/>
    <x v="6"/>
    <x v="1"/>
  </r>
  <r>
    <x v="946"/>
    <x v="946"/>
    <x v="0"/>
    <x v="46"/>
    <x v="4"/>
    <n v="2"/>
    <n v="1200.3399999999999"/>
    <x v="0"/>
    <x v="551"/>
    <x v="0"/>
    <x v="24"/>
    <x v="4"/>
    <x v="7"/>
    <x v="0"/>
  </r>
  <r>
    <x v="947"/>
    <x v="947"/>
    <x v="0"/>
    <x v="37"/>
    <x v="4"/>
    <n v="4"/>
    <n v="2400.6799999999998"/>
    <x v="1"/>
    <x v="464"/>
    <x v="6"/>
    <x v="6"/>
    <x v="4"/>
    <x v="11"/>
    <x v="1"/>
  </r>
  <r>
    <x v="948"/>
    <x v="948"/>
    <x v="0"/>
    <x v="50"/>
    <x v="1"/>
    <n v="2"/>
    <n v="600.16"/>
    <x v="1"/>
    <x v="321"/>
    <x v="0"/>
    <x v="9"/>
    <x v="4"/>
    <x v="8"/>
    <x v="0"/>
  </r>
  <r>
    <x v="949"/>
    <x v="949"/>
    <x v="1"/>
    <x v="48"/>
    <x v="3"/>
    <n v="4"/>
    <n v="162.63999999999999"/>
    <x v="1"/>
    <x v="260"/>
    <x v="9"/>
    <x v="15"/>
    <x v="4"/>
    <x v="7"/>
    <x v="0"/>
  </r>
  <r>
    <x v="950"/>
    <x v="950"/>
    <x v="1"/>
    <x v="38"/>
    <x v="1"/>
    <n v="1"/>
    <n v="300.08"/>
    <x v="1"/>
    <x v="148"/>
    <x v="4"/>
    <x v="1"/>
    <x v="4"/>
    <x v="11"/>
    <x v="2"/>
  </r>
  <r>
    <x v="951"/>
    <x v="951"/>
    <x v="1"/>
    <x v="39"/>
    <x v="3"/>
    <n v="3"/>
    <n v="121.98"/>
    <x v="0"/>
    <x v="566"/>
    <x v="4"/>
    <x v="3"/>
    <x v="4"/>
    <x v="2"/>
    <x v="1"/>
  </r>
  <r>
    <x v="952"/>
    <x v="952"/>
    <x v="0"/>
    <x v="39"/>
    <x v="1"/>
    <n v="1"/>
    <n v="300.08"/>
    <x v="0"/>
    <x v="107"/>
    <x v="6"/>
    <x v="1"/>
    <x v="4"/>
    <x v="7"/>
    <x v="1"/>
  </r>
  <r>
    <x v="953"/>
    <x v="953"/>
    <x v="1"/>
    <x v="50"/>
    <x v="4"/>
    <n v="5"/>
    <n v="3000.85"/>
    <x v="0"/>
    <x v="567"/>
    <x v="0"/>
    <x v="34"/>
    <x v="4"/>
    <x v="2"/>
    <x v="0"/>
  </r>
  <r>
    <x v="954"/>
    <x v="954"/>
    <x v="1"/>
    <x v="49"/>
    <x v="3"/>
    <n v="3"/>
    <n v="121.98"/>
    <x v="2"/>
    <x v="226"/>
    <x v="0"/>
    <x v="3"/>
    <x v="4"/>
    <x v="9"/>
    <x v="0"/>
  </r>
  <r>
    <x v="955"/>
    <x v="955"/>
    <x v="0"/>
    <x v="37"/>
    <x v="2"/>
    <n v="2"/>
    <n v="10.46"/>
    <x v="0"/>
    <x v="202"/>
    <x v="0"/>
    <x v="13"/>
    <x v="4"/>
    <x v="5"/>
    <x v="1"/>
  </r>
  <r>
    <x v="956"/>
    <x v="956"/>
    <x v="0"/>
    <x v="37"/>
    <x v="4"/>
    <n v="5"/>
    <n v="3000.85"/>
    <x v="0"/>
    <x v="169"/>
    <x v="0"/>
    <x v="34"/>
    <x v="4"/>
    <x v="3"/>
    <x v="1"/>
  </r>
  <r>
    <x v="957"/>
    <x v="957"/>
    <x v="0"/>
    <x v="47"/>
    <x v="1"/>
    <n v="4"/>
    <n v="1200.32"/>
    <x v="0"/>
    <x v="93"/>
    <x v="0"/>
    <x v="8"/>
    <x v="4"/>
    <x v="2"/>
    <x v="1"/>
  </r>
  <r>
    <x v="958"/>
    <x v="958"/>
    <x v="0"/>
    <x v="41"/>
    <x v="1"/>
    <n v="3"/>
    <n v="900.24"/>
    <x v="2"/>
    <x v="29"/>
    <x v="0"/>
    <x v="4"/>
    <x v="4"/>
    <x v="11"/>
    <x v="1"/>
  </r>
  <r>
    <x v="959"/>
    <x v="959"/>
    <x v="1"/>
    <x v="47"/>
    <x v="5"/>
    <n v="3"/>
    <n v="107.52"/>
    <x v="1"/>
    <x v="568"/>
    <x v="1"/>
    <x v="23"/>
    <x v="4"/>
    <x v="3"/>
    <x v="0"/>
  </r>
  <r>
    <x v="960"/>
    <x v="960"/>
    <x v="0"/>
    <x v="50"/>
    <x v="1"/>
    <n v="2"/>
    <n v="600.16"/>
    <x v="1"/>
    <x v="569"/>
    <x v="5"/>
    <x v="9"/>
    <x v="4"/>
    <x v="2"/>
    <x v="2"/>
  </r>
  <r>
    <x v="961"/>
    <x v="961"/>
    <x v="1"/>
    <x v="47"/>
    <x v="0"/>
    <n v="4"/>
    <n v="4200"/>
    <x v="0"/>
    <x v="14"/>
    <x v="0"/>
    <x v="0"/>
    <x v="4"/>
    <x v="3"/>
    <x v="0"/>
  </r>
  <r>
    <x v="962"/>
    <x v="962"/>
    <x v="0"/>
    <x v="38"/>
    <x v="4"/>
    <n v="4"/>
    <n v="2400.6799999999998"/>
    <x v="2"/>
    <x v="214"/>
    <x v="9"/>
    <x v="6"/>
    <x v="4"/>
    <x v="10"/>
    <x v="2"/>
  </r>
  <r>
    <x v="963"/>
    <x v="963"/>
    <x v="0"/>
    <x v="43"/>
    <x v="0"/>
    <n v="3"/>
    <n v="3150"/>
    <x v="0"/>
    <x v="570"/>
    <x v="0"/>
    <x v="39"/>
    <x v="4"/>
    <x v="7"/>
    <x v="0"/>
  </r>
  <r>
    <x v="964"/>
    <x v="964"/>
    <x v="0"/>
    <x v="39"/>
    <x v="0"/>
    <n v="2"/>
    <n v="2100"/>
    <x v="1"/>
    <x v="349"/>
    <x v="1"/>
    <x v="19"/>
    <x v="4"/>
    <x v="8"/>
    <x v="0"/>
  </r>
  <r>
    <x v="965"/>
    <x v="965"/>
    <x v="0"/>
    <x v="48"/>
    <x v="4"/>
    <n v="2"/>
    <n v="1200.3399999999999"/>
    <x v="0"/>
    <x v="457"/>
    <x v="2"/>
    <x v="24"/>
    <x v="4"/>
    <x v="8"/>
    <x v="1"/>
  </r>
  <r>
    <x v="966"/>
    <x v="966"/>
    <x v="0"/>
    <x v="42"/>
    <x v="2"/>
    <n v="1"/>
    <n v="5.23"/>
    <x v="1"/>
    <x v="39"/>
    <x v="8"/>
    <x v="10"/>
    <x v="4"/>
    <x v="8"/>
    <x v="1"/>
  </r>
  <r>
    <x v="967"/>
    <x v="967"/>
    <x v="0"/>
    <x v="40"/>
    <x v="2"/>
    <n v="1"/>
    <n v="5.23"/>
    <x v="0"/>
    <x v="571"/>
    <x v="3"/>
    <x v="10"/>
    <x v="4"/>
    <x v="10"/>
    <x v="2"/>
  </r>
  <r>
    <x v="968"/>
    <x v="968"/>
    <x v="0"/>
    <x v="45"/>
    <x v="1"/>
    <n v="1"/>
    <n v="300.08"/>
    <x v="1"/>
    <x v="55"/>
    <x v="1"/>
    <x v="1"/>
    <x v="4"/>
    <x v="0"/>
    <x v="0"/>
  </r>
  <r>
    <x v="969"/>
    <x v="969"/>
    <x v="1"/>
    <x v="47"/>
    <x v="5"/>
    <n v="1"/>
    <n v="35.840000000000003"/>
    <x v="1"/>
    <x v="453"/>
    <x v="2"/>
    <x v="18"/>
    <x v="4"/>
    <x v="2"/>
    <x v="1"/>
  </r>
  <r>
    <x v="970"/>
    <x v="970"/>
    <x v="0"/>
    <x v="37"/>
    <x v="1"/>
    <n v="4"/>
    <n v="1200.32"/>
    <x v="0"/>
    <x v="555"/>
    <x v="1"/>
    <x v="8"/>
    <x v="4"/>
    <x v="8"/>
    <x v="0"/>
  </r>
  <r>
    <x v="971"/>
    <x v="971"/>
    <x v="1"/>
    <x v="42"/>
    <x v="7"/>
    <n v="3"/>
    <n v="45.45"/>
    <x v="2"/>
    <x v="34"/>
    <x v="0"/>
    <x v="25"/>
    <x v="4"/>
    <x v="11"/>
    <x v="0"/>
  </r>
  <r>
    <x v="972"/>
    <x v="972"/>
    <x v="0"/>
    <x v="49"/>
    <x v="4"/>
    <n v="1"/>
    <n v="600.16999999999996"/>
    <x v="2"/>
    <x v="299"/>
    <x v="4"/>
    <x v="38"/>
    <x v="4"/>
    <x v="2"/>
    <x v="1"/>
  </r>
  <r>
    <x v="973"/>
    <x v="973"/>
    <x v="0"/>
    <x v="45"/>
    <x v="1"/>
    <n v="4"/>
    <n v="1200.32"/>
    <x v="1"/>
    <x v="29"/>
    <x v="0"/>
    <x v="8"/>
    <x v="4"/>
    <x v="11"/>
    <x v="1"/>
  </r>
  <r>
    <x v="974"/>
    <x v="974"/>
    <x v="0"/>
    <x v="44"/>
    <x v="1"/>
    <n v="1"/>
    <n v="300.08"/>
    <x v="1"/>
    <x v="572"/>
    <x v="7"/>
    <x v="1"/>
    <x v="4"/>
    <x v="3"/>
    <x v="0"/>
  </r>
  <r>
    <x v="975"/>
    <x v="975"/>
    <x v="1"/>
    <x v="50"/>
    <x v="3"/>
    <n v="5"/>
    <n v="203.3"/>
    <x v="1"/>
    <x v="573"/>
    <x v="4"/>
    <x v="12"/>
    <x v="4"/>
    <x v="7"/>
    <x v="0"/>
  </r>
  <r>
    <x v="976"/>
    <x v="976"/>
    <x v="1"/>
    <x v="48"/>
    <x v="5"/>
    <n v="1"/>
    <n v="35.840000000000003"/>
    <x v="0"/>
    <x v="142"/>
    <x v="8"/>
    <x v="18"/>
    <x v="4"/>
    <x v="9"/>
    <x v="0"/>
  </r>
  <r>
    <x v="977"/>
    <x v="977"/>
    <x v="1"/>
    <x v="49"/>
    <x v="1"/>
    <n v="3"/>
    <n v="900.24"/>
    <x v="2"/>
    <x v="35"/>
    <x v="1"/>
    <x v="4"/>
    <x v="4"/>
    <x v="5"/>
    <x v="1"/>
  </r>
  <r>
    <x v="978"/>
    <x v="978"/>
    <x v="1"/>
    <x v="41"/>
    <x v="5"/>
    <n v="4"/>
    <n v="143.36000000000001"/>
    <x v="2"/>
    <x v="574"/>
    <x v="6"/>
    <x v="7"/>
    <x v="4"/>
    <x v="8"/>
    <x v="0"/>
  </r>
  <r>
    <x v="979"/>
    <x v="979"/>
    <x v="0"/>
    <x v="44"/>
    <x v="2"/>
    <n v="1"/>
    <n v="5.23"/>
    <x v="0"/>
    <x v="311"/>
    <x v="5"/>
    <x v="10"/>
    <x v="4"/>
    <x v="7"/>
    <x v="0"/>
  </r>
  <r>
    <x v="980"/>
    <x v="980"/>
    <x v="1"/>
    <x v="44"/>
    <x v="3"/>
    <n v="1"/>
    <n v="40.659999999999997"/>
    <x v="1"/>
    <x v="29"/>
    <x v="0"/>
    <x v="29"/>
    <x v="4"/>
    <x v="11"/>
    <x v="1"/>
  </r>
  <r>
    <x v="981"/>
    <x v="981"/>
    <x v="0"/>
    <x v="49"/>
    <x v="3"/>
    <n v="1"/>
    <n v="40.659999999999997"/>
    <x v="0"/>
    <x v="63"/>
    <x v="0"/>
    <x v="29"/>
    <x v="4"/>
    <x v="1"/>
    <x v="1"/>
  </r>
  <r>
    <x v="982"/>
    <x v="982"/>
    <x v="0"/>
    <x v="46"/>
    <x v="1"/>
    <n v="3"/>
    <n v="900.24"/>
    <x v="0"/>
    <x v="460"/>
    <x v="8"/>
    <x v="4"/>
    <x v="4"/>
    <x v="9"/>
    <x v="0"/>
  </r>
  <r>
    <x v="983"/>
    <x v="983"/>
    <x v="0"/>
    <x v="45"/>
    <x v="4"/>
    <n v="2"/>
    <n v="1200.3399999999999"/>
    <x v="0"/>
    <x v="540"/>
    <x v="8"/>
    <x v="24"/>
    <x v="4"/>
    <x v="5"/>
    <x v="1"/>
  </r>
  <r>
    <x v="984"/>
    <x v="984"/>
    <x v="0"/>
    <x v="46"/>
    <x v="3"/>
    <n v="2"/>
    <n v="81.319999999999993"/>
    <x v="2"/>
    <x v="128"/>
    <x v="0"/>
    <x v="26"/>
    <x v="4"/>
    <x v="5"/>
    <x v="1"/>
  </r>
  <r>
    <x v="985"/>
    <x v="985"/>
    <x v="0"/>
    <x v="39"/>
    <x v="4"/>
    <n v="2"/>
    <n v="1200.3399999999999"/>
    <x v="0"/>
    <x v="575"/>
    <x v="5"/>
    <x v="24"/>
    <x v="4"/>
    <x v="11"/>
    <x v="1"/>
  </r>
  <r>
    <x v="986"/>
    <x v="986"/>
    <x v="0"/>
    <x v="39"/>
    <x v="1"/>
    <n v="2"/>
    <n v="600.16"/>
    <x v="1"/>
    <x v="387"/>
    <x v="7"/>
    <x v="9"/>
    <x v="4"/>
    <x v="9"/>
    <x v="0"/>
  </r>
  <r>
    <x v="987"/>
    <x v="987"/>
    <x v="0"/>
    <x v="45"/>
    <x v="4"/>
    <n v="3"/>
    <n v="1800.51"/>
    <x v="2"/>
    <x v="425"/>
    <x v="0"/>
    <x v="37"/>
    <x v="4"/>
    <x v="2"/>
    <x v="0"/>
  </r>
  <r>
    <x v="988"/>
    <x v="988"/>
    <x v="0"/>
    <x v="46"/>
    <x v="2"/>
    <n v="2"/>
    <n v="10.46"/>
    <x v="1"/>
    <x v="242"/>
    <x v="8"/>
    <x v="13"/>
    <x v="4"/>
    <x v="3"/>
    <x v="1"/>
  </r>
  <r>
    <x v="989"/>
    <x v="989"/>
    <x v="0"/>
    <x v="47"/>
    <x v="1"/>
    <n v="4"/>
    <n v="1200.32"/>
    <x v="2"/>
    <x v="550"/>
    <x v="3"/>
    <x v="8"/>
    <x v="4"/>
    <x v="3"/>
    <x v="0"/>
  </r>
  <r>
    <x v="990"/>
    <x v="990"/>
    <x v="0"/>
    <x v="44"/>
    <x v="1"/>
    <n v="4"/>
    <n v="1200.32"/>
    <x v="1"/>
    <x v="289"/>
    <x v="7"/>
    <x v="8"/>
    <x v="4"/>
    <x v="3"/>
    <x v="1"/>
  </r>
  <r>
    <x v="991"/>
    <x v="991"/>
    <x v="1"/>
    <x v="44"/>
    <x v="4"/>
    <n v="2"/>
    <n v="1200.3399999999999"/>
    <x v="0"/>
    <x v="332"/>
    <x v="7"/>
    <x v="24"/>
    <x v="4"/>
    <x v="6"/>
    <x v="0"/>
  </r>
  <r>
    <x v="992"/>
    <x v="992"/>
    <x v="0"/>
    <x v="42"/>
    <x v="4"/>
    <n v="1"/>
    <n v="600.16999999999996"/>
    <x v="0"/>
    <x v="576"/>
    <x v="8"/>
    <x v="38"/>
    <x v="4"/>
    <x v="6"/>
    <x v="1"/>
  </r>
  <r>
    <x v="993"/>
    <x v="993"/>
    <x v="0"/>
    <x v="38"/>
    <x v="5"/>
    <n v="5"/>
    <n v="179.2"/>
    <x v="0"/>
    <x v="577"/>
    <x v="4"/>
    <x v="17"/>
    <x v="4"/>
    <x v="8"/>
    <x v="1"/>
  </r>
  <r>
    <x v="994"/>
    <x v="994"/>
    <x v="1"/>
    <x v="37"/>
    <x v="1"/>
    <n v="2"/>
    <n v="600.16"/>
    <x v="2"/>
    <x v="47"/>
    <x v="4"/>
    <x v="9"/>
    <x v="4"/>
    <x v="8"/>
    <x v="0"/>
  </r>
  <r>
    <x v="995"/>
    <x v="995"/>
    <x v="0"/>
    <x v="46"/>
    <x v="4"/>
    <n v="1"/>
    <n v="600.16999999999996"/>
    <x v="0"/>
    <x v="247"/>
    <x v="1"/>
    <x v="38"/>
    <x v="4"/>
    <x v="7"/>
    <x v="0"/>
  </r>
  <r>
    <x v="996"/>
    <x v="996"/>
    <x v="0"/>
    <x v="39"/>
    <x v="3"/>
    <n v="1"/>
    <n v="40.659999999999997"/>
    <x v="2"/>
    <x v="218"/>
    <x v="1"/>
    <x v="29"/>
    <x v="4"/>
    <x v="1"/>
    <x v="0"/>
  </r>
  <r>
    <x v="997"/>
    <x v="997"/>
    <x v="1"/>
    <x v="50"/>
    <x v="1"/>
    <n v="1"/>
    <n v="300.08"/>
    <x v="0"/>
    <x v="159"/>
    <x v="0"/>
    <x v="1"/>
    <x v="4"/>
    <x v="7"/>
    <x v="1"/>
  </r>
  <r>
    <x v="998"/>
    <x v="998"/>
    <x v="1"/>
    <x v="45"/>
    <x v="1"/>
    <n v="2"/>
    <n v="600.16"/>
    <x v="2"/>
    <x v="578"/>
    <x v="4"/>
    <x v="9"/>
    <x v="4"/>
    <x v="11"/>
    <x v="1"/>
  </r>
  <r>
    <x v="999"/>
    <x v="999"/>
    <x v="0"/>
    <x v="43"/>
    <x v="2"/>
    <n v="2"/>
    <n v="10.46"/>
    <x v="0"/>
    <x v="579"/>
    <x v="0"/>
    <x v="13"/>
    <x v="4"/>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6CA81B-BC31-4857-B2C1-64AF2ED98FC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A21:B27" firstHeaderRow="1" firstDataRow="1" firstDataCol="1"/>
  <pivotFields count="15">
    <pivotField showAll="0"/>
    <pivotField showAll="0"/>
    <pivotField showAll="0">
      <items count="3">
        <item x="0"/>
        <item x="1"/>
        <item t="default"/>
      </items>
    </pivotField>
    <pivotField showAll="0"/>
    <pivotField showAll="0"/>
    <pivotField showAll="0"/>
    <pivotField showAll="0"/>
    <pivotField showAll="0"/>
    <pivotField showAll="0">
      <items count="996">
        <item m="1" x="759"/>
        <item m="1" x="981"/>
        <item m="1" x="646"/>
        <item m="1" x="650"/>
        <item m="1" x="802"/>
        <item m="1" x="706"/>
        <item m="1" x="905"/>
        <item m="1" x="638"/>
        <item m="1" x="781"/>
        <item m="1" x="818"/>
        <item m="1" x="869"/>
        <item m="1" x="591"/>
        <item m="1" x="649"/>
        <item m="1" x="948"/>
        <item m="1" x="605"/>
        <item m="1" x="589"/>
        <item m="1" x="898"/>
        <item m="1" x="840"/>
        <item m="1" x="663"/>
        <item m="1" x="696"/>
        <item m="1" x="803"/>
        <item m="1" x="867"/>
        <item m="1" x="797"/>
        <item m="1" x="831"/>
        <item m="1" x="873"/>
        <item m="1" x="590"/>
        <item m="1" x="710"/>
        <item m="1" x="690"/>
        <item m="1" x="843"/>
        <item m="1" x="870"/>
        <item m="1" x="893"/>
        <item m="1" x="956"/>
        <item m="1" x="719"/>
        <item m="1" x="962"/>
        <item m="1" x="875"/>
        <item m="1" x="878"/>
        <item m="1" x="912"/>
        <item m="1" x="830"/>
        <item m="1" x="990"/>
        <item m="1" x="760"/>
        <item m="1" x="750"/>
        <item m="1" x="909"/>
        <item m="1" x="673"/>
        <item m="1" x="603"/>
        <item m="1" x="889"/>
        <item m="1" x="667"/>
        <item m="1" x="951"/>
        <item m="1" x="728"/>
        <item m="1" x="946"/>
        <item m="1" x="825"/>
        <item m="1" x="635"/>
        <item m="1" x="619"/>
        <item m="1" x="965"/>
        <item m="1" x="680"/>
        <item m="1" x="952"/>
        <item m="1" x="816"/>
        <item m="1" x="890"/>
        <item m="1" x="888"/>
        <item m="1" x="862"/>
        <item m="1" x="691"/>
        <item m="1" x="613"/>
        <item m="1" x="610"/>
        <item m="1" x="949"/>
        <item m="1" x="682"/>
        <item m="1" x="833"/>
        <item m="1" x="609"/>
        <item m="1" x="758"/>
        <item m="1" x="653"/>
        <item m="1" x="895"/>
        <item m="1" x="958"/>
        <item m="1" x="592"/>
        <item m="1" x="950"/>
        <item m="1" x="602"/>
        <item m="1" x="910"/>
        <item m="1" x="837"/>
        <item m="1" x="677"/>
        <item m="1" x="729"/>
        <item m="1" x="881"/>
        <item m="1" x="741"/>
        <item m="1" x="598"/>
        <item m="1" x="847"/>
        <item m="1" x="773"/>
        <item m="1" x="763"/>
        <item m="1" x="684"/>
        <item m="1" x="985"/>
        <item m="1" x="707"/>
        <item m="1" x="987"/>
        <item m="1" x="715"/>
        <item m="1" x="751"/>
        <item m="1" x="919"/>
        <item m="1" x="614"/>
        <item m="1" x="661"/>
        <item m="1" x="823"/>
        <item m="1" x="727"/>
        <item m="1" x="730"/>
        <item m="1" x="720"/>
        <item m="1" x="879"/>
        <item m="1" x="621"/>
        <item m="1" x="620"/>
        <item m="1" x="583"/>
        <item m="1" x="581"/>
        <item m="1" x="775"/>
        <item m="1" x="627"/>
        <item m="1" x="737"/>
        <item m="1" x="836"/>
        <item m="1" x="695"/>
        <item m="1" x="622"/>
        <item m="1" x="783"/>
        <item m="1" x="779"/>
        <item m="1" x="607"/>
        <item m="1" x="599"/>
        <item m="1" x="940"/>
        <item m="1" x="742"/>
        <item m="1" x="709"/>
        <item m="1" x="700"/>
        <item m="1" x="908"/>
        <item m="1" x="969"/>
        <item m="1" x="853"/>
        <item m="1" x="632"/>
        <item m="1" x="754"/>
        <item m="1" x="674"/>
        <item m="1" x="665"/>
        <item m="1" x="584"/>
        <item m="1" x="801"/>
        <item m="1" x="641"/>
        <item m="1" x="970"/>
        <item m="1" x="586"/>
        <item m="1" x="702"/>
        <item m="1" x="644"/>
        <item m="1" x="954"/>
        <item m="1" x="721"/>
        <item m="1" x="629"/>
        <item m="1" x="907"/>
        <item m="1" x="659"/>
        <item m="1" x="793"/>
        <item m="1" x="955"/>
        <item m="1" x="795"/>
        <item m="1" x="841"/>
        <item m="1" x="973"/>
        <item m="1" x="656"/>
        <item m="1" x="931"/>
        <item m="1" x="882"/>
        <item m="1" x="886"/>
        <item m="1" x="642"/>
        <item m="1" x="630"/>
        <item m="1" x="764"/>
        <item m="1" x="626"/>
        <item m="1" x="798"/>
        <item m="1" x="921"/>
        <item m="1" x="639"/>
        <item m="1" x="988"/>
        <item m="1" x="725"/>
        <item m="1" x="807"/>
        <item m="1" x="685"/>
        <item m="1" x="945"/>
        <item m="1" x="804"/>
        <item m="1" x="770"/>
        <item m="1" x="864"/>
        <item m="1" x="828"/>
        <item m="1" x="902"/>
        <item m="1" x="788"/>
        <item m="1" x="778"/>
        <item m="1" x="980"/>
        <item m="1" x="986"/>
        <item m="1" x="901"/>
        <item m="1" x="963"/>
        <item m="1" x="637"/>
        <item m="1" x="809"/>
        <item m="1" x="785"/>
        <item m="1" x="877"/>
        <item m="1" x="880"/>
        <item m="1" x="894"/>
        <item m="1" x="732"/>
        <item m="1" x="913"/>
        <item m="1" x="687"/>
        <item m="1" x="658"/>
        <item m="1" x="903"/>
        <item m="1" x="868"/>
        <item m="1" x="799"/>
        <item m="1" x="855"/>
        <item m="1" x="762"/>
        <item m="1" x="784"/>
        <item m="1" x="672"/>
        <item m="1" x="885"/>
        <item m="1" x="814"/>
        <item m="1" x="866"/>
        <item m="1" x="676"/>
        <item m="1" x="712"/>
        <item m="1" x="791"/>
        <item m="1" x="857"/>
        <item m="1" x="900"/>
        <item m="1" x="863"/>
        <item m="1" x="957"/>
        <item m="1" x="942"/>
        <item m="1" x="811"/>
        <item m="1" x="872"/>
        <item m="1" x="834"/>
        <item m="1" x="664"/>
        <item m="1" x="585"/>
        <item m="1" x="615"/>
        <item m="1" x="922"/>
        <item m="1" x="790"/>
        <item m="1" x="914"/>
        <item m="1" x="600"/>
        <item m="1" x="935"/>
        <item m="1" x="678"/>
        <item m="1" x="765"/>
        <item m="1" x="943"/>
        <item m="1" x="657"/>
        <item m="1" x="892"/>
        <item m="1" x="883"/>
        <item m="1" x="693"/>
        <item m="1" x="705"/>
        <item m="1" x="752"/>
        <item m="1" x="966"/>
        <item m="1" x="733"/>
        <item m="1" x="806"/>
        <item m="1" x="936"/>
        <item m="1" x="587"/>
        <item m="1" x="669"/>
        <item m="1" x="601"/>
        <item m="1" x="679"/>
        <item m="1" x="718"/>
        <item m="1" x="735"/>
        <item m="1" x="722"/>
        <item m="1" x="959"/>
        <item m="1" x="651"/>
        <item m="1" x="689"/>
        <item m="1" x="618"/>
        <item m="1" x="906"/>
        <item m="1" x="849"/>
        <item m="1" x="616"/>
        <item m="1" x="628"/>
        <item m="1" x="891"/>
        <item m="1" x="810"/>
        <item m="1" x="865"/>
        <item m="1" x="612"/>
        <item m="1" x="714"/>
        <item m="1" x="947"/>
        <item m="1" x="756"/>
        <item m="1" x="782"/>
        <item m="1" x="944"/>
        <item m="1" x="767"/>
        <item m="1" x="854"/>
        <item m="1" x="941"/>
        <item m="1" x="848"/>
        <item m="1" x="670"/>
        <item m="1" x="871"/>
        <item m="1" x="978"/>
        <item m="1" x="911"/>
        <item m="1" x="787"/>
        <item m="1" x="699"/>
        <item m="1" x="899"/>
        <item m="1" x="625"/>
        <item m="1" x="608"/>
        <item m="1" x="595"/>
        <item m="1" x="636"/>
        <item m="1" x="964"/>
        <item m="1" x="631"/>
        <item m="1" x="708"/>
        <item m="1" x="786"/>
        <item m="1" x="766"/>
        <item m="1" x="731"/>
        <item m="1" x="846"/>
        <item m="1" x="887"/>
        <item m="1" x="974"/>
        <item m="1" x="703"/>
        <item m="1" x="813"/>
        <item m="1" x="588"/>
        <item m="1" x="827"/>
        <item m="1" x="819"/>
        <item m="1" x="977"/>
        <item m="1" x="597"/>
        <item m="1" x="874"/>
        <item m="1" x="772"/>
        <item m="1" x="975"/>
        <item m="1" x="989"/>
        <item m="1" x="755"/>
        <item m="1" x="923"/>
        <item m="1" x="777"/>
        <item m="1" x="920"/>
        <item m="1" x="960"/>
        <item m="1" x="723"/>
        <item m="1" x="734"/>
        <item m="1" x="842"/>
        <item m="1" x="924"/>
        <item m="1" x="739"/>
        <item m="1" x="640"/>
        <item m="1" x="896"/>
        <item m="1" x="835"/>
        <item m="1" x="934"/>
        <item m="1" x="961"/>
        <item m="1" x="745"/>
        <item m="1" x="647"/>
        <item m="1" x="624"/>
        <item m="1" x="844"/>
        <item m="1" x="611"/>
        <item m="1" x="859"/>
        <item m="1" x="915"/>
        <item m="1" x="769"/>
        <item m="1" x="850"/>
        <item m="1" x="654"/>
        <item m="1" x="851"/>
        <item m="1" x="932"/>
        <item m="1" x="776"/>
        <item m="1" x="701"/>
        <item m="1" x="861"/>
        <item m="1" x="820"/>
        <item m="1" x="876"/>
        <item m="1" x="812"/>
        <item m="1" x="645"/>
        <item m="1" x="617"/>
        <item m="1" x="668"/>
        <item m="1" x="884"/>
        <item m="1" x="688"/>
        <item m="1" x="805"/>
        <item m="1" x="829"/>
        <item m="1" x="747"/>
        <item m="1" x="660"/>
        <item m="1" x="822"/>
        <item m="1" x="856"/>
        <item m="1" x="738"/>
        <item m="1" x="623"/>
        <item m="1" x="927"/>
        <item m="1" x="736"/>
        <item m="1" x="796"/>
        <item m="1" x="938"/>
        <item m="1" x="800"/>
        <item m="1" x="717"/>
        <item m="1" x="648"/>
        <item m="1" x="832"/>
        <item m="1" x="933"/>
        <item m="1" x="697"/>
        <item m="1" x="655"/>
        <item m="1" x="983"/>
        <item m="1" x="953"/>
        <item m="1" x="815"/>
        <item m="1" x="666"/>
        <item m="1" x="606"/>
        <item m="1" x="789"/>
        <item m="1" x="771"/>
        <item m="1" x="704"/>
        <item m="1" x="740"/>
        <item m="1" x="928"/>
        <item m="1" x="926"/>
        <item m="1" x="817"/>
        <item m="1" x="633"/>
        <item m="1" x="808"/>
        <item m="1" x="596"/>
        <item x="176"/>
        <item x="566"/>
        <item x="26"/>
        <item x="394"/>
        <item x="293"/>
        <item m="1" x="904"/>
        <item x="37"/>
        <item m="1" x="698"/>
        <item m="1" x="971"/>
        <item x="453"/>
        <item x="338"/>
        <item x="197"/>
        <item x="436"/>
        <item m="1" x="671"/>
        <item x="252"/>
        <item x="520"/>
        <item x="291"/>
        <item x="517"/>
        <item x="484"/>
        <item m="1" x="692"/>
        <item x="575"/>
        <item m="1" x="593"/>
        <item x="29"/>
        <item x="108"/>
        <item x="183"/>
        <item x="171"/>
        <item m="1" x="652"/>
        <item x="312"/>
        <item x="54"/>
        <item x="553"/>
        <item x="35"/>
        <item x="431"/>
        <item x="228"/>
        <item x="234"/>
        <item m="1" x="662"/>
        <item x="131"/>
        <item x="279"/>
        <item x="158"/>
        <item x="168"/>
        <item x="166"/>
        <item m="1" x="675"/>
        <item x="346"/>
        <item x="396"/>
        <item x="74"/>
        <item m="1" x="824"/>
        <item x="416"/>
        <item x="506"/>
        <item m="1" x="748"/>
        <item x="25"/>
        <item x="473"/>
        <item m="1" x="686"/>
        <item x="404"/>
        <item x="407"/>
        <item x="417"/>
        <item x="28"/>
        <item x="72"/>
        <item m="1" x="897"/>
        <item x="307"/>
        <item x="242"/>
        <item x="86"/>
        <item x="61"/>
        <item m="1" x="780"/>
        <item x="285"/>
        <item x="289"/>
        <item x="177"/>
        <item x="471"/>
        <item x="85"/>
        <item x="383"/>
        <item x="330"/>
        <item x="433"/>
        <item x="275"/>
        <item x="474"/>
        <item x="159"/>
        <item x="60"/>
        <item x="39"/>
        <item m="1" x="826"/>
        <item x="188"/>
        <item x="538"/>
        <item x="201"/>
        <item x="45"/>
        <item m="1" x="713"/>
        <item m="1" x="852"/>
        <item x="442"/>
        <item m="1" x="746"/>
        <item x="531"/>
        <item x="238"/>
        <item m="1" x="594"/>
        <item x="121"/>
        <item x="562"/>
        <item x="152"/>
        <item x="295"/>
        <item x="494"/>
        <item x="75"/>
        <item x="115"/>
        <item x="378"/>
        <item x="151"/>
        <item x="77"/>
        <item x="355"/>
        <item x="76"/>
        <item x="449"/>
        <item m="1" x="768"/>
        <item x="199"/>
        <item m="1" x="634"/>
        <item x="326"/>
        <item x="266"/>
        <item x="318"/>
        <item m="1" x="604"/>
        <item m="1" x="984"/>
        <item x="516"/>
        <item x="375"/>
        <item x="567"/>
        <item x="331"/>
        <item x="82"/>
        <item x="351"/>
        <item m="1" x="929"/>
        <item x="348"/>
        <item x="425"/>
        <item x="352"/>
        <item x="393"/>
        <item x="292"/>
        <item x="544"/>
        <item x="256"/>
        <item x="554"/>
        <item m="1" x="916"/>
        <item x="298"/>
        <item m="1" x="982"/>
        <item x="409"/>
        <item x="236"/>
        <item x="412"/>
        <item x="267"/>
        <item x="34"/>
        <item m="1" x="979"/>
        <item x="138"/>
        <item m="1" x="925"/>
        <item x="505"/>
        <item m="1" x="860"/>
        <item x="126"/>
        <item x="112"/>
        <item x="340"/>
        <item x="303"/>
        <item x="156"/>
        <item x="55"/>
        <item x="62"/>
        <item m="1" x="711"/>
        <item x="535"/>
        <item x="525"/>
        <item x="343"/>
        <item m="1" x="930"/>
        <item m="1" x="774"/>
        <item m="1" x="761"/>
        <item x="70"/>
        <item m="1" x="724"/>
        <item x="191"/>
        <item x="58"/>
        <item x="466"/>
        <item x="297"/>
        <item x="333"/>
        <item x="548"/>
        <item x="527"/>
        <item x="550"/>
        <item x="51"/>
        <item x="52"/>
        <item x="504"/>
        <item x="572"/>
        <item x="568"/>
        <item x="14"/>
        <item m="1" x="839"/>
        <item x="196"/>
        <item x="89"/>
        <item x="311"/>
        <item m="1" x="939"/>
        <item x="97"/>
        <item x="249"/>
        <item x="496"/>
        <item x="47"/>
        <item x="359"/>
        <item m="1" x="968"/>
        <item x="276"/>
        <item x="165"/>
        <item x="519"/>
        <item x="441"/>
        <item x="559"/>
        <item m="1" x="792"/>
        <item x="73"/>
        <item m="1" x="580"/>
        <item m="1" x="821"/>
        <item x="475"/>
        <item x="15"/>
        <item x="200"/>
        <item x="259"/>
        <item x="534"/>
        <item m="1" x="749"/>
        <item m="1" x="794"/>
        <item x="106"/>
        <item x="226"/>
        <item x="59"/>
        <item x="206"/>
        <item x="246"/>
        <item x="174"/>
        <item x="78"/>
        <item m="1" x="694"/>
        <item m="1" x="726"/>
        <item m="1" x="937"/>
        <item m="1" x="753"/>
        <item x="258"/>
        <item x="5"/>
        <item x="485"/>
        <item x="314"/>
        <item x="455"/>
        <item x="3"/>
        <item m="1" x="838"/>
        <item x="368"/>
        <item x="192"/>
        <item x="421"/>
        <item x="148"/>
        <item x="272"/>
        <item m="1" x="757"/>
        <item m="1" x="845"/>
        <item m="1" x="582"/>
        <item m="1" x="972"/>
        <item m="1" x="976"/>
        <item m="1" x="681"/>
        <item m="1" x="716"/>
        <item m="1" x="744"/>
        <item m="1" x="967"/>
        <item m="1" x="683"/>
        <item m="1" x="858"/>
        <item m="1" x="743"/>
        <item m="1" x="918"/>
        <item m="1" x="643"/>
        <item m="1" x="917"/>
        <item f="1" x="991"/>
        <item f="1" x="992"/>
        <item f="1" x="993"/>
        <item f="1" x="994"/>
        <item x="0"/>
        <item x="1"/>
        <item x="2"/>
        <item x="4"/>
        <item x="6"/>
        <item x="7"/>
        <item x="8"/>
        <item x="9"/>
        <item x="10"/>
        <item x="11"/>
        <item x="12"/>
        <item x="13"/>
        <item x="16"/>
        <item x="17"/>
        <item x="18"/>
        <item x="19"/>
        <item x="20"/>
        <item x="21"/>
        <item x="22"/>
        <item x="23"/>
        <item x="24"/>
        <item x="27"/>
        <item x="30"/>
        <item x="31"/>
        <item x="32"/>
        <item x="33"/>
        <item x="36"/>
        <item x="38"/>
        <item x="40"/>
        <item x="41"/>
        <item x="42"/>
        <item x="43"/>
        <item x="44"/>
        <item x="46"/>
        <item x="48"/>
        <item x="49"/>
        <item x="50"/>
        <item x="53"/>
        <item x="56"/>
        <item x="57"/>
        <item x="63"/>
        <item x="64"/>
        <item x="65"/>
        <item x="66"/>
        <item x="67"/>
        <item x="68"/>
        <item x="69"/>
        <item x="71"/>
        <item x="79"/>
        <item x="80"/>
        <item x="81"/>
        <item x="83"/>
        <item x="84"/>
        <item x="87"/>
        <item x="88"/>
        <item x="90"/>
        <item x="91"/>
        <item x="92"/>
        <item x="93"/>
        <item x="94"/>
        <item x="95"/>
        <item x="96"/>
        <item x="98"/>
        <item x="99"/>
        <item x="100"/>
        <item x="101"/>
        <item x="102"/>
        <item x="103"/>
        <item x="104"/>
        <item x="105"/>
        <item x="107"/>
        <item x="109"/>
        <item x="110"/>
        <item x="111"/>
        <item x="113"/>
        <item x="114"/>
        <item x="116"/>
        <item x="117"/>
        <item x="118"/>
        <item x="119"/>
        <item x="120"/>
        <item x="122"/>
        <item x="123"/>
        <item x="124"/>
        <item x="125"/>
        <item x="127"/>
        <item x="128"/>
        <item x="129"/>
        <item x="130"/>
        <item x="132"/>
        <item x="133"/>
        <item x="134"/>
        <item x="135"/>
        <item x="136"/>
        <item x="137"/>
        <item x="139"/>
        <item x="140"/>
        <item x="141"/>
        <item x="142"/>
        <item x="143"/>
        <item x="144"/>
        <item x="145"/>
        <item x="146"/>
        <item x="147"/>
        <item x="149"/>
        <item x="150"/>
        <item x="153"/>
        <item x="154"/>
        <item x="155"/>
        <item x="157"/>
        <item x="160"/>
        <item x="161"/>
        <item x="162"/>
        <item x="163"/>
        <item x="164"/>
        <item x="167"/>
        <item x="169"/>
        <item x="170"/>
        <item x="172"/>
        <item x="173"/>
        <item x="175"/>
        <item x="178"/>
        <item x="179"/>
        <item x="180"/>
        <item x="181"/>
        <item x="182"/>
        <item x="184"/>
        <item x="185"/>
        <item x="186"/>
        <item x="187"/>
        <item x="189"/>
        <item x="190"/>
        <item x="193"/>
        <item x="194"/>
        <item x="195"/>
        <item x="198"/>
        <item x="202"/>
        <item x="203"/>
        <item x="204"/>
        <item x="205"/>
        <item x="207"/>
        <item x="208"/>
        <item x="209"/>
        <item x="210"/>
        <item x="211"/>
        <item x="212"/>
        <item x="213"/>
        <item x="214"/>
        <item x="215"/>
        <item x="216"/>
        <item x="217"/>
        <item x="218"/>
        <item x="219"/>
        <item x="220"/>
        <item x="221"/>
        <item x="222"/>
        <item x="223"/>
        <item x="224"/>
        <item x="225"/>
        <item x="227"/>
        <item x="229"/>
        <item x="230"/>
        <item x="231"/>
        <item x="232"/>
        <item x="233"/>
        <item x="235"/>
        <item x="237"/>
        <item x="239"/>
        <item x="240"/>
        <item x="241"/>
        <item x="243"/>
        <item x="244"/>
        <item x="245"/>
        <item x="247"/>
        <item x="248"/>
        <item x="250"/>
        <item x="251"/>
        <item x="253"/>
        <item x="254"/>
        <item x="255"/>
        <item x="257"/>
        <item x="260"/>
        <item x="261"/>
        <item x="262"/>
        <item x="263"/>
        <item x="264"/>
        <item x="265"/>
        <item x="268"/>
        <item x="269"/>
        <item x="270"/>
        <item x="271"/>
        <item x="273"/>
        <item x="274"/>
        <item x="277"/>
        <item x="278"/>
        <item x="280"/>
        <item x="281"/>
        <item x="282"/>
        <item x="283"/>
        <item x="284"/>
        <item x="286"/>
        <item x="287"/>
        <item x="288"/>
        <item x="290"/>
        <item x="294"/>
        <item x="296"/>
        <item x="299"/>
        <item x="300"/>
        <item x="301"/>
        <item x="302"/>
        <item x="304"/>
        <item x="305"/>
        <item x="306"/>
        <item x="308"/>
        <item x="309"/>
        <item x="310"/>
        <item x="313"/>
        <item x="315"/>
        <item x="316"/>
        <item x="317"/>
        <item x="319"/>
        <item x="320"/>
        <item x="321"/>
        <item x="322"/>
        <item x="323"/>
        <item x="324"/>
        <item x="325"/>
        <item x="327"/>
        <item x="328"/>
        <item x="329"/>
        <item x="332"/>
        <item x="334"/>
        <item x="335"/>
        <item x="336"/>
        <item x="337"/>
        <item x="339"/>
        <item x="341"/>
        <item x="342"/>
        <item x="344"/>
        <item x="345"/>
        <item x="347"/>
        <item x="349"/>
        <item x="350"/>
        <item x="353"/>
        <item x="354"/>
        <item x="356"/>
        <item x="357"/>
        <item x="358"/>
        <item x="360"/>
        <item x="361"/>
        <item x="362"/>
        <item x="363"/>
        <item x="364"/>
        <item x="365"/>
        <item x="366"/>
        <item x="367"/>
        <item x="369"/>
        <item x="370"/>
        <item x="371"/>
        <item x="372"/>
        <item x="373"/>
        <item x="374"/>
        <item x="376"/>
        <item x="377"/>
        <item x="379"/>
        <item x="380"/>
        <item x="381"/>
        <item x="382"/>
        <item x="384"/>
        <item x="385"/>
        <item x="386"/>
        <item x="387"/>
        <item x="388"/>
        <item x="389"/>
        <item x="390"/>
        <item x="391"/>
        <item x="392"/>
        <item x="395"/>
        <item x="397"/>
        <item x="398"/>
        <item x="399"/>
        <item x="400"/>
        <item x="401"/>
        <item x="402"/>
        <item x="403"/>
        <item x="405"/>
        <item x="406"/>
        <item x="408"/>
        <item x="410"/>
        <item x="411"/>
        <item x="413"/>
        <item x="414"/>
        <item x="415"/>
        <item x="418"/>
        <item x="419"/>
        <item x="420"/>
        <item x="422"/>
        <item x="423"/>
        <item x="424"/>
        <item x="426"/>
        <item x="427"/>
        <item x="428"/>
        <item x="429"/>
        <item x="430"/>
        <item x="432"/>
        <item x="434"/>
        <item x="435"/>
        <item x="437"/>
        <item x="438"/>
        <item x="439"/>
        <item x="440"/>
        <item x="443"/>
        <item x="444"/>
        <item x="445"/>
        <item x="446"/>
        <item x="447"/>
        <item x="448"/>
        <item x="450"/>
        <item x="451"/>
        <item x="452"/>
        <item x="454"/>
        <item x="456"/>
        <item x="457"/>
        <item x="458"/>
        <item x="459"/>
        <item x="460"/>
        <item x="461"/>
        <item x="462"/>
        <item x="463"/>
        <item x="464"/>
        <item x="465"/>
        <item x="467"/>
        <item x="468"/>
        <item x="469"/>
        <item x="470"/>
        <item x="472"/>
        <item x="476"/>
        <item x="477"/>
        <item x="478"/>
        <item x="479"/>
        <item x="480"/>
        <item x="481"/>
        <item x="482"/>
        <item x="483"/>
        <item x="486"/>
        <item x="487"/>
        <item x="488"/>
        <item x="489"/>
        <item x="490"/>
        <item x="491"/>
        <item x="492"/>
        <item x="493"/>
        <item x="495"/>
        <item x="497"/>
        <item x="498"/>
        <item x="499"/>
        <item x="500"/>
        <item x="501"/>
        <item x="502"/>
        <item x="503"/>
        <item x="507"/>
        <item x="508"/>
        <item x="509"/>
        <item x="510"/>
        <item x="511"/>
        <item x="512"/>
        <item x="513"/>
        <item x="514"/>
        <item x="515"/>
        <item x="518"/>
        <item x="521"/>
        <item x="522"/>
        <item x="523"/>
        <item x="524"/>
        <item x="526"/>
        <item x="528"/>
        <item x="529"/>
        <item x="530"/>
        <item x="532"/>
        <item x="533"/>
        <item x="536"/>
        <item x="537"/>
        <item x="539"/>
        <item x="540"/>
        <item x="541"/>
        <item x="542"/>
        <item x="543"/>
        <item x="545"/>
        <item x="546"/>
        <item x="547"/>
        <item x="549"/>
        <item x="551"/>
        <item x="552"/>
        <item x="555"/>
        <item x="556"/>
        <item x="557"/>
        <item x="558"/>
        <item x="560"/>
        <item x="561"/>
        <item x="563"/>
        <item x="564"/>
        <item x="565"/>
        <item x="569"/>
        <item x="570"/>
        <item x="571"/>
        <item x="573"/>
        <item x="574"/>
        <item x="576"/>
        <item x="577"/>
        <item x="578"/>
        <item x="579"/>
        <item t="default"/>
      </items>
    </pivotField>
    <pivotField showAll="0"/>
    <pivotField dataField="1" numFmtId="164" showAll="0"/>
    <pivotField axis="axisRow" showAll="0">
      <items count="6">
        <item x="0"/>
        <item x="1"/>
        <item x="2"/>
        <item x="3"/>
        <item x="4"/>
        <item t="default"/>
      </items>
    </pivotField>
    <pivotField showAll="0"/>
    <pivotField showAll="0"/>
    <pivotField showAll="0">
      <items count="4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s>
  <rowFields count="1">
    <field x="11"/>
  </rowFields>
  <rowItems count="6">
    <i>
      <x/>
    </i>
    <i>
      <x v="1"/>
    </i>
    <i>
      <x v="2"/>
    </i>
    <i>
      <x v="3"/>
    </i>
    <i>
      <x v="4"/>
    </i>
    <i t="grand">
      <x/>
    </i>
  </rowItems>
  <colItems count="1">
    <i/>
  </colItems>
  <dataFields count="1">
    <dataField name="Sum of Revenue"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A06364-6B77-4AF9-AA8D-ECB3DD94ABD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 ID">
  <location ref="G20:H1021" firstHeaderRow="1" firstDataRow="1" firstDataCol="1"/>
  <pivotFields count="15">
    <pivotField showAll="0"/>
    <pivotField axis="axisRow" showAll="0">
      <items count="1001">
        <item x="304"/>
        <item x="174"/>
        <item x="406"/>
        <item x="215"/>
        <item x="382"/>
        <item x="959"/>
        <item x="422"/>
        <item x="921"/>
        <item x="498"/>
        <item x="858"/>
        <item x="147"/>
        <item x="683"/>
        <item x="63"/>
        <item x="848"/>
        <item x="481"/>
        <item x="14"/>
        <item x="305"/>
        <item x="859"/>
        <item x="693"/>
        <item x="431"/>
        <item x="452"/>
        <item x="85"/>
        <item x="913"/>
        <item x="589"/>
        <item x="739"/>
        <item x="369"/>
        <item x="130"/>
        <item x="417"/>
        <item x="765"/>
        <item x="828"/>
        <item x="253"/>
        <item x="494"/>
        <item x="472"/>
        <item x="930"/>
        <item x="441"/>
        <item x="963"/>
        <item x="632"/>
        <item x="857"/>
        <item x="414"/>
        <item x="738"/>
        <item x="808"/>
        <item x="178"/>
        <item x="546"/>
        <item x="134"/>
        <item x="866"/>
        <item x="953"/>
        <item x="813"/>
        <item x="736"/>
        <item x="998"/>
        <item x="98"/>
        <item x="849"/>
        <item x="188"/>
        <item x="924"/>
        <item x="446"/>
        <item x="197"/>
        <item x="362"/>
        <item x="624"/>
        <item x="749"/>
        <item x="637"/>
        <item x="617"/>
        <item x="532"/>
        <item x="599"/>
        <item x="641"/>
        <item x="999"/>
        <item x="246"/>
        <item x="459"/>
        <item x="631"/>
        <item x="610"/>
        <item x="872"/>
        <item x="699"/>
        <item x="51"/>
        <item x="158"/>
        <item x="770"/>
        <item x="711"/>
        <item x="715"/>
        <item x="150"/>
        <item x="697"/>
        <item x="355"/>
        <item x="238"/>
        <item x="651"/>
        <item x="474"/>
        <item x="391"/>
        <item x="794"/>
        <item x="430"/>
        <item x="625"/>
        <item x="932"/>
        <item x="823"/>
        <item x="117"/>
        <item x="88"/>
        <item x="593"/>
        <item x="902"/>
        <item x="896"/>
        <item x="838"/>
        <item x="874"/>
        <item x="334"/>
        <item x="345"/>
        <item x="492"/>
        <item x="694"/>
        <item x="580"/>
        <item x="350"/>
        <item x="375"/>
        <item x="308"/>
        <item x="766"/>
        <item x="151"/>
        <item x="820"/>
        <item x="572"/>
        <item x="363"/>
        <item x="90"/>
        <item x="553"/>
        <item x="320"/>
        <item x="403"/>
        <item x="889"/>
        <item x="541"/>
        <item x="692"/>
        <item x="952"/>
        <item x="780"/>
        <item x="884"/>
        <item x="16"/>
        <item x="180"/>
        <item x="329"/>
        <item x="907"/>
        <item x="544"/>
        <item x="526"/>
        <item x="81"/>
        <item x="726"/>
        <item x="657"/>
        <item x="275"/>
        <item x="192"/>
        <item x="708"/>
        <item x="386"/>
        <item x="102"/>
        <item x="786"/>
        <item x="476"/>
        <item x="480"/>
        <item x="986"/>
        <item x="992"/>
        <item x="426"/>
        <item x="428"/>
        <item x="562"/>
        <item x="712"/>
        <item x="293"/>
        <item x="850"/>
        <item x="737"/>
        <item x="392"/>
        <item x="224"/>
        <item x="157"/>
        <item x="861"/>
        <item x="556"/>
        <item x="750"/>
        <item x="255"/>
        <item x="504"/>
        <item x="398"/>
        <item x="439"/>
        <item x="82"/>
        <item x="69"/>
        <item x="978"/>
        <item x="685"/>
        <item x="596"/>
        <item x="124"/>
        <item x="837"/>
        <item x="152"/>
        <item x="0"/>
        <item x="243"/>
        <item x="21"/>
        <item x="237"/>
        <item x="367"/>
        <item x="841"/>
        <item x="970"/>
        <item x="38"/>
        <item x="217"/>
        <item x="741"/>
        <item x="679"/>
        <item x="218"/>
        <item x="622"/>
        <item x="15"/>
        <item x="462"/>
        <item x="444"/>
        <item x="5"/>
        <item x="677"/>
        <item x="287"/>
        <item x="832"/>
        <item x="33"/>
        <item x="762"/>
        <item x="307"/>
        <item x="601"/>
        <item x="139"/>
        <item x="366"/>
        <item x="214"/>
        <item x="969"/>
        <item x="686"/>
        <item x="618"/>
        <item x="856"/>
        <item x="797"/>
        <item x="104"/>
        <item x="635"/>
        <item x="844"/>
        <item x="254"/>
        <item x="569"/>
        <item x="875"/>
        <item x="966"/>
        <item x="638"/>
        <item x="447"/>
        <item x="623"/>
        <item x="184"/>
        <item x="132"/>
        <item x="725"/>
        <item x="505"/>
        <item x="327"/>
        <item x="919"/>
        <item x="587"/>
        <item x="484"/>
        <item x="405"/>
        <item x="684"/>
        <item x="901"/>
        <item x="818"/>
        <item x="118"/>
        <item x="612"/>
        <item x="804"/>
        <item x="270"/>
        <item x="984"/>
        <item x="211"/>
        <item x="487"/>
        <item x="639"/>
        <item x="226"/>
        <item x="573"/>
        <item x="4"/>
        <item x="746"/>
        <item x="250"/>
        <item x="563"/>
        <item x="650"/>
        <item x="142"/>
        <item x="640"/>
        <item x="65"/>
        <item x="911"/>
        <item x="45"/>
        <item x="94"/>
        <item x="491"/>
        <item x="112"/>
        <item x="550"/>
        <item x="296"/>
        <item x="545"/>
        <item x="734"/>
        <item x="909"/>
        <item x="183"/>
        <item x="506"/>
        <item x="351"/>
        <item x="954"/>
        <item x="829"/>
        <item x="582"/>
        <item x="448"/>
        <item x="384"/>
        <item x="400"/>
        <item x="627"/>
        <item x="331"/>
        <item x="228"/>
        <item x="12"/>
        <item x="277"/>
        <item x="427"/>
        <item x="670"/>
        <item x="60"/>
        <item x="938"/>
        <item x="84"/>
        <item x="551"/>
        <item x="360"/>
        <item x="39"/>
        <item x="588"/>
        <item x="240"/>
        <item x="454"/>
        <item x="961"/>
        <item x="958"/>
        <item x="59"/>
        <item x="982"/>
        <item x="529"/>
        <item x="885"/>
        <item x="96"/>
        <item x="534"/>
        <item x="621"/>
        <item x="558"/>
        <item x="450"/>
        <item x="981"/>
        <item x="886"/>
        <item x="410"/>
        <item x="457"/>
        <item x="194"/>
        <item x="852"/>
        <item x="421"/>
        <item x="989"/>
        <item x="48"/>
        <item x="111"/>
        <item x="445"/>
        <item x="700"/>
        <item x="193"/>
        <item x="743"/>
        <item x="436"/>
        <item x="259"/>
        <item x="723"/>
        <item x="107"/>
        <item x="482"/>
        <item x="949"/>
        <item x="754"/>
        <item x="787"/>
        <item x="510"/>
        <item x="917"/>
        <item x="129"/>
        <item x="784"/>
        <item x="720"/>
        <item x="549"/>
        <item x="574"/>
        <item x="912"/>
        <item x="283"/>
        <item x="349"/>
        <item x="298"/>
        <item x="210"/>
        <item x="881"/>
        <item x="854"/>
        <item x="64"/>
        <item x="772"/>
        <item x="156"/>
        <item x="879"/>
        <item x="940"/>
        <item x="707"/>
        <item x="499"/>
        <item x="528"/>
        <item x="619"/>
        <item x="343"/>
        <item x="347"/>
        <item x="390"/>
        <item x="70"/>
        <item x="68"/>
        <item x="799"/>
        <item x="127"/>
        <item x="468"/>
        <item x="892"/>
        <item x="387"/>
        <item x="460"/>
        <item x="603"/>
        <item x="123"/>
        <item x="256"/>
        <item x="333"/>
        <item x="316"/>
        <item x="485"/>
        <item x="95"/>
        <item x="628"/>
        <item x="433"/>
        <item x="449"/>
        <item x="314"/>
        <item x="606"/>
        <item x="213"/>
        <item x="442"/>
        <item x="790"/>
        <item x="489"/>
        <item x="87"/>
        <item x="352"/>
        <item x="412"/>
        <item x="609"/>
        <item x="251"/>
        <item x="337"/>
        <item x="176"/>
        <item x="927"/>
        <item x="105"/>
        <item x="613"/>
        <item x="840"/>
        <item x="140"/>
        <item x="948"/>
        <item x="503"/>
        <item x="980"/>
        <item x="404"/>
        <item x="265"/>
        <item x="755"/>
        <item x="756"/>
        <item x="530"/>
        <item x="22"/>
        <item x="138"/>
        <item x="175"/>
        <item x="128"/>
        <item x="777"/>
        <item x="116"/>
        <item x="571"/>
        <item x="880"/>
        <item x="602"/>
        <item x="507"/>
        <item x="201"/>
        <item x="496"/>
        <item x="302"/>
        <item x="3"/>
        <item x="380"/>
        <item x="231"/>
        <item x="937"/>
        <item x="252"/>
        <item x="466"/>
        <item x="172"/>
        <item x="135"/>
        <item x="418"/>
        <item x="652"/>
        <item x="223"/>
        <item x="155"/>
        <item x="945"/>
        <item x="241"/>
        <item x="41"/>
        <item x="196"/>
        <item x="916"/>
        <item x="461"/>
        <item x="724"/>
        <item x="561"/>
        <item x="560"/>
        <item x="37"/>
        <item x="964"/>
        <item x="165"/>
        <item x="796"/>
        <item x="169"/>
        <item x="245"/>
        <item x="144"/>
        <item x="437"/>
        <item x="714"/>
        <item x="247"/>
        <item x="407"/>
        <item x="757"/>
        <item x="891"/>
        <item x="523"/>
        <item x="993"/>
        <item x="338"/>
        <item x="616"/>
        <item x="399"/>
        <item x="385"/>
        <item x="110"/>
        <item x="923"/>
        <item x="295"/>
        <item x="776"/>
        <item x="535"/>
        <item x="598"/>
        <item x="704"/>
        <item x="40"/>
        <item x="688"/>
        <item x="789"/>
        <item x="326"/>
        <item x="751"/>
        <item x="249"/>
        <item x="547"/>
        <item x="19"/>
        <item x="771"/>
        <item x="608"/>
        <item x="379"/>
        <item x="97"/>
        <item x="824"/>
        <item x="35"/>
        <item x="719"/>
        <item x="696"/>
        <item x="171"/>
        <item x="566"/>
        <item x="825"/>
        <item x="393"/>
        <item x="200"/>
        <item x="654"/>
        <item x="527"/>
        <item x="581"/>
        <item x="173"/>
        <item x="728"/>
        <item x="817"/>
        <item x="942"/>
        <item x="922"/>
        <item x="29"/>
        <item x="935"/>
        <item x="9"/>
        <item x="633"/>
        <item x="592"/>
        <item x="163"/>
        <item x="570"/>
        <item x="101"/>
        <item x="266"/>
        <item x="137"/>
        <item x="317"/>
        <item x="344"/>
        <item x="443"/>
        <item x="108"/>
        <item x="89"/>
        <item x="709"/>
        <item x="659"/>
        <item x="764"/>
        <item x="221"/>
        <item x="988"/>
        <item x="643"/>
        <item x="58"/>
        <item x="716"/>
        <item x="929"/>
        <item x="323"/>
        <item x="600"/>
        <item x="950"/>
        <item x="335"/>
        <item x="342"/>
        <item x="629"/>
        <item x="863"/>
        <item x="24"/>
        <item x="568"/>
        <item x="537"/>
        <item x="791"/>
        <item x="66"/>
        <item x="809"/>
        <item x="973"/>
        <item x="897"/>
        <item x="120"/>
        <item x="319"/>
        <item x="972"/>
        <item x="647"/>
        <item x="493"/>
        <item x="195"/>
        <item x="46"/>
        <item x="80"/>
        <item x="853"/>
        <item x="177"/>
        <item x="289"/>
        <item x="191"/>
        <item x="672"/>
        <item x="680"/>
        <item x="189"/>
        <item x="53"/>
        <item x="511"/>
        <item x="315"/>
        <item x="376"/>
        <item x="294"/>
        <item x="869"/>
        <item x="358"/>
        <item x="225"/>
        <item x="669"/>
        <item x="702"/>
        <item x="752"/>
        <item x="435"/>
        <item x="359"/>
        <item x="585"/>
        <item x="166"/>
        <item x="987"/>
        <item x="842"/>
        <item x="830"/>
        <item x="149"/>
        <item x="977"/>
        <item x="781"/>
        <item x="467"/>
        <item x="365"/>
        <item x="996"/>
        <item x="276"/>
        <item x="371"/>
        <item x="975"/>
        <item x="57"/>
        <item x="565"/>
        <item x="328"/>
        <item x="614"/>
        <item x="26"/>
        <item x="199"/>
        <item x="995"/>
        <item x="819"/>
        <item x="745"/>
        <item x="811"/>
        <item x="408"/>
        <item x="888"/>
        <item x="920"/>
        <item x="806"/>
        <item x="260"/>
        <item x="748"/>
        <item x="661"/>
        <item x="27"/>
        <item x="747"/>
        <item x="522"/>
        <item x="678"/>
        <item x="557"/>
        <item x="236"/>
        <item x="25"/>
        <item x="419"/>
        <item x="985"/>
        <item x="374"/>
        <item x="895"/>
        <item x="904"/>
        <item x="517"/>
        <item x="548"/>
        <item x="731"/>
        <item x="397"/>
        <item x="827"/>
        <item x="154"/>
        <item x="208"/>
        <item x="533"/>
        <item x="710"/>
        <item x="664"/>
        <item x="971"/>
        <item x="242"/>
        <item x="230"/>
        <item x="122"/>
        <item x="675"/>
        <item x="822"/>
        <item x="432"/>
        <item x="234"/>
        <item x="162"/>
        <item x="269"/>
        <item x="564"/>
        <item x="893"/>
        <item x="914"/>
        <item x="465"/>
        <item x="729"/>
        <item x="456"/>
        <item x="86"/>
        <item x="649"/>
        <item x="413"/>
        <item x="133"/>
        <item x="92"/>
        <item x="182"/>
        <item x="653"/>
        <item x="75"/>
        <item x="706"/>
        <item x="835"/>
        <item x="330"/>
        <item x="318"/>
        <item x="290"/>
        <item x="906"/>
        <item x="834"/>
        <item x="500"/>
        <item x="279"/>
        <item x="306"/>
        <item x="740"/>
        <item x="143"/>
        <item x="244"/>
        <item x="968"/>
        <item x="775"/>
        <item x="202"/>
        <item x="373"/>
        <item x="167"/>
        <item x="733"/>
        <item x="519"/>
        <item x="473"/>
        <item x="577"/>
        <item x="584"/>
        <item x="261"/>
        <item x="833"/>
        <item x="753"/>
        <item x="311"/>
        <item x="744"/>
        <item x="115"/>
        <item x="579"/>
        <item x="136"/>
        <item x="578"/>
        <item x="424"/>
        <item x="644"/>
        <item x="321"/>
        <item x="815"/>
        <item x="575"/>
        <item x="656"/>
        <item x="814"/>
        <item x="125"/>
        <item x="939"/>
        <item x="458"/>
        <item x="44"/>
        <item x="732"/>
        <item x="876"/>
        <item x="812"/>
        <item x="267"/>
        <item x="395"/>
        <item x="76"/>
        <item x="843"/>
        <item x="378"/>
        <item x="372"/>
        <item x="206"/>
        <item x="658"/>
        <item x="440"/>
        <item x="291"/>
        <item x="928"/>
        <item x="100"/>
        <item x="655"/>
        <item x="882"/>
        <item x="864"/>
        <item x="552"/>
        <item x="20"/>
        <item x="285"/>
        <item x="263"/>
        <item x="232"/>
        <item x="420"/>
        <item x="479"/>
        <item x="847"/>
        <item x="695"/>
        <item x="538"/>
        <item x="867"/>
        <item x="673"/>
        <item x="274"/>
        <item x="220"/>
        <item x="611"/>
        <item x="148"/>
        <item x="761"/>
        <item x="346"/>
        <item x="826"/>
        <item x="119"/>
        <item x="415"/>
        <item x="411"/>
        <item x="525"/>
        <item x="800"/>
        <item x="805"/>
        <item x="721"/>
        <item x="339"/>
        <item x="515"/>
        <item x="769"/>
        <item x="286"/>
        <item x="309"/>
        <item x="262"/>
        <item x="52"/>
        <item x="662"/>
        <item x="636"/>
        <item x="281"/>
        <item x="583"/>
        <item x="646"/>
        <item x="93"/>
        <item x="994"/>
        <item x="941"/>
        <item x="490"/>
        <item x="508"/>
        <item x="303"/>
        <item x="782"/>
        <item x="894"/>
        <item x="72"/>
        <item x="665"/>
        <item x="979"/>
        <item x="862"/>
        <item x="131"/>
        <item x="6"/>
        <item x="61"/>
        <item x="983"/>
        <item x="361"/>
        <item x="153"/>
        <item x="855"/>
        <item x="434"/>
        <item x="816"/>
        <item x="839"/>
        <item x="567"/>
        <item x="219"/>
        <item x="871"/>
        <item x="209"/>
        <item x="71"/>
        <item x="1"/>
        <item x="512"/>
        <item x="198"/>
        <item x="518"/>
        <item x="463"/>
        <item x="313"/>
        <item x="187"/>
        <item x="908"/>
        <item x="264"/>
        <item x="50"/>
        <item x="272"/>
        <item x="883"/>
        <item x="666"/>
        <item x="49"/>
        <item x="900"/>
        <item x="43"/>
        <item x="860"/>
        <item x="388"/>
        <item x="524"/>
        <item x="190"/>
        <item x="336"/>
        <item x="67"/>
        <item x="701"/>
        <item x="126"/>
        <item x="626"/>
        <item x="663"/>
        <item x="597"/>
        <item x="991"/>
        <item x="910"/>
        <item x="648"/>
        <item x="798"/>
        <item x="239"/>
        <item x="792"/>
        <item x="899"/>
        <item x="554"/>
        <item x="23"/>
        <item x="846"/>
        <item x="18"/>
        <item x="268"/>
        <item x="258"/>
        <item x="955"/>
        <item x="997"/>
        <item x="877"/>
        <item x="83"/>
        <item x="620"/>
        <item x="353"/>
        <item x="521"/>
        <item x="322"/>
        <item x="212"/>
        <item x="282"/>
        <item x="542"/>
        <item x="730"/>
        <item x="703"/>
        <item x="943"/>
        <item x="918"/>
        <item x="2"/>
        <item x="957"/>
        <item x="429"/>
        <item x="933"/>
        <item x="301"/>
        <item x="478"/>
        <item x="690"/>
        <item x="540"/>
        <item x="394"/>
        <item x="760"/>
        <item x="159"/>
        <item x="310"/>
        <item x="795"/>
        <item x="257"/>
        <item x="873"/>
        <item x="477"/>
        <item x="925"/>
        <item x="607"/>
        <item x="630"/>
        <item x="785"/>
        <item x="681"/>
        <item x="62"/>
        <item x="605"/>
        <item x="615"/>
        <item x="160"/>
        <item x="121"/>
        <item x="960"/>
        <item x="668"/>
        <item x="8"/>
        <item x="807"/>
        <item x="164"/>
        <item x="113"/>
        <item x="903"/>
        <item x="31"/>
        <item x="722"/>
        <item x="821"/>
        <item x="586"/>
        <item x="377"/>
        <item x="402"/>
        <item x="689"/>
        <item x="698"/>
        <item x="423"/>
        <item x="396"/>
        <item x="17"/>
        <item x="758"/>
        <item x="634"/>
        <item x="389"/>
        <item x="594"/>
        <item x="300"/>
        <item x="77"/>
        <item x="235"/>
        <item x="936"/>
        <item x="145"/>
        <item x="676"/>
        <item x="890"/>
        <item x="280"/>
        <item x="660"/>
        <item x="483"/>
        <item x="451"/>
        <item x="409"/>
        <item x="205"/>
        <item x="216"/>
        <item x="55"/>
        <item x="109"/>
        <item x="179"/>
        <item x="13"/>
        <item x="312"/>
        <item x="181"/>
        <item x="559"/>
        <item x="78"/>
        <item x="248"/>
        <item x="768"/>
        <item x="788"/>
        <item x="931"/>
        <item x="233"/>
        <item x="438"/>
        <item x="91"/>
        <item x="682"/>
        <item x="946"/>
        <item x="271"/>
        <item x="976"/>
        <item x="516"/>
        <item x="778"/>
        <item x="543"/>
        <item x="717"/>
        <item x="475"/>
        <item x="836"/>
        <item x="536"/>
        <item x="488"/>
        <item x="898"/>
        <item x="509"/>
        <item x="645"/>
        <item x="990"/>
        <item x="671"/>
        <item x="767"/>
        <item x="354"/>
        <item x="520"/>
        <item x="416"/>
        <item x="962"/>
        <item x="401"/>
        <item x="168"/>
        <item x="595"/>
        <item x="831"/>
        <item x="763"/>
        <item x="604"/>
        <item x="718"/>
        <item x="383"/>
        <item x="207"/>
        <item x="851"/>
        <item x="103"/>
        <item x="471"/>
        <item x="576"/>
        <item x="73"/>
        <item x="713"/>
        <item x="356"/>
        <item x="42"/>
        <item x="759"/>
        <item x="297"/>
        <item x="325"/>
        <item x="341"/>
        <item x="691"/>
        <item x="11"/>
        <item x="802"/>
        <item x="47"/>
        <item x="590"/>
        <item x="381"/>
        <item x="773"/>
        <item x="774"/>
        <item x="141"/>
        <item x="229"/>
        <item x="227"/>
        <item x="965"/>
        <item x="905"/>
        <item x="502"/>
        <item x="114"/>
        <item x="801"/>
        <item x="845"/>
        <item x="486"/>
        <item x="186"/>
        <item x="497"/>
        <item x="742"/>
        <item x="956"/>
        <item x="810"/>
        <item x="870"/>
        <item x="868"/>
        <item x="455"/>
        <item x="292"/>
        <item x="34"/>
        <item x="79"/>
        <item x="146"/>
        <item x="425"/>
        <item x="967"/>
        <item x="106"/>
        <item x="204"/>
        <item x="170"/>
        <item x="793"/>
        <item x="370"/>
        <item x="915"/>
        <item x="273"/>
        <item x="783"/>
        <item x="10"/>
        <item x="357"/>
        <item x="531"/>
        <item x="495"/>
        <item x="222"/>
        <item x="288"/>
        <item x="803"/>
        <item x="364"/>
        <item x="470"/>
        <item x="878"/>
        <item x="642"/>
        <item x="324"/>
        <item x="348"/>
        <item x="284"/>
        <item x="32"/>
        <item x="865"/>
        <item x="99"/>
        <item x="185"/>
        <item x="28"/>
        <item x="735"/>
        <item x="469"/>
        <item x="887"/>
        <item x="464"/>
        <item x="340"/>
        <item x="974"/>
        <item x="674"/>
        <item x="947"/>
        <item x="30"/>
        <item x="591"/>
        <item x="368"/>
        <item x="687"/>
        <item x="705"/>
        <item x="539"/>
        <item x="944"/>
        <item x="203"/>
        <item x="934"/>
        <item x="7"/>
        <item x="453"/>
        <item x="513"/>
        <item x="926"/>
        <item x="501"/>
        <item x="278"/>
        <item x="74"/>
        <item x="36"/>
        <item x="727"/>
        <item x="951"/>
        <item x="332"/>
        <item x="161"/>
        <item x="514"/>
        <item x="555"/>
        <item x="299"/>
        <item x="56"/>
        <item x="779"/>
        <item x="667"/>
        <item x="54"/>
        <item t="default"/>
      </items>
    </pivotField>
    <pivotField showAll="0">
      <items count="3">
        <item x="0"/>
        <item x="1"/>
        <item t="default"/>
      </items>
    </pivotField>
    <pivotField showAll="0"/>
    <pivotField showAll="0"/>
    <pivotField showAll="0"/>
    <pivotField showAll="0"/>
    <pivotField showAll="0"/>
    <pivotField showAll="0">
      <items count="996">
        <item m="1" x="759"/>
        <item m="1" x="981"/>
        <item m="1" x="646"/>
        <item m="1" x="650"/>
        <item m="1" x="802"/>
        <item m="1" x="706"/>
        <item m="1" x="905"/>
        <item m="1" x="638"/>
        <item m="1" x="781"/>
        <item m="1" x="818"/>
        <item m="1" x="869"/>
        <item m="1" x="591"/>
        <item m="1" x="649"/>
        <item m="1" x="948"/>
        <item m="1" x="605"/>
        <item m="1" x="589"/>
        <item m="1" x="898"/>
        <item m="1" x="840"/>
        <item m="1" x="663"/>
        <item m="1" x="696"/>
        <item m="1" x="803"/>
        <item m="1" x="867"/>
        <item m="1" x="797"/>
        <item m="1" x="831"/>
        <item m="1" x="873"/>
        <item m="1" x="590"/>
        <item m="1" x="710"/>
        <item m="1" x="690"/>
        <item m="1" x="843"/>
        <item m="1" x="870"/>
        <item m="1" x="893"/>
        <item m="1" x="956"/>
        <item m="1" x="719"/>
        <item m="1" x="962"/>
        <item m="1" x="875"/>
        <item m="1" x="878"/>
        <item m="1" x="912"/>
        <item m="1" x="830"/>
        <item m="1" x="990"/>
        <item m="1" x="760"/>
        <item m="1" x="750"/>
        <item m="1" x="909"/>
        <item m="1" x="673"/>
        <item m="1" x="603"/>
        <item m="1" x="889"/>
        <item m="1" x="667"/>
        <item m="1" x="951"/>
        <item m="1" x="728"/>
        <item m="1" x="946"/>
        <item m="1" x="825"/>
        <item m="1" x="635"/>
        <item m="1" x="619"/>
        <item m="1" x="965"/>
        <item m="1" x="680"/>
        <item m="1" x="952"/>
        <item m="1" x="816"/>
        <item m="1" x="890"/>
        <item m="1" x="888"/>
        <item m="1" x="862"/>
        <item m="1" x="691"/>
        <item m="1" x="613"/>
        <item m="1" x="610"/>
        <item m="1" x="949"/>
        <item m="1" x="682"/>
        <item m="1" x="833"/>
        <item m="1" x="609"/>
        <item m="1" x="758"/>
        <item m="1" x="653"/>
        <item m="1" x="895"/>
        <item m="1" x="958"/>
        <item m="1" x="592"/>
        <item m="1" x="950"/>
        <item m="1" x="602"/>
        <item m="1" x="910"/>
        <item m="1" x="837"/>
        <item m="1" x="677"/>
        <item m="1" x="729"/>
        <item m="1" x="881"/>
        <item m="1" x="741"/>
        <item m="1" x="598"/>
        <item m="1" x="847"/>
        <item m="1" x="773"/>
        <item m="1" x="763"/>
        <item m="1" x="684"/>
        <item m="1" x="985"/>
        <item m="1" x="707"/>
        <item m="1" x="987"/>
        <item m="1" x="715"/>
        <item m="1" x="751"/>
        <item m="1" x="919"/>
        <item m="1" x="614"/>
        <item m="1" x="661"/>
        <item m="1" x="823"/>
        <item m="1" x="727"/>
        <item m="1" x="730"/>
        <item m="1" x="720"/>
        <item m="1" x="879"/>
        <item m="1" x="621"/>
        <item m="1" x="620"/>
        <item m="1" x="583"/>
        <item m="1" x="581"/>
        <item m="1" x="775"/>
        <item m="1" x="627"/>
        <item m="1" x="737"/>
        <item m="1" x="836"/>
        <item m="1" x="695"/>
        <item m="1" x="622"/>
        <item m="1" x="783"/>
        <item m="1" x="779"/>
        <item m="1" x="607"/>
        <item m="1" x="599"/>
        <item m="1" x="940"/>
        <item m="1" x="742"/>
        <item m="1" x="709"/>
        <item m="1" x="700"/>
        <item m="1" x="908"/>
        <item m="1" x="969"/>
        <item m="1" x="853"/>
        <item m="1" x="632"/>
        <item m="1" x="754"/>
        <item m="1" x="674"/>
        <item m="1" x="665"/>
        <item m="1" x="584"/>
        <item m="1" x="801"/>
        <item m="1" x="641"/>
        <item m="1" x="970"/>
        <item m="1" x="586"/>
        <item m="1" x="702"/>
        <item m="1" x="644"/>
        <item m="1" x="954"/>
        <item m="1" x="721"/>
        <item m="1" x="629"/>
        <item m="1" x="907"/>
        <item m="1" x="659"/>
        <item m="1" x="793"/>
        <item m="1" x="955"/>
        <item m="1" x="795"/>
        <item m="1" x="841"/>
        <item m="1" x="973"/>
        <item m="1" x="656"/>
        <item m="1" x="931"/>
        <item m="1" x="882"/>
        <item m="1" x="886"/>
        <item m="1" x="642"/>
        <item m="1" x="630"/>
        <item m="1" x="764"/>
        <item m="1" x="626"/>
        <item m="1" x="798"/>
        <item m="1" x="921"/>
        <item m="1" x="639"/>
        <item m="1" x="988"/>
        <item m="1" x="725"/>
        <item m="1" x="807"/>
        <item m="1" x="685"/>
        <item m="1" x="945"/>
        <item m="1" x="804"/>
        <item m="1" x="770"/>
        <item m="1" x="864"/>
        <item m="1" x="828"/>
        <item m="1" x="902"/>
        <item m="1" x="788"/>
        <item m="1" x="778"/>
        <item m="1" x="980"/>
        <item m="1" x="986"/>
        <item m="1" x="901"/>
        <item m="1" x="963"/>
        <item m="1" x="637"/>
        <item m="1" x="809"/>
        <item m="1" x="785"/>
        <item m="1" x="877"/>
        <item m="1" x="880"/>
        <item m="1" x="894"/>
        <item m="1" x="732"/>
        <item m="1" x="913"/>
        <item m="1" x="687"/>
        <item m="1" x="658"/>
        <item m="1" x="903"/>
        <item m="1" x="868"/>
        <item m="1" x="799"/>
        <item m="1" x="855"/>
        <item m="1" x="762"/>
        <item m="1" x="784"/>
        <item m="1" x="672"/>
        <item m="1" x="885"/>
        <item m="1" x="814"/>
        <item m="1" x="866"/>
        <item m="1" x="676"/>
        <item m="1" x="712"/>
        <item m="1" x="791"/>
        <item m="1" x="857"/>
        <item m="1" x="900"/>
        <item m="1" x="863"/>
        <item m="1" x="957"/>
        <item m="1" x="942"/>
        <item m="1" x="811"/>
        <item m="1" x="872"/>
        <item m="1" x="834"/>
        <item m="1" x="664"/>
        <item m="1" x="585"/>
        <item m="1" x="615"/>
        <item m="1" x="922"/>
        <item m="1" x="790"/>
        <item m="1" x="914"/>
        <item m="1" x="600"/>
        <item m="1" x="935"/>
        <item m="1" x="678"/>
        <item m="1" x="765"/>
        <item m="1" x="943"/>
        <item m="1" x="657"/>
        <item m="1" x="892"/>
        <item m="1" x="883"/>
        <item m="1" x="693"/>
        <item m="1" x="705"/>
        <item m="1" x="752"/>
        <item m="1" x="966"/>
        <item m="1" x="733"/>
        <item m="1" x="806"/>
        <item m="1" x="936"/>
        <item m="1" x="587"/>
        <item m="1" x="669"/>
        <item m="1" x="601"/>
        <item m="1" x="679"/>
        <item m="1" x="718"/>
        <item m="1" x="735"/>
        <item m="1" x="722"/>
        <item m="1" x="959"/>
        <item m="1" x="651"/>
        <item m="1" x="689"/>
        <item m="1" x="618"/>
        <item m="1" x="906"/>
        <item m="1" x="849"/>
        <item m="1" x="616"/>
        <item m="1" x="628"/>
        <item m="1" x="891"/>
        <item m="1" x="810"/>
        <item m="1" x="865"/>
        <item m="1" x="612"/>
        <item m="1" x="714"/>
        <item m="1" x="947"/>
        <item m="1" x="756"/>
        <item m="1" x="782"/>
        <item m="1" x="944"/>
        <item m="1" x="767"/>
        <item m="1" x="854"/>
        <item m="1" x="941"/>
        <item m="1" x="848"/>
        <item m="1" x="670"/>
        <item m="1" x="871"/>
        <item m="1" x="978"/>
        <item m="1" x="911"/>
        <item m="1" x="787"/>
        <item m="1" x="699"/>
        <item m="1" x="899"/>
        <item m="1" x="625"/>
        <item m="1" x="608"/>
        <item m="1" x="595"/>
        <item m="1" x="636"/>
        <item m="1" x="964"/>
        <item m="1" x="631"/>
        <item m="1" x="708"/>
        <item m="1" x="786"/>
        <item m="1" x="766"/>
        <item m="1" x="731"/>
        <item m="1" x="846"/>
        <item m="1" x="887"/>
        <item m="1" x="974"/>
        <item m="1" x="703"/>
        <item m="1" x="813"/>
        <item m="1" x="588"/>
        <item m="1" x="827"/>
        <item m="1" x="819"/>
        <item m="1" x="977"/>
        <item m="1" x="597"/>
        <item m="1" x="874"/>
        <item m="1" x="772"/>
        <item m="1" x="975"/>
        <item m="1" x="989"/>
        <item m="1" x="755"/>
        <item m="1" x="923"/>
        <item m="1" x="777"/>
        <item m="1" x="920"/>
        <item m="1" x="960"/>
        <item m="1" x="723"/>
        <item m="1" x="734"/>
        <item m="1" x="842"/>
        <item m="1" x="924"/>
        <item m="1" x="739"/>
        <item m="1" x="640"/>
        <item m="1" x="896"/>
        <item m="1" x="835"/>
        <item m="1" x="934"/>
        <item m="1" x="961"/>
        <item m="1" x="745"/>
        <item m="1" x="647"/>
        <item m="1" x="624"/>
        <item m="1" x="844"/>
        <item m="1" x="611"/>
        <item m="1" x="859"/>
        <item m="1" x="915"/>
        <item m="1" x="769"/>
        <item m="1" x="850"/>
        <item m="1" x="654"/>
        <item m="1" x="851"/>
        <item m="1" x="932"/>
        <item m="1" x="776"/>
        <item m="1" x="701"/>
        <item m="1" x="861"/>
        <item m="1" x="820"/>
        <item m="1" x="876"/>
        <item m="1" x="812"/>
        <item m="1" x="645"/>
        <item m="1" x="617"/>
        <item m="1" x="668"/>
        <item m="1" x="884"/>
        <item m="1" x="688"/>
        <item m="1" x="805"/>
        <item m="1" x="829"/>
        <item m="1" x="747"/>
        <item m="1" x="660"/>
        <item m="1" x="822"/>
        <item m="1" x="856"/>
        <item m="1" x="738"/>
        <item m="1" x="623"/>
        <item m="1" x="927"/>
        <item m="1" x="736"/>
        <item m="1" x="796"/>
        <item m="1" x="938"/>
        <item m="1" x="800"/>
        <item m="1" x="717"/>
        <item m="1" x="648"/>
        <item m="1" x="832"/>
        <item m="1" x="933"/>
        <item m="1" x="697"/>
        <item m="1" x="655"/>
        <item m="1" x="983"/>
        <item m="1" x="953"/>
        <item m="1" x="815"/>
        <item m="1" x="666"/>
        <item m="1" x="606"/>
        <item m="1" x="789"/>
        <item m="1" x="771"/>
        <item m="1" x="704"/>
        <item m="1" x="740"/>
        <item m="1" x="928"/>
        <item m="1" x="926"/>
        <item m="1" x="817"/>
        <item m="1" x="633"/>
        <item m="1" x="808"/>
        <item m="1" x="596"/>
        <item x="176"/>
        <item x="566"/>
        <item x="26"/>
        <item x="394"/>
        <item x="293"/>
        <item m="1" x="904"/>
        <item x="37"/>
        <item m="1" x="698"/>
        <item m="1" x="971"/>
        <item x="453"/>
        <item x="338"/>
        <item x="197"/>
        <item x="436"/>
        <item m="1" x="671"/>
        <item x="252"/>
        <item x="520"/>
        <item x="291"/>
        <item x="517"/>
        <item x="484"/>
        <item m="1" x="692"/>
        <item x="575"/>
        <item m="1" x="593"/>
        <item x="29"/>
        <item x="108"/>
        <item x="183"/>
        <item x="171"/>
        <item m="1" x="652"/>
        <item x="312"/>
        <item x="54"/>
        <item x="553"/>
        <item x="35"/>
        <item x="431"/>
        <item x="228"/>
        <item x="234"/>
        <item m="1" x="662"/>
        <item x="131"/>
        <item x="279"/>
        <item x="158"/>
        <item x="168"/>
        <item x="166"/>
        <item m="1" x="675"/>
        <item x="346"/>
        <item x="396"/>
        <item x="74"/>
        <item m="1" x="824"/>
        <item x="416"/>
        <item x="506"/>
        <item m="1" x="748"/>
        <item x="25"/>
        <item x="473"/>
        <item m="1" x="686"/>
        <item x="404"/>
        <item x="407"/>
        <item x="417"/>
        <item x="28"/>
        <item x="72"/>
        <item m="1" x="897"/>
        <item x="307"/>
        <item x="242"/>
        <item x="86"/>
        <item x="61"/>
        <item m="1" x="780"/>
        <item x="285"/>
        <item x="289"/>
        <item x="177"/>
        <item x="471"/>
        <item x="85"/>
        <item x="383"/>
        <item x="330"/>
        <item x="433"/>
        <item x="275"/>
        <item x="474"/>
        <item x="159"/>
        <item x="60"/>
        <item x="39"/>
        <item m="1" x="826"/>
        <item x="188"/>
        <item x="538"/>
        <item x="201"/>
        <item x="45"/>
        <item m="1" x="713"/>
        <item m="1" x="852"/>
        <item x="442"/>
        <item m="1" x="746"/>
        <item x="531"/>
        <item x="238"/>
        <item m="1" x="594"/>
        <item x="121"/>
        <item x="562"/>
        <item x="152"/>
        <item x="295"/>
        <item x="494"/>
        <item x="75"/>
        <item x="115"/>
        <item x="378"/>
        <item x="151"/>
        <item x="77"/>
        <item x="355"/>
        <item x="76"/>
        <item x="449"/>
        <item m="1" x="768"/>
        <item x="199"/>
        <item m="1" x="634"/>
        <item x="326"/>
        <item x="266"/>
        <item x="318"/>
        <item m="1" x="604"/>
        <item m="1" x="984"/>
        <item x="516"/>
        <item x="375"/>
        <item x="567"/>
        <item x="331"/>
        <item x="82"/>
        <item x="351"/>
        <item m="1" x="929"/>
        <item x="348"/>
        <item x="425"/>
        <item x="352"/>
        <item x="393"/>
        <item x="292"/>
        <item x="544"/>
        <item x="256"/>
        <item x="554"/>
        <item m="1" x="916"/>
        <item x="298"/>
        <item m="1" x="982"/>
        <item x="409"/>
        <item x="236"/>
        <item x="412"/>
        <item x="267"/>
        <item x="34"/>
        <item m="1" x="979"/>
        <item x="138"/>
        <item m="1" x="925"/>
        <item x="505"/>
        <item m="1" x="860"/>
        <item x="126"/>
        <item x="112"/>
        <item x="340"/>
        <item x="303"/>
        <item x="156"/>
        <item x="55"/>
        <item x="62"/>
        <item m="1" x="711"/>
        <item x="535"/>
        <item x="525"/>
        <item x="343"/>
        <item m="1" x="930"/>
        <item m="1" x="774"/>
        <item m="1" x="761"/>
        <item x="70"/>
        <item m="1" x="724"/>
        <item x="191"/>
        <item x="58"/>
        <item x="466"/>
        <item x="297"/>
        <item x="333"/>
        <item x="548"/>
        <item x="527"/>
        <item x="550"/>
        <item x="51"/>
        <item x="52"/>
        <item x="504"/>
        <item x="572"/>
        <item x="568"/>
        <item x="14"/>
        <item m="1" x="839"/>
        <item x="196"/>
        <item x="89"/>
        <item x="311"/>
        <item m="1" x="939"/>
        <item x="97"/>
        <item x="249"/>
        <item x="496"/>
        <item x="47"/>
        <item x="359"/>
        <item m="1" x="968"/>
        <item x="276"/>
        <item x="165"/>
        <item x="519"/>
        <item x="441"/>
        <item x="559"/>
        <item m="1" x="792"/>
        <item x="73"/>
        <item m="1" x="580"/>
        <item m="1" x="821"/>
        <item x="475"/>
        <item x="15"/>
        <item x="200"/>
        <item x="259"/>
        <item x="534"/>
        <item m="1" x="749"/>
        <item m="1" x="794"/>
        <item x="106"/>
        <item x="226"/>
        <item x="59"/>
        <item x="206"/>
        <item x="246"/>
        <item x="174"/>
        <item x="78"/>
        <item m="1" x="694"/>
        <item m="1" x="726"/>
        <item m="1" x="937"/>
        <item m="1" x="753"/>
        <item x="258"/>
        <item x="5"/>
        <item x="485"/>
        <item x="314"/>
        <item x="455"/>
        <item x="3"/>
        <item m="1" x="838"/>
        <item x="368"/>
        <item x="192"/>
        <item x="421"/>
        <item x="148"/>
        <item x="272"/>
        <item m="1" x="757"/>
        <item m="1" x="845"/>
        <item m="1" x="582"/>
        <item m="1" x="972"/>
        <item m="1" x="976"/>
        <item m="1" x="681"/>
        <item m="1" x="716"/>
        <item m="1" x="744"/>
        <item m="1" x="967"/>
        <item m="1" x="683"/>
        <item m="1" x="858"/>
        <item m="1" x="743"/>
        <item m="1" x="918"/>
        <item m="1" x="643"/>
        <item m="1" x="917"/>
        <item f="1" x="991"/>
        <item f="1" x="992"/>
        <item f="1" x="993"/>
        <item f="1" x="994"/>
        <item x="0"/>
        <item x="1"/>
        <item x="2"/>
        <item x="4"/>
        <item x="6"/>
        <item x="7"/>
        <item x="8"/>
        <item x="9"/>
        <item x="10"/>
        <item x="11"/>
        <item x="12"/>
        <item x="13"/>
        <item x="16"/>
        <item x="17"/>
        <item x="18"/>
        <item x="19"/>
        <item x="20"/>
        <item x="21"/>
        <item x="22"/>
        <item x="23"/>
        <item x="24"/>
        <item x="27"/>
        <item x="30"/>
        <item x="31"/>
        <item x="32"/>
        <item x="33"/>
        <item x="36"/>
        <item x="38"/>
        <item x="40"/>
        <item x="41"/>
        <item x="42"/>
        <item x="43"/>
        <item x="44"/>
        <item x="46"/>
        <item x="48"/>
        <item x="49"/>
        <item x="50"/>
        <item x="53"/>
        <item x="56"/>
        <item x="57"/>
        <item x="63"/>
        <item x="64"/>
        <item x="65"/>
        <item x="66"/>
        <item x="67"/>
        <item x="68"/>
        <item x="69"/>
        <item x="71"/>
        <item x="79"/>
        <item x="80"/>
        <item x="81"/>
        <item x="83"/>
        <item x="84"/>
        <item x="87"/>
        <item x="88"/>
        <item x="90"/>
        <item x="91"/>
        <item x="92"/>
        <item x="93"/>
        <item x="94"/>
        <item x="95"/>
        <item x="96"/>
        <item x="98"/>
        <item x="99"/>
        <item x="100"/>
        <item x="101"/>
        <item x="102"/>
        <item x="103"/>
        <item x="104"/>
        <item x="105"/>
        <item x="107"/>
        <item x="109"/>
        <item x="110"/>
        <item x="111"/>
        <item x="113"/>
        <item x="114"/>
        <item x="116"/>
        <item x="117"/>
        <item x="118"/>
        <item x="119"/>
        <item x="120"/>
        <item x="122"/>
        <item x="123"/>
        <item x="124"/>
        <item x="125"/>
        <item x="127"/>
        <item x="128"/>
        <item x="129"/>
        <item x="130"/>
        <item x="132"/>
        <item x="133"/>
        <item x="134"/>
        <item x="135"/>
        <item x="136"/>
        <item x="137"/>
        <item x="139"/>
        <item x="140"/>
        <item x="141"/>
        <item x="142"/>
        <item x="143"/>
        <item x="144"/>
        <item x="145"/>
        <item x="146"/>
        <item x="147"/>
        <item x="149"/>
        <item x="150"/>
        <item x="153"/>
        <item x="154"/>
        <item x="155"/>
        <item x="157"/>
        <item x="160"/>
        <item x="161"/>
        <item x="162"/>
        <item x="163"/>
        <item x="164"/>
        <item x="167"/>
        <item x="169"/>
        <item x="170"/>
        <item x="172"/>
        <item x="173"/>
        <item x="175"/>
        <item x="178"/>
        <item x="179"/>
        <item x="180"/>
        <item x="181"/>
        <item x="182"/>
        <item x="184"/>
        <item x="185"/>
        <item x="186"/>
        <item x="187"/>
        <item x="189"/>
        <item x="190"/>
        <item x="193"/>
        <item x="194"/>
        <item x="195"/>
        <item x="198"/>
        <item x="202"/>
        <item x="203"/>
        <item x="204"/>
        <item x="205"/>
        <item x="207"/>
        <item x="208"/>
        <item x="209"/>
        <item x="210"/>
        <item x="211"/>
        <item x="212"/>
        <item x="213"/>
        <item x="214"/>
        <item x="215"/>
        <item x="216"/>
        <item x="217"/>
        <item x="218"/>
        <item x="219"/>
        <item x="220"/>
        <item x="221"/>
        <item x="222"/>
        <item x="223"/>
        <item x="224"/>
        <item x="225"/>
        <item x="227"/>
        <item x="229"/>
        <item x="230"/>
        <item x="231"/>
        <item x="232"/>
        <item x="233"/>
        <item x="235"/>
        <item x="237"/>
        <item x="239"/>
        <item x="240"/>
        <item x="241"/>
        <item x="243"/>
        <item x="244"/>
        <item x="245"/>
        <item x="247"/>
        <item x="248"/>
        <item x="250"/>
        <item x="251"/>
        <item x="253"/>
        <item x="254"/>
        <item x="255"/>
        <item x="257"/>
        <item x="260"/>
        <item x="261"/>
        <item x="262"/>
        <item x="263"/>
        <item x="264"/>
        <item x="265"/>
        <item x="268"/>
        <item x="269"/>
        <item x="270"/>
        <item x="271"/>
        <item x="273"/>
        <item x="274"/>
        <item x="277"/>
        <item x="278"/>
        <item x="280"/>
        <item x="281"/>
        <item x="282"/>
        <item x="283"/>
        <item x="284"/>
        <item x="286"/>
        <item x="287"/>
        <item x="288"/>
        <item x="290"/>
        <item x="294"/>
        <item x="296"/>
        <item x="299"/>
        <item x="300"/>
        <item x="301"/>
        <item x="302"/>
        <item x="304"/>
        <item x="305"/>
        <item x="306"/>
        <item x="308"/>
        <item x="309"/>
        <item x="310"/>
        <item x="313"/>
        <item x="315"/>
        <item x="316"/>
        <item x="317"/>
        <item x="319"/>
        <item x="320"/>
        <item x="321"/>
        <item x="322"/>
        <item x="323"/>
        <item x="324"/>
        <item x="325"/>
        <item x="327"/>
        <item x="328"/>
        <item x="329"/>
        <item x="332"/>
        <item x="334"/>
        <item x="335"/>
        <item x="336"/>
        <item x="337"/>
        <item x="339"/>
        <item x="341"/>
        <item x="342"/>
        <item x="344"/>
        <item x="345"/>
        <item x="347"/>
        <item x="349"/>
        <item x="350"/>
        <item x="353"/>
        <item x="354"/>
        <item x="356"/>
        <item x="357"/>
        <item x="358"/>
        <item x="360"/>
        <item x="361"/>
        <item x="362"/>
        <item x="363"/>
        <item x="364"/>
        <item x="365"/>
        <item x="366"/>
        <item x="367"/>
        <item x="369"/>
        <item x="370"/>
        <item x="371"/>
        <item x="372"/>
        <item x="373"/>
        <item x="374"/>
        <item x="376"/>
        <item x="377"/>
        <item x="379"/>
        <item x="380"/>
        <item x="381"/>
        <item x="382"/>
        <item x="384"/>
        <item x="385"/>
        <item x="386"/>
        <item x="387"/>
        <item x="388"/>
        <item x="389"/>
        <item x="390"/>
        <item x="391"/>
        <item x="392"/>
        <item x="395"/>
        <item x="397"/>
        <item x="398"/>
        <item x="399"/>
        <item x="400"/>
        <item x="401"/>
        <item x="402"/>
        <item x="403"/>
        <item x="405"/>
        <item x="406"/>
        <item x="408"/>
        <item x="410"/>
        <item x="411"/>
        <item x="413"/>
        <item x="414"/>
        <item x="415"/>
        <item x="418"/>
        <item x="419"/>
        <item x="420"/>
        <item x="422"/>
        <item x="423"/>
        <item x="424"/>
        <item x="426"/>
        <item x="427"/>
        <item x="428"/>
        <item x="429"/>
        <item x="430"/>
        <item x="432"/>
        <item x="434"/>
        <item x="435"/>
        <item x="437"/>
        <item x="438"/>
        <item x="439"/>
        <item x="440"/>
        <item x="443"/>
        <item x="444"/>
        <item x="445"/>
        <item x="446"/>
        <item x="447"/>
        <item x="448"/>
        <item x="450"/>
        <item x="451"/>
        <item x="452"/>
        <item x="454"/>
        <item x="456"/>
        <item x="457"/>
        <item x="458"/>
        <item x="459"/>
        <item x="460"/>
        <item x="461"/>
        <item x="462"/>
        <item x="463"/>
        <item x="464"/>
        <item x="465"/>
        <item x="467"/>
        <item x="468"/>
        <item x="469"/>
        <item x="470"/>
        <item x="472"/>
        <item x="476"/>
        <item x="477"/>
        <item x="478"/>
        <item x="479"/>
        <item x="480"/>
        <item x="481"/>
        <item x="482"/>
        <item x="483"/>
        <item x="486"/>
        <item x="487"/>
        <item x="488"/>
        <item x="489"/>
        <item x="490"/>
        <item x="491"/>
        <item x="492"/>
        <item x="493"/>
        <item x="495"/>
        <item x="497"/>
        <item x="498"/>
        <item x="499"/>
        <item x="500"/>
        <item x="501"/>
        <item x="502"/>
        <item x="503"/>
        <item x="507"/>
        <item x="508"/>
        <item x="509"/>
        <item x="510"/>
        <item x="511"/>
        <item x="512"/>
        <item x="513"/>
        <item x="514"/>
        <item x="515"/>
        <item x="518"/>
        <item x="521"/>
        <item x="522"/>
        <item x="523"/>
        <item x="524"/>
        <item x="526"/>
        <item x="528"/>
        <item x="529"/>
        <item x="530"/>
        <item x="532"/>
        <item x="533"/>
        <item x="536"/>
        <item x="537"/>
        <item x="539"/>
        <item x="540"/>
        <item x="541"/>
        <item x="542"/>
        <item x="543"/>
        <item x="545"/>
        <item x="546"/>
        <item x="547"/>
        <item x="549"/>
        <item x="551"/>
        <item x="552"/>
        <item x="555"/>
        <item x="556"/>
        <item x="557"/>
        <item x="558"/>
        <item x="560"/>
        <item x="561"/>
        <item x="563"/>
        <item x="564"/>
        <item x="565"/>
        <item x="569"/>
        <item x="570"/>
        <item x="571"/>
        <item x="573"/>
        <item x="574"/>
        <item x="576"/>
        <item x="577"/>
        <item x="578"/>
        <item x="579"/>
        <item t="default"/>
      </items>
    </pivotField>
    <pivotField showAll="0"/>
    <pivotField dataField="1" numFmtId="164" showAll="0"/>
    <pivotField showAll="0"/>
    <pivotField showAll="0"/>
    <pivotField showAll="0"/>
    <pivotField showAll="0">
      <items count="4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s>
  <rowFields count="1">
    <field x="1"/>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Sum of Revenue"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01F117-247F-4615-A345-7C3E177107B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Yearly Trend">
  <location ref="D30:E34" firstHeaderRow="1" firstDataRow="1" firstDataCol="1"/>
  <pivotFields count="15">
    <pivotField showAll="0"/>
    <pivotField showAll="0"/>
    <pivotField showAll="0">
      <items count="3">
        <item x="0"/>
        <item x="1"/>
        <item t="default"/>
      </items>
    </pivotField>
    <pivotField showAll="0"/>
    <pivotField showAll="0"/>
    <pivotField showAll="0"/>
    <pivotField showAll="0"/>
    <pivotField showAll="0"/>
    <pivotField showAll="0">
      <items count="996">
        <item m="1" x="759"/>
        <item m="1" x="981"/>
        <item m="1" x="646"/>
        <item m="1" x="650"/>
        <item m="1" x="802"/>
        <item m="1" x="706"/>
        <item m="1" x="905"/>
        <item m="1" x="638"/>
        <item m="1" x="781"/>
        <item m="1" x="818"/>
        <item m="1" x="869"/>
        <item m="1" x="591"/>
        <item m="1" x="649"/>
        <item m="1" x="948"/>
        <item m="1" x="605"/>
        <item m="1" x="589"/>
        <item m="1" x="898"/>
        <item m="1" x="840"/>
        <item m="1" x="663"/>
        <item m="1" x="696"/>
        <item m="1" x="803"/>
        <item m="1" x="867"/>
        <item m="1" x="797"/>
        <item m="1" x="831"/>
        <item m="1" x="873"/>
        <item m="1" x="590"/>
        <item m="1" x="710"/>
        <item m="1" x="690"/>
        <item m="1" x="843"/>
        <item m="1" x="870"/>
        <item m="1" x="893"/>
        <item m="1" x="956"/>
        <item m="1" x="719"/>
        <item m="1" x="962"/>
        <item m="1" x="875"/>
        <item m="1" x="878"/>
        <item m="1" x="912"/>
        <item m="1" x="830"/>
        <item m="1" x="990"/>
        <item m="1" x="760"/>
        <item m="1" x="750"/>
        <item m="1" x="909"/>
        <item m="1" x="673"/>
        <item m="1" x="603"/>
        <item m="1" x="889"/>
        <item m="1" x="667"/>
        <item m="1" x="951"/>
        <item m="1" x="728"/>
        <item m="1" x="946"/>
        <item m="1" x="825"/>
        <item m="1" x="635"/>
        <item m="1" x="619"/>
        <item m="1" x="965"/>
        <item m="1" x="680"/>
        <item m="1" x="952"/>
        <item m="1" x="816"/>
        <item m="1" x="890"/>
        <item m="1" x="888"/>
        <item m="1" x="862"/>
        <item m="1" x="691"/>
        <item m="1" x="613"/>
        <item m="1" x="610"/>
        <item m="1" x="949"/>
        <item m="1" x="682"/>
        <item m="1" x="833"/>
        <item m="1" x="609"/>
        <item m="1" x="758"/>
        <item m="1" x="653"/>
        <item m="1" x="895"/>
        <item m="1" x="958"/>
        <item m="1" x="592"/>
        <item m="1" x="950"/>
        <item m="1" x="602"/>
        <item m="1" x="910"/>
        <item m="1" x="837"/>
        <item m="1" x="677"/>
        <item m="1" x="729"/>
        <item m="1" x="881"/>
        <item m="1" x="741"/>
        <item m="1" x="598"/>
        <item m="1" x="847"/>
        <item m="1" x="773"/>
        <item m="1" x="763"/>
        <item m="1" x="684"/>
        <item m="1" x="985"/>
        <item m="1" x="707"/>
        <item m="1" x="987"/>
        <item m="1" x="715"/>
        <item m="1" x="751"/>
        <item m="1" x="919"/>
        <item m="1" x="614"/>
        <item m="1" x="661"/>
        <item m="1" x="823"/>
        <item m="1" x="727"/>
        <item m="1" x="730"/>
        <item m="1" x="720"/>
        <item m="1" x="879"/>
        <item m="1" x="621"/>
        <item m="1" x="620"/>
        <item m="1" x="583"/>
        <item m="1" x="581"/>
        <item m="1" x="775"/>
        <item m="1" x="627"/>
        <item m="1" x="737"/>
        <item m="1" x="836"/>
        <item m="1" x="695"/>
        <item m="1" x="622"/>
        <item m="1" x="783"/>
        <item m="1" x="779"/>
        <item m="1" x="607"/>
        <item m="1" x="599"/>
        <item m="1" x="940"/>
        <item m="1" x="742"/>
        <item m="1" x="709"/>
        <item m="1" x="700"/>
        <item m="1" x="908"/>
        <item m="1" x="969"/>
        <item m="1" x="853"/>
        <item m="1" x="632"/>
        <item m="1" x="754"/>
        <item m="1" x="674"/>
        <item m="1" x="665"/>
        <item m="1" x="584"/>
        <item m="1" x="801"/>
        <item m="1" x="641"/>
        <item m="1" x="970"/>
        <item m="1" x="586"/>
        <item m="1" x="702"/>
        <item m="1" x="644"/>
        <item m="1" x="954"/>
        <item m="1" x="721"/>
        <item m="1" x="629"/>
        <item m="1" x="907"/>
        <item m="1" x="659"/>
        <item m="1" x="793"/>
        <item m="1" x="955"/>
        <item m="1" x="795"/>
        <item m="1" x="841"/>
        <item m="1" x="973"/>
        <item m="1" x="656"/>
        <item m="1" x="931"/>
        <item m="1" x="882"/>
        <item m="1" x="886"/>
        <item m="1" x="642"/>
        <item m="1" x="630"/>
        <item m="1" x="764"/>
        <item m="1" x="626"/>
        <item m="1" x="798"/>
        <item m="1" x="921"/>
        <item m="1" x="639"/>
        <item m="1" x="988"/>
        <item m="1" x="725"/>
        <item m="1" x="807"/>
        <item m="1" x="685"/>
        <item m="1" x="945"/>
        <item m="1" x="804"/>
        <item m="1" x="770"/>
        <item m="1" x="864"/>
        <item m="1" x="828"/>
        <item m="1" x="902"/>
        <item m="1" x="788"/>
        <item m="1" x="778"/>
        <item m="1" x="980"/>
        <item m="1" x="986"/>
        <item m="1" x="901"/>
        <item m="1" x="963"/>
        <item m="1" x="637"/>
        <item m="1" x="809"/>
        <item m="1" x="785"/>
        <item m="1" x="877"/>
        <item m="1" x="880"/>
        <item m="1" x="894"/>
        <item m="1" x="732"/>
        <item m="1" x="913"/>
        <item m="1" x="687"/>
        <item m="1" x="658"/>
        <item m="1" x="903"/>
        <item m="1" x="868"/>
        <item m="1" x="799"/>
        <item m="1" x="855"/>
        <item m="1" x="762"/>
        <item m="1" x="784"/>
        <item m="1" x="672"/>
        <item m="1" x="885"/>
        <item m="1" x="814"/>
        <item m="1" x="866"/>
        <item m="1" x="676"/>
        <item m="1" x="712"/>
        <item m="1" x="791"/>
        <item m="1" x="857"/>
        <item m="1" x="900"/>
        <item m="1" x="863"/>
        <item m="1" x="957"/>
        <item m="1" x="942"/>
        <item m="1" x="811"/>
        <item m="1" x="872"/>
        <item m="1" x="834"/>
        <item m="1" x="664"/>
        <item m="1" x="585"/>
        <item m="1" x="615"/>
        <item m="1" x="922"/>
        <item m="1" x="790"/>
        <item m="1" x="914"/>
        <item m="1" x="600"/>
        <item m="1" x="935"/>
        <item m="1" x="678"/>
        <item m="1" x="765"/>
        <item m="1" x="943"/>
        <item m="1" x="657"/>
        <item m="1" x="892"/>
        <item m="1" x="883"/>
        <item m="1" x="693"/>
        <item m="1" x="705"/>
        <item m="1" x="752"/>
        <item m="1" x="966"/>
        <item m="1" x="733"/>
        <item m="1" x="806"/>
        <item m="1" x="936"/>
        <item m="1" x="587"/>
        <item m="1" x="669"/>
        <item m="1" x="601"/>
        <item m="1" x="679"/>
        <item m="1" x="718"/>
        <item m="1" x="735"/>
        <item m="1" x="722"/>
        <item m="1" x="959"/>
        <item m="1" x="651"/>
        <item m="1" x="689"/>
        <item m="1" x="618"/>
        <item m="1" x="906"/>
        <item m="1" x="849"/>
        <item m="1" x="616"/>
        <item m="1" x="628"/>
        <item m="1" x="891"/>
        <item m="1" x="810"/>
        <item m="1" x="865"/>
        <item m="1" x="612"/>
        <item m="1" x="714"/>
        <item m="1" x="947"/>
        <item m="1" x="756"/>
        <item m="1" x="782"/>
        <item m="1" x="944"/>
        <item m="1" x="767"/>
        <item m="1" x="854"/>
        <item m="1" x="941"/>
        <item m="1" x="848"/>
        <item m="1" x="670"/>
        <item m="1" x="871"/>
        <item m="1" x="978"/>
        <item m="1" x="911"/>
        <item m="1" x="787"/>
        <item m="1" x="699"/>
        <item m="1" x="899"/>
        <item m="1" x="625"/>
        <item m="1" x="608"/>
        <item m="1" x="595"/>
        <item m="1" x="636"/>
        <item m="1" x="964"/>
        <item m="1" x="631"/>
        <item m="1" x="708"/>
        <item m="1" x="786"/>
        <item m="1" x="766"/>
        <item m="1" x="731"/>
        <item m="1" x="846"/>
        <item m="1" x="887"/>
        <item m="1" x="974"/>
        <item m="1" x="703"/>
        <item m="1" x="813"/>
        <item m="1" x="588"/>
        <item m="1" x="827"/>
        <item m="1" x="819"/>
        <item m="1" x="977"/>
        <item m="1" x="597"/>
        <item m="1" x="874"/>
        <item m="1" x="772"/>
        <item m="1" x="975"/>
        <item m="1" x="989"/>
        <item m="1" x="755"/>
        <item m="1" x="923"/>
        <item m="1" x="777"/>
        <item m="1" x="920"/>
        <item m="1" x="960"/>
        <item m="1" x="723"/>
        <item m="1" x="734"/>
        <item m="1" x="842"/>
        <item m="1" x="924"/>
        <item m="1" x="739"/>
        <item m="1" x="640"/>
        <item m="1" x="896"/>
        <item m="1" x="835"/>
        <item m="1" x="934"/>
        <item m="1" x="961"/>
        <item m="1" x="745"/>
        <item m="1" x="647"/>
        <item m="1" x="624"/>
        <item m="1" x="844"/>
        <item m="1" x="611"/>
        <item m="1" x="859"/>
        <item m="1" x="915"/>
        <item m="1" x="769"/>
        <item m="1" x="850"/>
        <item m="1" x="654"/>
        <item m="1" x="851"/>
        <item m="1" x="932"/>
        <item m="1" x="776"/>
        <item m="1" x="701"/>
        <item m="1" x="861"/>
        <item m="1" x="820"/>
        <item m="1" x="876"/>
        <item m="1" x="812"/>
        <item m="1" x="645"/>
        <item m="1" x="617"/>
        <item m="1" x="668"/>
        <item m="1" x="884"/>
        <item m="1" x="688"/>
        <item m="1" x="805"/>
        <item m="1" x="829"/>
        <item m="1" x="747"/>
        <item m="1" x="660"/>
        <item m="1" x="822"/>
        <item m="1" x="856"/>
        <item m="1" x="738"/>
        <item m="1" x="623"/>
        <item m="1" x="927"/>
        <item m="1" x="736"/>
        <item m="1" x="796"/>
        <item m="1" x="938"/>
        <item m="1" x="800"/>
        <item m="1" x="717"/>
        <item m="1" x="648"/>
        <item m="1" x="832"/>
        <item m="1" x="933"/>
        <item m="1" x="697"/>
        <item m="1" x="655"/>
        <item m="1" x="983"/>
        <item m="1" x="953"/>
        <item m="1" x="815"/>
        <item m="1" x="666"/>
        <item m="1" x="606"/>
        <item m="1" x="789"/>
        <item m="1" x="771"/>
        <item m="1" x="704"/>
        <item m="1" x="740"/>
        <item m="1" x="928"/>
        <item m="1" x="926"/>
        <item m="1" x="817"/>
        <item m="1" x="633"/>
        <item m="1" x="808"/>
        <item m="1" x="596"/>
        <item x="176"/>
        <item x="566"/>
        <item x="26"/>
        <item x="394"/>
        <item x="293"/>
        <item m="1" x="904"/>
        <item x="37"/>
        <item m="1" x="698"/>
        <item m="1" x="971"/>
        <item x="453"/>
        <item x="338"/>
        <item x="197"/>
        <item x="436"/>
        <item m="1" x="671"/>
        <item x="252"/>
        <item x="520"/>
        <item x="291"/>
        <item x="517"/>
        <item x="484"/>
        <item m="1" x="692"/>
        <item x="575"/>
        <item m="1" x="593"/>
        <item x="29"/>
        <item x="108"/>
        <item x="183"/>
        <item x="171"/>
        <item m="1" x="652"/>
        <item x="312"/>
        <item x="54"/>
        <item x="553"/>
        <item x="35"/>
        <item x="431"/>
        <item x="228"/>
        <item x="234"/>
        <item m="1" x="662"/>
        <item x="131"/>
        <item x="279"/>
        <item x="158"/>
        <item x="168"/>
        <item x="166"/>
        <item m="1" x="675"/>
        <item x="346"/>
        <item x="396"/>
        <item x="74"/>
        <item m="1" x="824"/>
        <item x="416"/>
        <item x="506"/>
        <item m="1" x="748"/>
        <item x="25"/>
        <item x="473"/>
        <item m="1" x="686"/>
        <item x="404"/>
        <item x="407"/>
        <item x="417"/>
        <item x="28"/>
        <item x="72"/>
        <item m="1" x="897"/>
        <item x="307"/>
        <item x="242"/>
        <item x="86"/>
        <item x="61"/>
        <item m="1" x="780"/>
        <item x="285"/>
        <item x="289"/>
        <item x="177"/>
        <item x="471"/>
        <item x="85"/>
        <item x="383"/>
        <item x="330"/>
        <item x="433"/>
        <item x="275"/>
        <item x="474"/>
        <item x="159"/>
        <item x="60"/>
        <item x="39"/>
        <item m="1" x="826"/>
        <item x="188"/>
        <item x="538"/>
        <item x="201"/>
        <item x="45"/>
        <item m="1" x="713"/>
        <item m="1" x="852"/>
        <item x="442"/>
        <item m="1" x="746"/>
        <item x="531"/>
        <item x="238"/>
        <item m="1" x="594"/>
        <item x="121"/>
        <item x="562"/>
        <item x="152"/>
        <item x="295"/>
        <item x="494"/>
        <item x="75"/>
        <item x="115"/>
        <item x="378"/>
        <item x="151"/>
        <item x="77"/>
        <item x="355"/>
        <item x="76"/>
        <item x="449"/>
        <item m="1" x="768"/>
        <item x="199"/>
        <item m="1" x="634"/>
        <item x="326"/>
        <item x="266"/>
        <item x="318"/>
        <item m="1" x="604"/>
        <item m="1" x="984"/>
        <item x="516"/>
        <item x="375"/>
        <item x="567"/>
        <item x="331"/>
        <item x="82"/>
        <item x="351"/>
        <item m="1" x="929"/>
        <item x="348"/>
        <item x="425"/>
        <item x="352"/>
        <item x="393"/>
        <item x="292"/>
        <item x="544"/>
        <item x="256"/>
        <item x="554"/>
        <item m="1" x="916"/>
        <item x="298"/>
        <item m="1" x="982"/>
        <item x="409"/>
        <item x="236"/>
        <item x="412"/>
        <item x="267"/>
        <item x="34"/>
        <item m="1" x="979"/>
        <item x="138"/>
        <item m="1" x="925"/>
        <item x="505"/>
        <item m="1" x="860"/>
        <item x="126"/>
        <item x="112"/>
        <item x="340"/>
        <item x="303"/>
        <item x="156"/>
        <item x="55"/>
        <item x="62"/>
        <item m="1" x="711"/>
        <item x="535"/>
        <item x="525"/>
        <item x="343"/>
        <item m="1" x="930"/>
        <item m="1" x="774"/>
        <item m="1" x="761"/>
        <item x="70"/>
        <item m="1" x="724"/>
        <item x="191"/>
        <item x="58"/>
        <item x="466"/>
        <item x="297"/>
        <item x="333"/>
        <item x="548"/>
        <item x="527"/>
        <item x="550"/>
        <item x="51"/>
        <item x="52"/>
        <item x="504"/>
        <item x="572"/>
        <item x="568"/>
        <item x="14"/>
        <item m="1" x="839"/>
        <item x="196"/>
        <item x="89"/>
        <item x="311"/>
        <item m="1" x="939"/>
        <item x="97"/>
        <item x="249"/>
        <item x="496"/>
        <item x="47"/>
        <item x="359"/>
        <item m="1" x="968"/>
        <item x="276"/>
        <item x="165"/>
        <item x="519"/>
        <item x="441"/>
        <item x="559"/>
        <item m="1" x="792"/>
        <item x="73"/>
        <item m="1" x="580"/>
        <item m="1" x="821"/>
        <item x="475"/>
        <item x="15"/>
        <item x="200"/>
        <item x="259"/>
        <item x="534"/>
        <item m="1" x="749"/>
        <item m="1" x="794"/>
        <item x="106"/>
        <item x="226"/>
        <item x="59"/>
        <item x="206"/>
        <item x="246"/>
        <item x="174"/>
        <item x="78"/>
        <item m="1" x="694"/>
        <item m="1" x="726"/>
        <item m="1" x="937"/>
        <item m="1" x="753"/>
        <item x="258"/>
        <item x="5"/>
        <item x="485"/>
        <item x="314"/>
        <item x="455"/>
        <item x="3"/>
        <item m="1" x="838"/>
        <item x="368"/>
        <item x="192"/>
        <item x="421"/>
        <item x="148"/>
        <item x="272"/>
        <item m="1" x="757"/>
        <item m="1" x="845"/>
        <item m="1" x="582"/>
        <item m="1" x="972"/>
        <item m="1" x="976"/>
        <item m="1" x="681"/>
        <item m="1" x="716"/>
        <item m="1" x="744"/>
        <item m="1" x="967"/>
        <item m="1" x="683"/>
        <item m="1" x="858"/>
        <item m="1" x="743"/>
        <item m="1" x="918"/>
        <item m="1" x="643"/>
        <item m="1" x="917"/>
        <item f="1" x="991"/>
        <item f="1" x="992"/>
        <item f="1" x="993"/>
        <item f="1" x="994"/>
        <item x="0"/>
        <item x="1"/>
        <item x="2"/>
        <item x="4"/>
        <item x="6"/>
        <item x="7"/>
        <item x="8"/>
        <item x="9"/>
        <item x="10"/>
        <item x="11"/>
        <item x="12"/>
        <item x="13"/>
        <item x="16"/>
        <item x="17"/>
        <item x="18"/>
        <item x="19"/>
        <item x="20"/>
        <item x="21"/>
        <item x="22"/>
        <item x="23"/>
        <item x="24"/>
        <item x="27"/>
        <item x="30"/>
        <item x="31"/>
        <item x="32"/>
        <item x="33"/>
        <item x="36"/>
        <item x="38"/>
        <item x="40"/>
        <item x="41"/>
        <item x="42"/>
        <item x="43"/>
        <item x="44"/>
        <item x="46"/>
        <item x="48"/>
        <item x="49"/>
        <item x="50"/>
        <item x="53"/>
        <item x="56"/>
        <item x="57"/>
        <item x="63"/>
        <item x="64"/>
        <item x="65"/>
        <item x="66"/>
        <item x="67"/>
        <item x="68"/>
        <item x="69"/>
        <item x="71"/>
        <item x="79"/>
        <item x="80"/>
        <item x="81"/>
        <item x="83"/>
        <item x="84"/>
        <item x="87"/>
        <item x="88"/>
        <item x="90"/>
        <item x="91"/>
        <item x="92"/>
        <item x="93"/>
        <item x="94"/>
        <item x="95"/>
        <item x="96"/>
        <item x="98"/>
        <item x="99"/>
        <item x="100"/>
        <item x="101"/>
        <item x="102"/>
        <item x="103"/>
        <item x="104"/>
        <item x="105"/>
        <item x="107"/>
        <item x="109"/>
        <item x="110"/>
        <item x="111"/>
        <item x="113"/>
        <item x="114"/>
        <item x="116"/>
        <item x="117"/>
        <item x="118"/>
        <item x="119"/>
        <item x="120"/>
        <item x="122"/>
        <item x="123"/>
        <item x="124"/>
        <item x="125"/>
        <item x="127"/>
        <item x="128"/>
        <item x="129"/>
        <item x="130"/>
        <item x="132"/>
        <item x="133"/>
        <item x="134"/>
        <item x="135"/>
        <item x="136"/>
        <item x="137"/>
        <item x="139"/>
        <item x="140"/>
        <item x="141"/>
        <item x="142"/>
        <item x="143"/>
        <item x="144"/>
        <item x="145"/>
        <item x="146"/>
        <item x="147"/>
        <item x="149"/>
        <item x="150"/>
        <item x="153"/>
        <item x="154"/>
        <item x="155"/>
        <item x="157"/>
        <item x="160"/>
        <item x="161"/>
        <item x="162"/>
        <item x="163"/>
        <item x="164"/>
        <item x="167"/>
        <item x="169"/>
        <item x="170"/>
        <item x="172"/>
        <item x="173"/>
        <item x="175"/>
        <item x="178"/>
        <item x="179"/>
        <item x="180"/>
        <item x="181"/>
        <item x="182"/>
        <item x="184"/>
        <item x="185"/>
        <item x="186"/>
        <item x="187"/>
        <item x="189"/>
        <item x="190"/>
        <item x="193"/>
        <item x="194"/>
        <item x="195"/>
        <item x="198"/>
        <item x="202"/>
        <item x="203"/>
        <item x="204"/>
        <item x="205"/>
        <item x="207"/>
        <item x="208"/>
        <item x="209"/>
        <item x="210"/>
        <item x="211"/>
        <item x="212"/>
        <item x="213"/>
        <item x="214"/>
        <item x="215"/>
        <item x="216"/>
        <item x="217"/>
        <item x="218"/>
        <item x="219"/>
        <item x="220"/>
        <item x="221"/>
        <item x="222"/>
        <item x="223"/>
        <item x="224"/>
        <item x="225"/>
        <item x="227"/>
        <item x="229"/>
        <item x="230"/>
        <item x="231"/>
        <item x="232"/>
        <item x="233"/>
        <item x="235"/>
        <item x="237"/>
        <item x="239"/>
        <item x="240"/>
        <item x="241"/>
        <item x="243"/>
        <item x="244"/>
        <item x="245"/>
        <item x="247"/>
        <item x="248"/>
        <item x="250"/>
        <item x="251"/>
        <item x="253"/>
        <item x="254"/>
        <item x="255"/>
        <item x="257"/>
        <item x="260"/>
        <item x="261"/>
        <item x="262"/>
        <item x="263"/>
        <item x="264"/>
        <item x="265"/>
        <item x="268"/>
        <item x="269"/>
        <item x="270"/>
        <item x="271"/>
        <item x="273"/>
        <item x="274"/>
        <item x="277"/>
        <item x="278"/>
        <item x="280"/>
        <item x="281"/>
        <item x="282"/>
        <item x="283"/>
        <item x="284"/>
        <item x="286"/>
        <item x="287"/>
        <item x="288"/>
        <item x="290"/>
        <item x="294"/>
        <item x="296"/>
        <item x="299"/>
        <item x="300"/>
        <item x="301"/>
        <item x="302"/>
        <item x="304"/>
        <item x="305"/>
        <item x="306"/>
        <item x="308"/>
        <item x="309"/>
        <item x="310"/>
        <item x="313"/>
        <item x="315"/>
        <item x="316"/>
        <item x="317"/>
        <item x="319"/>
        <item x="320"/>
        <item x="321"/>
        <item x="322"/>
        <item x="323"/>
        <item x="324"/>
        <item x="325"/>
        <item x="327"/>
        <item x="328"/>
        <item x="329"/>
        <item x="332"/>
        <item x="334"/>
        <item x="335"/>
        <item x="336"/>
        <item x="337"/>
        <item x="339"/>
        <item x="341"/>
        <item x="342"/>
        <item x="344"/>
        <item x="345"/>
        <item x="347"/>
        <item x="349"/>
        <item x="350"/>
        <item x="353"/>
        <item x="354"/>
        <item x="356"/>
        <item x="357"/>
        <item x="358"/>
        <item x="360"/>
        <item x="361"/>
        <item x="362"/>
        <item x="363"/>
        <item x="364"/>
        <item x="365"/>
        <item x="366"/>
        <item x="367"/>
        <item x="369"/>
        <item x="370"/>
        <item x="371"/>
        <item x="372"/>
        <item x="373"/>
        <item x="374"/>
        <item x="376"/>
        <item x="377"/>
        <item x="379"/>
        <item x="380"/>
        <item x="381"/>
        <item x="382"/>
        <item x="384"/>
        <item x="385"/>
        <item x="386"/>
        <item x="387"/>
        <item x="388"/>
        <item x="389"/>
        <item x="390"/>
        <item x="391"/>
        <item x="392"/>
        <item x="395"/>
        <item x="397"/>
        <item x="398"/>
        <item x="399"/>
        <item x="400"/>
        <item x="401"/>
        <item x="402"/>
        <item x="403"/>
        <item x="405"/>
        <item x="406"/>
        <item x="408"/>
        <item x="410"/>
        <item x="411"/>
        <item x="413"/>
        <item x="414"/>
        <item x="415"/>
        <item x="418"/>
        <item x="419"/>
        <item x="420"/>
        <item x="422"/>
        <item x="423"/>
        <item x="424"/>
        <item x="426"/>
        <item x="427"/>
        <item x="428"/>
        <item x="429"/>
        <item x="430"/>
        <item x="432"/>
        <item x="434"/>
        <item x="435"/>
        <item x="437"/>
        <item x="438"/>
        <item x="439"/>
        <item x="440"/>
        <item x="443"/>
        <item x="444"/>
        <item x="445"/>
        <item x="446"/>
        <item x="447"/>
        <item x="448"/>
        <item x="450"/>
        <item x="451"/>
        <item x="452"/>
        <item x="454"/>
        <item x="456"/>
        <item x="457"/>
        <item x="458"/>
        <item x="459"/>
        <item x="460"/>
        <item x="461"/>
        <item x="462"/>
        <item x="463"/>
        <item x="464"/>
        <item x="465"/>
        <item x="467"/>
        <item x="468"/>
        <item x="469"/>
        <item x="470"/>
        <item x="472"/>
        <item x="476"/>
        <item x="477"/>
        <item x="478"/>
        <item x="479"/>
        <item x="480"/>
        <item x="481"/>
        <item x="482"/>
        <item x="483"/>
        <item x="486"/>
        <item x="487"/>
        <item x="488"/>
        <item x="489"/>
        <item x="490"/>
        <item x="491"/>
        <item x="492"/>
        <item x="493"/>
        <item x="495"/>
        <item x="497"/>
        <item x="498"/>
        <item x="499"/>
        <item x="500"/>
        <item x="501"/>
        <item x="502"/>
        <item x="503"/>
        <item x="507"/>
        <item x="508"/>
        <item x="509"/>
        <item x="510"/>
        <item x="511"/>
        <item x="512"/>
        <item x="513"/>
        <item x="514"/>
        <item x="515"/>
        <item x="518"/>
        <item x="521"/>
        <item x="522"/>
        <item x="523"/>
        <item x="524"/>
        <item x="526"/>
        <item x="528"/>
        <item x="529"/>
        <item x="530"/>
        <item x="532"/>
        <item x="533"/>
        <item x="536"/>
        <item x="537"/>
        <item x="539"/>
        <item x="540"/>
        <item x="541"/>
        <item x="542"/>
        <item x="543"/>
        <item x="545"/>
        <item x="546"/>
        <item x="547"/>
        <item x="549"/>
        <item x="551"/>
        <item x="552"/>
        <item x="555"/>
        <item x="556"/>
        <item x="557"/>
        <item x="558"/>
        <item x="560"/>
        <item x="561"/>
        <item x="563"/>
        <item x="564"/>
        <item x="565"/>
        <item x="569"/>
        <item x="570"/>
        <item x="571"/>
        <item x="573"/>
        <item x="574"/>
        <item x="576"/>
        <item x="577"/>
        <item x="578"/>
        <item x="579"/>
        <item t="default"/>
      </items>
    </pivotField>
    <pivotField showAll="0"/>
    <pivotField dataField="1" numFmtId="164" showAll="0"/>
    <pivotField showAll="0"/>
    <pivotField showAll="0">
      <items count="13">
        <item x="2"/>
        <item x="10"/>
        <item x="11"/>
        <item x="5"/>
        <item x="0"/>
        <item x="1"/>
        <item x="3"/>
        <item x="7"/>
        <item x="8"/>
        <item x="6"/>
        <item x="9"/>
        <item x="4"/>
        <item t="default"/>
      </items>
    </pivotField>
    <pivotField axis="axisRow" showAll="0">
      <items count="4">
        <item x="1"/>
        <item x="0"/>
        <item x="2"/>
        <item t="default"/>
      </items>
    </pivotField>
    <pivotField showAll="0">
      <items count="4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s>
  <rowFields count="1">
    <field x="13"/>
  </rowFields>
  <rowItems count="4">
    <i>
      <x/>
    </i>
    <i>
      <x v="1"/>
    </i>
    <i>
      <x v="2"/>
    </i>
    <i t="grand">
      <x/>
    </i>
  </rowItems>
  <colItems count="1">
    <i/>
  </colItems>
  <dataFields count="1">
    <dataField name="Sum of Revenue" fld="10" baseField="0" baseItem="0" numFmtId="164"/>
  </dataFields>
  <chartFormats count="1">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D1F864-481E-4ED1-BF9C-0ED4694C647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ayment Method">
  <location ref="D21:E25" firstHeaderRow="1" firstDataRow="1" firstDataCol="1"/>
  <pivotFields count="15">
    <pivotField dataField="1" showAll="0"/>
    <pivotField showAll="0"/>
    <pivotField showAll="0">
      <items count="3">
        <item x="0"/>
        <item x="1"/>
        <item t="default"/>
      </items>
    </pivotField>
    <pivotField showAll="0"/>
    <pivotField showAll="0"/>
    <pivotField showAll="0"/>
    <pivotField showAll="0"/>
    <pivotField axis="axisRow" showAll="0">
      <items count="4">
        <item x="0"/>
        <item x="1"/>
        <item x="2"/>
        <item t="default"/>
      </items>
    </pivotField>
    <pivotField showAll="0">
      <items count="996">
        <item m="1" x="759"/>
        <item m="1" x="981"/>
        <item m="1" x="646"/>
        <item m="1" x="650"/>
        <item m="1" x="802"/>
        <item m="1" x="706"/>
        <item m="1" x="905"/>
        <item m="1" x="638"/>
        <item m="1" x="781"/>
        <item m="1" x="818"/>
        <item m="1" x="869"/>
        <item m="1" x="591"/>
        <item m="1" x="649"/>
        <item m="1" x="948"/>
        <item m="1" x="605"/>
        <item m="1" x="589"/>
        <item m="1" x="898"/>
        <item m="1" x="840"/>
        <item m="1" x="663"/>
        <item m="1" x="696"/>
        <item m="1" x="803"/>
        <item m="1" x="867"/>
        <item m="1" x="797"/>
        <item m="1" x="831"/>
        <item m="1" x="873"/>
        <item m="1" x="590"/>
        <item m="1" x="710"/>
        <item m="1" x="690"/>
        <item m="1" x="843"/>
        <item m="1" x="870"/>
        <item m="1" x="893"/>
        <item m="1" x="956"/>
        <item m="1" x="719"/>
        <item m="1" x="962"/>
        <item m="1" x="875"/>
        <item m="1" x="878"/>
        <item m="1" x="912"/>
        <item m="1" x="830"/>
        <item m="1" x="990"/>
        <item m="1" x="760"/>
        <item m="1" x="750"/>
        <item m="1" x="909"/>
        <item m="1" x="673"/>
        <item m="1" x="603"/>
        <item m="1" x="889"/>
        <item m="1" x="667"/>
        <item m="1" x="951"/>
        <item m="1" x="728"/>
        <item m="1" x="946"/>
        <item m="1" x="825"/>
        <item m="1" x="635"/>
        <item m="1" x="619"/>
        <item m="1" x="965"/>
        <item m="1" x="680"/>
        <item m="1" x="952"/>
        <item m="1" x="816"/>
        <item m="1" x="890"/>
        <item m="1" x="888"/>
        <item m="1" x="862"/>
        <item m="1" x="691"/>
        <item m="1" x="613"/>
        <item m="1" x="610"/>
        <item m="1" x="949"/>
        <item m="1" x="682"/>
        <item m="1" x="833"/>
        <item m="1" x="609"/>
        <item m="1" x="758"/>
        <item m="1" x="653"/>
        <item m="1" x="895"/>
        <item m="1" x="958"/>
        <item m="1" x="592"/>
        <item m="1" x="950"/>
        <item m="1" x="602"/>
        <item m="1" x="910"/>
        <item m="1" x="837"/>
        <item m="1" x="677"/>
        <item m="1" x="729"/>
        <item m="1" x="881"/>
        <item m="1" x="741"/>
        <item m="1" x="598"/>
        <item m="1" x="847"/>
        <item m="1" x="773"/>
        <item m="1" x="763"/>
        <item m="1" x="684"/>
        <item m="1" x="985"/>
        <item m="1" x="707"/>
        <item m="1" x="987"/>
        <item m="1" x="715"/>
        <item m="1" x="751"/>
        <item m="1" x="919"/>
        <item m="1" x="614"/>
        <item m="1" x="661"/>
        <item m="1" x="823"/>
        <item m="1" x="727"/>
        <item m="1" x="730"/>
        <item m="1" x="720"/>
        <item m="1" x="879"/>
        <item m="1" x="621"/>
        <item m="1" x="620"/>
        <item m="1" x="583"/>
        <item m="1" x="581"/>
        <item m="1" x="775"/>
        <item m="1" x="627"/>
        <item m="1" x="737"/>
        <item m="1" x="836"/>
        <item m="1" x="695"/>
        <item m="1" x="622"/>
        <item m="1" x="783"/>
        <item m="1" x="779"/>
        <item m="1" x="607"/>
        <item m="1" x="599"/>
        <item m="1" x="940"/>
        <item m="1" x="742"/>
        <item m="1" x="709"/>
        <item m="1" x="700"/>
        <item m="1" x="908"/>
        <item m="1" x="969"/>
        <item m="1" x="853"/>
        <item m="1" x="632"/>
        <item m="1" x="754"/>
        <item m="1" x="674"/>
        <item m="1" x="665"/>
        <item m="1" x="584"/>
        <item m="1" x="801"/>
        <item m="1" x="641"/>
        <item m="1" x="970"/>
        <item m="1" x="586"/>
        <item m="1" x="702"/>
        <item m="1" x="644"/>
        <item m="1" x="954"/>
        <item m="1" x="721"/>
        <item m="1" x="629"/>
        <item m="1" x="907"/>
        <item m="1" x="659"/>
        <item m="1" x="793"/>
        <item m="1" x="955"/>
        <item m="1" x="795"/>
        <item m="1" x="841"/>
        <item m="1" x="973"/>
        <item m="1" x="656"/>
        <item m="1" x="931"/>
        <item m="1" x="882"/>
        <item m="1" x="886"/>
        <item m="1" x="642"/>
        <item m="1" x="630"/>
        <item m="1" x="764"/>
        <item m="1" x="626"/>
        <item m="1" x="798"/>
        <item m="1" x="921"/>
        <item m="1" x="639"/>
        <item m="1" x="988"/>
        <item m="1" x="725"/>
        <item m="1" x="807"/>
        <item m="1" x="685"/>
        <item m="1" x="945"/>
        <item m="1" x="804"/>
        <item m="1" x="770"/>
        <item m="1" x="864"/>
        <item m="1" x="828"/>
        <item m="1" x="902"/>
        <item m="1" x="788"/>
        <item m="1" x="778"/>
        <item m="1" x="980"/>
        <item m="1" x="986"/>
        <item m="1" x="901"/>
        <item m="1" x="963"/>
        <item m="1" x="637"/>
        <item m="1" x="809"/>
        <item m="1" x="785"/>
        <item m="1" x="877"/>
        <item m="1" x="880"/>
        <item m="1" x="894"/>
        <item m="1" x="732"/>
        <item m="1" x="913"/>
        <item m="1" x="687"/>
        <item m="1" x="658"/>
        <item m="1" x="903"/>
        <item m="1" x="868"/>
        <item m="1" x="799"/>
        <item m="1" x="855"/>
        <item m="1" x="762"/>
        <item m="1" x="784"/>
        <item m="1" x="672"/>
        <item m="1" x="885"/>
        <item m="1" x="814"/>
        <item m="1" x="866"/>
        <item m="1" x="676"/>
        <item m="1" x="712"/>
        <item m="1" x="791"/>
        <item m="1" x="857"/>
        <item m="1" x="900"/>
        <item m="1" x="863"/>
        <item m="1" x="957"/>
        <item m="1" x="942"/>
        <item m="1" x="811"/>
        <item m="1" x="872"/>
        <item m="1" x="834"/>
        <item m="1" x="664"/>
        <item m="1" x="585"/>
        <item m="1" x="615"/>
        <item m="1" x="922"/>
        <item m="1" x="790"/>
        <item m="1" x="914"/>
        <item m="1" x="600"/>
        <item m="1" x="935"/>
        <item m="1" x="678"/>
        <item m="1" x="765"/>
        <item m="1" x="943"/>
        <item m="1" x="657"/>
        <item m="1" x="892"/>
        <item m="1" x="883"/>
        <item m="1" x="693"/>
        <item m="1" x="705"/>
        <item m="1" x="752"/>
        <item m="1" x="966"/>
        <item m="1" x="733"/>
        <item m="1" x="806"/>
        <item m="1" x="936"/>
        <item m="1" x="587"/>
        <item m="1" x="669"/>
        <item m="1" x="601"/>
        <item m="1" x="679"/>
        <item m="1" x="718"/>
        <item m="1" x="735"/>
        <item m="1" x="722"/>
        <item m="1" x="959"/>
        <item m="1" x="651"/>
        <item m="1" x="689"/>
        <item m="1" x="618"/>
        <item m="1" x="906"/>
        <item m="1" x="849"/>
        <item m="1" x="616"/>
        <item m="1" x="628"/>
        <item m="1" x="891"/>
        <item m="1" x="810"/>
        <item m="1" x="865"/>
        <item m="1" x="612"/>
        <item m="1" x="714"/>
        <item m="1" x="947"/>
        <item m="1" x="756"/>
        <item m="1" x="782"/>
        <item m="1" x="944"/>
        <item m="1" x="767"/>
        <item m="1" x="854"/>
        <item m="1" x="941"/>
        <item m="1" x="848"/>
        <item m="1" x="670"/>
        <item m="1" x="871"/>
        <item m="1" x="978"/>
        <item m="1" x="911"/>
        <item m="1" x="787"/>
        <item m="1" x="699"/>
        <item m="1" x="899"/>
        <item m="1" x="625"/>
        <item m="1" x="608"/>
        <item m="1" x="595"/>
        <item m="1" x="636"/>
        <item m="1" x="964"/>
        <item m="1" x="631"/>
        <item m="1" x="708"/>
        <item m="1" x="786"/>
        <item m="1" x="766"/>
        <item m="1" x="731"/>
        <item m="1" x="846"/>
        <item m="1" x="887"/>
        <item m="1" x="974"/>
        <item m="1" x="703"/>
        <item m="1" x="813"/>
        <item m="1" x="588"/>
        <item m="1" x="827"/>
        <item m="1" x="819"/>
        <item m="1" x="977"/>
        <item m="1" x="597"/>
        <item m="1" x="874"/>
        <item m="1" x="772"/>
        <item m="1" x="975"/>
        <item m="1" x="989"/>
        <item m="1" x="755"/>
        <item m="1" x="923"/>
        <item m="1" x="777"/>
        <item m="1" x="920"/>
        <item m="1" x="960"/>
        <item m="1" x="723"/>
        <item m="1" x="734"/>
        <item m="1" x="842"/>
        <item m="1" x="924"/>
        <item m="1" x="739"/>
        <item m="1" x="640"/>
        <item m="1" x="896"/>
        <item m="1" x="835"/>
        <item m="1" x="934"/>
        <item m="1" x="961"/>
        <item m="1" x="745"/>
        <item m="1" x="647"/>
        <item m="1" x="624"/>
        <item m="1" x="844"/>
        <item m="1" x="611"/>
        <item m="1" x="859"/>
        <item m="1" x="915"/>
        <item m="1" x="769"/>
        <item m="1" x="850"/>
        <item m="1" x="654"/>
        <item m="1" x="851"/>
        <item m="1" x="932"/>
        <item m="1" x="776"/>
        <item m="1" x="701"/>
        <item m="1" x="861"/>
        <item m="1" x="820"/>
        <item m="1" x="876"/>
        <item m="1" x="812"/>
        <item m="1" x="645"/>
        <item m="1" x="617"/>
        <item m="1" x="668"/>
        <item m="1" x="884"/>
        <item m="1" x="688"/>
        <item m="1" x="805"/>
        <item m="1" x="829"/>
        <item m="1" x="747"/>
        <item m="1" x="660"/>
        <item m="1" x="822"/>
        <item m="1" x="856"/>
        <item m="1" x="738"/>
        <item m="1" x="623"/>
        <item m="1" x="927"/>
        <item m="1" x="736"/>
        <item m="1" x="796"/>
        <item m="1" x="938"/>
        <item m="1" x="800"/>
        <item m="1" x="717"/>
        <item m="1" x="648"/>
        <item m="1" x="832"/>
        <item m="1" x="933"/>
        <item m="1" x="697"/>
        <item m="1" x="655"/>
        <item m="1" x="983"/>
        <item m="1" x="953"/>
        <item m="1" x="815"/>
        <item m="1" x="666"/>
        <item m="1" x="606"/>
        <item m="1" x="789"/>
        <item m="1" x="771"/>
        <item m="1" x="704"/>
        <item m="1" x="740"/>
        <item m="1" x="928"/>
        <item m="1" x="926"/>
        <item m="1" x="817"/>
        <item m="1" x="633"/>
        <item m="1" x="808"/>
        <item m="1" x="596"/>
        <item x="176"/>
        <item x="566"/>
        <item x="26"/>
        <item x="394"/>
        <item x="293"/>
        <item m="1" x="904"/>
        <item x="37"/>
        <item m="1" x="698"/>
        <item m="1" x="971"/>
        <item x="453"/>
        <item x="338"/>
        <item x="197"/>
        <item x="436"/>
        <item m="1" x="671"/>
        <item x="252"/>
        <item x="520"/>
        <item x="291"/>
        <item x="517"/>
        <item x="484"/>
        <item m="1" x="692"/>
        <item x="575"/>
        <item m="1" x="593"/>
        <item x="29"/>
        <item x="108"/>
        <item x="183"/>
        <item x="171"/>
        <item m="1" x="652"/>
        <item x="312"/>
        <item x="54"/>
        <item x="553"/>
        <item x="35"/>
        <item x="431"/>
        <item x="228"/>
        <item x="234"/>
        <item m="1" x="662"/>
        <item x="131"/>
        <item x="279"/>
        <item x="158"/>
        <item x="168"/>
        <item x="166"/>
        <item m="1" x="675"/>
        <item x="346"/>
        <item x="396"/>
        <item x="74"/>
        <item m="1" x="824"/>
        <item x="416"/>
        <item x="506"/>
        <item m="1" x="748"/>
        <item x="25"/>
        <item x="473"/>
        <item m="1" x="686"/>
        <item x="404"/>
        <item x="407"/>
        <item x="417"/>
        <item x="28"/>
        <item x="72"/>
        <item m="1" x="897"/>
        <item x="307"/>
        <item x="242"/>
        <item x="86"/>
        <item x="61"/>
        <item m="1" x="780"/>
        <item x="285"/>
        <item x="289"/>
        <item x="177"/>
        <item x="471"/>
        <item x="85"/>
        <item x="383"/>
        <item x="330"/>
        <item x="433"/>
        <item x="275"/>
        <item x="474"/>
        <item x="159"/>
        <item x="60"/>
        <item x="39"/>
        <item m="1" x="826"/>
        <item x="188"/>
        <item x="538"/>
        <item x="201"/>
        <item x="45"/>
        <item m="1" x="713"/>
        <item m="1" x="852"/>
        <item x="442"/>
        <item m="1" x="746"/>
        <item x="531"/>
        <item x="238"/>
        <item m="1" x="594"/>
        <item x="121"/>
        <item x="562"/>
        <item x="152"/>
        <item x="295"/>
        <item x="494"/>
        <item x="75"/>
        <item x="115"/>
        <item x="378"/>
        <item x="151"/>
        <item x="77"/>
        <item x="355"/>
        <item x="76"/>
        <item x="449"/>
        <item m="1" x="768"/>
        <item x="199"/>
        <item m="1" x="634"/>
        <item x="326"/>
        <item x="266"/>
        <item x="318"/>
        <item m="1" x="604"/>
        <item m="1" x="984"/>
        <item x="516"/>
        <item x="375"/>
        <item x="567"/>
        <item x="331"/>
        <item x="82"/>
        <item x="351"/>
        <item m="1" x="929"/>
        <item x="348"/>
        <item x="425"/>
        <item x="352"/>
        <item x="393"/>
        <item x="292"/>
        <item x="544"/>
        <item x="256"/>
        <item x="554"/>
        <item m="1" x="916"/>
        <item x="298"/>
        <item m="1" x="982"/>
        <item x="409"/>
        <item x="236"/>
        <item x="412"/>
        <item x="267"/>
        <item x="34"/>
        <item m="1" x="979"/>
        <item x="138"/>
        <item m="1" x="925"/>
        <item x="505"/>
        <item m="1" x="860"/>
        <item x="126"/>
        <item x="112"/>
        <item x="340"/>
        <item x="303"/>
        <item x="156"/>
        <item x="55"/>
        <item x="62"/>
        <item m="1" x="711"/>
        <item x="535"/>
        <item x="525"/>
        <item x="343"/>
        <item m="1" x="930"/>
        <item m="1" x="774"/>
        <item m="1" x="761"/>
        <item x="70"/>
        <item m="1" x="724"/>
        <item x="191"/>
        <item x="58"/>
        <item x="466"/>
        <item x="297"/>
        <item x="333"/>
        <item x="548"/>
        <item x="527"/>
        <item x="550"/>
        <item x="51"/>
        <item x="52"/>
        <item x="504"/>
        <item x="572"/>
        <item x="568"/>
        <item x="14"/>
        <item m="1" x="839"/>
        <item x="196"/>
        <item x="89"/>
        <item x="311"/>
        <item m="1" x="939"/>
        <item x="97"/>
        <item x="249"/>
        <item x="496"/>
        <item x="47"/>
        <item x="359"/>
        <item m="1" x="968"/>
        <item x="276"/>
        <item x="165"/>
        <item x="519"/>
        <item x="441"/>
        <item x="559"/>
        <item m="1" x="792"/>
        <item x="73"/>
        <item m="1" x="580"/>
        <item m="1" x="821"/>
        <item x="475"/>
        <item x="15"/>
        <item x="200"/>
        <item x="259"/>
        <item x="534"/>
        <item m="1" x="749"/>
        <item m="1" x="794"/>
        <item x="106"/>
        <item x="226"/>
        <item x="59"/>
        <item x="206"/>
        <item x="246"/>
        <item x="174"/>
        <item x="78"/>
        <item m="1" x="694"/>
        <item m="1" x="726"/>
        <item m="1" x="937"/>
        <item m="1" x="753"/>
        <item x="258"/>
        <item x="5"/>
        <item x="485"/>
        <item x="314"/>
        <item x="455"/>
        <item x="3"/>
        <item m="1" x="838"/>
        <item x="368"/>
        <item x="192"/>
        <item x="421"/>
        <item x="148"/>
        <item x="272"/>
        <item m="1" x="757"/>
        <item m="1" x="845"/>
        <item m="1" x="582"/>
        <item m="1" x="972"/>
        <item m="1" x="976"/>
        <item m="1" x="681"/>
        <item m="1" x="716"/>
        <item m="1" x="744"/>
        <item m="1" x="967"/>
        <item m="1" x="683"/>
        <item m="1" x="858"/>
        <item m="1" x="743"/>
        <item m="1" x="918"/>
        <item m="1" x="643"/>
        <item m="1" x="917"/>
        <item f="1" x="991"/>
        <item f="1" x="992"/>
        <item f="1" x="993"/>
        <item f="1" x="994"/>
        <item x="0"/>
        <item x="1"/>
        <item x="2"/>
        <item x="4"/>
        <item x="6"/>
        <item x="7"/>
        <item x="8"/>
        <item x="9"/>
        <item x="10"/>
        <item x="11"/>
        <item x="12"/>
        <item x="13"/>
        <item x="16"/>
        <item x="17"/>
        <item x="18"/>
        <item x="19"/>
        <item x="20"/>
        <item x="21"/>
        <item x="22"/>
        <item x="23"/>
        <item x="24"/>
        <item x="27"/>
        <item x="30"/>
        <item x="31"/>
        <item x="32"/>
        <item x="33"/>
        <item x="36"/>
        <item x="38"/>
        <item x="40"/>
        <item x="41"/>
        <item x="42"/>
        <item x="43"/>
        <item x="44"/>
        <item x="46"/>
        <item x="48"/>
        <item x="49"/>
        <item x="50"/>
        <item x="53"/>
        <item x="56"/>
        <item x="57"/>
        <item x="63"/>
        <item x="64"/>
        <item x="65"/>
        <item x="66"/>
        <item x="67"/>
        <item x="68"/>
        <item x="69"/>
        <item x="71"/>
        <item x="79"/>
        <item x="80"/>
        <item x="81"/>
        <item x="83"/>
        <item x="84"/>
        <item x="87"/>
        <item x="88"/>
        <item x="90"/>
        <item x="91"/>
        <item x="92"/>
        <item x="93"/>
        <item x="94"/>
        <item x="95"/>
        <item x="96"/>
        <item x="98"/>
        <item x="99"/>
        <item x="100"/>
        <item x="101"/>
        <item x="102"/>
        <item x="103"/>
        <item x="104"/>
        <item x="105"/>
        <item x="107"/>
        <item x="109"/>
        <item x="110"/>
        <item x="111"/>
        <item x="113"/>
        <item x="114"/>
        <item x="116"/>
        <item x="117"/>
        <item x="118"/>
        <item x="119"/>
        <item x="120"/>
        <item x="122"/>
        <item x="123"/>
        <item x="124"/>
        <item x="125"/>
        <item x="127"/>
        <item x="128"/>
        <item x="129"/>
        <item x="130"/>
        <item x="132"/>
        <item x="133"/>
        <item x="134"/>
        <item x="135"/>
        <item x="136"/>
        <item x="137"/>
        <item x="139"/>
        <item x="140"/>
        <item x="141"/>
        <item x="142"/>
        <item x="143"/>
        <item x="144"/>
        <item x="145"/>
        <item x="146"/>
        <item x="147"/>
        <item x="149"/>
        <item x="150"/>
        <item x="153"/>
        <item x="154"/>
        <item x="155"/>
        <item x="157"/>
        <item x="160"/>
        <item x="161"/>
        <item x="162"/>
        <item x="163"/>
        <item x="164"/>
        <item x="167"/>
        <item x="169"/>
        <item x="170"/>
        <item x="172"/>
        <item x="173"/>
        <item x="175"/>
        <item x="178"/>
        <item x="179"/>
        <item x="180"/>
        <item x="181"/>
        <item x="182"/>
        <item x="184"/>
        <item x="185"/>
        <item x="186"/>
        <item x="187"/>
        <item x="189"/>
        <item x="190"/>
        <item x="193"/>
        <item x="194"/>
        <item x="195"/>
        <item x="198"/>
        <item x="202"/>
        <item x="203"/>
        <item x="204"/>
        <item x="205"/>
        <item x="207"/>
        <item x="208"/>
        <item x="209"/>
        <item x="210"/>
        <item x="211"/>
        <item x="212"/>
        <item x="213"/>
        <item x="214"/>
        <item x="215"/>
        <item x="216"/>
        <item x="217"/>
        <item x="218"/>
        <item x="219"/>
        <item x="220"/>
        <item x="221"/>
        <item x="222"/>
        <item x="223"/>
        <item x="224"/>
        <item x="225"/>
        <item x="227"/>
        <item x="229"/>
        <item x="230"/>
        <item x="231"/>
        <item x="232"/>
        <item x="233"/>
        <item x="235"/>
        <item x="237"/>
        <item x="239"/>
        <item x="240"/>
        <item x="241"/>
        <item x="243"/>
        <item x="244"/>
        <item x="245"/>
        <item x="247"/>
        <item x="248"/>
        <item x="250"/>
        <item x="251"/>
        <item x="253"/>
        <item x="254"/>
        <item x="255"/>
        <item x="257"/>
        <item x="260"/>
        <item x="261"/>
        <item x="262"/>
        <item x="263"/>
        <item x="264"/>
        <item x="265"/>
        <item x="268"/>
        <item x="269"/>
        <item x="270"/>
        <item x="271"/>
        <item x="273"/>
        <item x="274"/>
        <item x="277"/>
        <item x="278"/>
        <item x="280"/>
        <item x="281"/>
        <item x="282"/>
        <item x="283"/>
        <item x="284"/>
        <item x="286"/>
        <item x="287"/>
        <item x="288"/>
        <item x="290"/>
        <item x="294"/>
        <item x="296"/>
        <item x="299"/>
        <item x="300"/>
        <item x="301"/>
        <item x="302"/>
        <item x="304"/>
        <item x="305"/>
        <item x="306"/>
        <item x="308"/>
        <item x="309"/>
        <item x="310"/>
        <item x="313"/>
        <item x="315"/>
        <item x="316"/>
        <item x="317"/>
        <item x="319"/>
        <item x="320"/>
        <item x="321"/>
        <item x="322"/>
        <item x="323"/>
        <item x="324"/>
        <item x="325"/>
        <item x="327"/>
        <item x="328"/>
        <item x="329"/>
        <item x="332"/>
        <item x="334"/>
        <item x="335"/>
        <item x="336"/>
        <item x="337"/>
        <item x="339"/>
        <item x="341"/>
        <item x="342"/>
        <item x="344"/>
        <item x="345"/>
        <item x="347"/>
        <item x="349"/>
        <item x="350"/>
        <item x="353"/>
        <item x="354"/>
        <item x="356"/>
        <item x="357"/>
        <item x="358"/>
        <item x="360"/>
        <item x="361"/>
        <item x="362"/>
        <item x="363"/>
        <item x="364"/>
        <item x="365"/>
        <item x="366"/>
        <item x="367"/>
        <item x="369"/>
        <item x="370"/>
        <item x="371"/>
        <item x="372"/>
        <item x="373"/>
        <item x="374"/>
        <item x="376"/>
        <item x="377"/>
        <item x="379"/>
        <item x="380"/>
        <item x="381"/>
        <item x="382"/>
        <item x="384"/>
        <item x="385"/>
        <item x="386"/>
        <item x="387"/>
        <item x="388"/>
        <item x="389"/>
        <item x="390"/>
        <item x="391"/>
        <item x="392"/>
        <item x="395"/>
        <item x="397"/>
        <item x="398"/>
        <item x="399"/>
        <item x="400"/>
        <item x="401"/>
        <item x="402"/>
        <item x="403"/>
        <item x="405"/>
        <item x="406"/>
        <item x="408"/>
        <item x="410"/>
        <item x="411"/>
        <item x="413"/>
        <item x="414"/>
        <item x="415"/>
        <item x="418"/>
        <item x="419"/>
        <item x="420"/>
        <item x="422"/>
        <item x="423"/>
        <item x="424"/>
        <item x="426"/>
        <item x="427"/>
        <item x="428"/>
        <item x="429"/>
        <item x="430"/>
        <item x="432"/>
        <item x="434"/>
        <item x="435"/>
        <item x="437"/>
        <item x="438"/>
        <item x="439"/>
        <item x="440"/>
        <item x="443"/>
        <item x="444"/>
        <item x="445"/>
        <item x="446"/>
        <item x="447"/>
        <item x="448"/>
        <item x="450"/>
        <item x="451"/>
        <item x="452"/>
        <item x="454"/>
        <item x="456"/>
        <item x="457"/>
        <item x="458"/>
        <item x="459"/>
        <item x="460"/>
        <item x="461"/>
        <item x="462"/>
        <item x="463"/>
        <item x="464"/>
        <item x="465"/>
        <item x="467"/>
        <item x="468"/>
        <item x="469"/>
        <item x="470"/>
        <item x="472"/>
        <item x="476"/>
        <item x="477"/>
        <item x="478"/>
        <item x="479"/>
        <item x="480"/>
        <item x="481"/>
        <item x="482"/>
        <item x="483"/>
        <item x="486"/>
        <item x="487"/>
        <item x="488"/>
        <item x="489"/>
        <item x="490"/>
        <item x="491"/>
        <item x="492"/>
        <item x="493"/>
        <item x="495"/>
        <item x="497"/>
        <item x="498"/>
        <item x="499"/>
        <item x="500"/>
        <item x="501"/>
        <item x="502"/>
        <item x="503"/>
        <item x="507"/>
        <item x="508"/>
        <item x="509"/>
        <item x="510"/>
        <item x="511"/>
        <item x="512"/>
        <item x="513"/>
        <item x="514"/>
        <item x="515"/>
        <item x="518"/>
        <item x="521"/>
        <item x="522"/>
        <item x="523"/>
        <item x="524"/>
        <item x="526"/>
        <item x="528"/>
        <item x="529"/>
        <item x="530"/>
        <item x="532"/>
        <item x="533"/>
        <item x="536"/>
        <item x="537"/>
        <item x="539"/>
        <item x="540"/>
        <item x="541"/>
        <item x="542"/>
        <item x="543"/>
        <item x="545"/>
        <item x="546"/>
        <item x="547"/>
        <item x="549"/>
        <item x="551"/>
        <item x="552"/>
        <item x="555"/>
        <item x="556"/>
        <item x="557"/>
        <item x="558"/>
        <item x="560"/>
        <item x="561"/>
        <item x="563"/>
        <item x="564"/>
        <item x="565"/>
        <item x="569"/>
        <item x="570"/>
        <item x="571"/>
        <item x="573"/>
        <item x="574"/>
        <item x="576"/>
        <item x="577"/>
        <item x="578"/>
        <item x="579"/>
        <item t="default"/>
      </items>
    </pivotField>
    <pivotField showAll="0"/>
    <pivotField numFmtId="164" showAll="0"/>
    <pivotField showAll="0"/>
    <pivotField showAll="0"/>
    <pivotField showAll="0"/>
    <pivotField showAll="0">
      <items count="4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s>
  <rowFields count="1">
    <field x="7"/>
  </rowFields>
  <rowItems count="4">
    <i>
      <x/>
    </i>
    <i>
      <x v="1"/>
    </i>
    <i>
      <x v="2"/>
    </i>
    <i t="grand">
      <x/>
    </i>
  </rowItems>
  <colItems count="1">
    <i/>
  </colItems>
  <dataFields count="1">
    <dataField name="Count of Invoice_no" fld="0" subtotal="count" baseField="0" baseItem="0"/>
  </dataFields>
  <chartFormats count="4">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7" count="1" selected="0">
            <x v="0"/>
          </reference>
        </references>
      </pivotArea>
    </chartFormat>
    <chartFormat chart="6" format="3">
      <pivotArea type="data" outline="0" fieldPosition="0">
        <references count="2">
          <reference field="4294967294" count="1" selected="0">
            <x v="0"/>
          </reference>
          <reference field="7" count="1" selected="0">
            <x v="1"/>
          </reference>
        </references>
      </pivotArea>
    </chartFormat>
    <chartFormat chart="6" format="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435D8B-B470-485D-A0FA-8BBE3BAAD10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group">
  <location ref="E9:F15" firstHeaderRow="1" firstDataRow="1" firstDataCol="1"/>
  <pivotFields count="15">
    <pivotField dataField="1" showAll="0"/>
    <pivotField showAll="0"/>
    <pivotField showAll="0">
      <items count="3">
        <item x="0"/>
        <item x="1"/>
        <item t="default"/>
      </items>
    </pivotField>
    <pivotField showAll="0"/>
    <pivotField showAll="0"/>
    <pivotField showAll="0"/>
    <pivotField showAll="0"/>
    <pivotField showAll="0"/>
    <pivotField showAll="0">
      <items count="996">
        <item m="1" x="759"/>
        <item m="1" x="981"/>
        <item m="1" x="646"/>
        <item m="1" x="650"/>
        <item m="1" x="802"/>
        <item m="1" x="706"/>
        <item m="1" x="905"/>
        <item m="1" x="638"/>
        <item m="1" x="781"/>
        <item m="1" x="818"/>
        <item m="1" x="869"/>
        <item m="1" x="591"/>
        <item m="1" x="649"/>
        <item m="1" x="948"/>
        <item m="1" x="605"/>
        <item m="1" x="589"/>
        <item m="1" x="898"/>
        <item m="1" x="840"/>
        <item m="1" x="663"/>
        <item m="1" x="696"/>
        <item m="1" x="803"/>
        <item m="1" x="867"/>
        <item m="1" x="797"/>
        <item m="1" x="831"/>
        <item m="1" x="873"/>
        <item m="1" x="590"/>
        <item m="1" x="710"/>
        <item m="1" x="690"/>
        <item m="1" x="843"/>
        <item m="1" x="870"/>
        <item m="1" x="893"/>
        <item m="1" x="956"/>
        <item m="1" x="719"/>
        <item m="1" x="962"/>
        <item m="1" x="875"/>
        <item m="1" x="878"/>
        <item m="1" x="912"/>
        <item m="1" x="830"/>
        <item m="1" x="990"/>
        <item m="1" x="760"/>
        <item m="1" x="750"/>
        <item m="1" x="909"/>
        <item m="1" x="673"/>
        <item m="1" x="603"/>
        <item m="1" x="889"/>
        <item m="1" x="667"/>
        <item m="1" x="951"/>
        <item m="1" x="728"/>
        <item m="1" x="946"/>
        <item m="1" x="825"/>
        <item m="1" x="635"/>
        <item m="1" x="619"/>
        <item m="1" x="965"/>
        <item m="1" x="680"/>
        <item m="1" x="952"/>
        <item m="1" x="816"/>
        <item m="1" x="890"/>
        <item m="1" x="888"/>
        <item m="1" x="862"/>
        <item m="1" x="691"/>
        <item m="1" x="613"/>
        <item m="1" x="610"/>
        <item m="1" x="949"/>
        <item m="1" x="682"/>
        <item m="1" x="833"/>
        <item m="1" x="609"/>
        <item m="1" x="758"/>
        <item m="1" x="653"/>
        <item m="1" x="895"/>
        <item m="1" x="958"/>
        <item m="1" x="592"/>
        <item m="1" x="950"/>
        <item m="1" x="602"/>
        <item m="1" x="910"/>
        <item m="1" x="837"/>
        <item m="1" x="677"/>
        <item m="1" x="729"/>
        <item m="1" x="881"/>
        <item m="1" x="741"/>
        <item m="1" x="598"/>
        <item m="1" x="847"/>
        <item m="1" x="773"/>
        <item m="1" x="763"/>
        <item m="1" x="684"/>
        <item m="1" x="985"/>
        <item m="1" x="707"/>
        <item m="1" x="987"/>
        <item m="1" x="715"/>
        <item m="1" x="751"/>
        <item m="1" x="919"/>
        <item m="1" x="614"/>
        <item m="1" x="661"/>
        <item m="1" x="823"/>
        <item m="1" x="727"/>
        <item m="1" x="730"/>
        <item m="1" x="720"/>
        <item m="1" x="879"/>
        <item m="1" x="621"/>
        <item m="1" x="620"/>
        <item m="1" x="583"/>
        <item m="1" x="581"/>
        <item m="1" x="775"/>
        <item m="1" x="627"/>
        <item m="1" x="737"/>
        <item m="1" x="836"/>
        <item m="1" x="695"/>
        <item m="1" x="622"/>
        <item m="1" x="783"/>
        <item m="1" x="779"/>
        <item m="1" x="607"/>
        <item m="1" x="599"/>
        <item m="1" x="940"/>
        <item m="1" x="742"/>
        <item m="1" x="709"/>
        <item m="1" x="700"/>
        <item m="1" x="908"/>
        <item m="1" x="969"/>
        <item m="1" x="853"/>
        <item m="1" x="632"/>
        <item m="1" x="754"/>
        <item m="1" x="674"/>
        <item m="1" x="665"/>
        <item m="1" x="584"/>
        <item m="1" x="801"/>
        <item m="1" x="641"/>
        <item m="1" x="970"/>
        <item m="1" x="586"/>
        <item m="1" x="702"/>
        <item m="1" x="644"/>
        <item m="1" x="954"/>
        <item m="1" x="721"/>
        <item m="1" x="629"/>
        <item m="1" x="907"/>
        <item m="1" x="659"/>
        <item m="1" x="793"/>
        <item m="1" x="955"/>
        <item m="1" x="795"/>
        <item m="1" x="841"/>
        <item m="1" x="973"/>
        <item m="1" x="656"/>
        <item m="1" x="931"/>
        <item m="1" x="882"/>
        <item m="1" x="886"/>
        <item m="1" x="642"/>
        <item m="1" x="630"/>
        <item m="1" x="764"/>
        <item m="1" x="626"/>
        <item m="1" x="798"/>
        <item m="1" x="921"/>
        <item m="1" x="639"/>
        <item m="1" x="988"/>
        <item m="1" x="725"/>
        <item m="1" x="807"/>
        <item m="1" x="685"/>
        <item m="1" x="945"/>
        <item m="1" x="804"/>
        <item m="1" x="770"/>
        <item m="1" x="864"/>
        <item m="1" x="828"/>
        <item m="1" x="902"/>
        <item m="1" x="788"/>
        <item m="1" x="778"/>
        <item m="1" x="980"/>
        <item m="1" x="986"/>
        <item m="1" x="901"/>
        <item m="1" x="963"/>
        <item m="1" x="637"/>
        <item m="1" x="809"/>
        <item m="1" x="785"/>
        <item m="1" x="877"/>
        <item m="1" x="880"/>
        <item m="1" x="894"/>
        <item m="1" x="732"/>
        <item m="1" x="913"/>
        <item m="1" x="687"/>
        <item m="1" x="658"/>
        <item m="1" x="903"/>
        <item m="1" x="868"/>
        <item m="1" x="799"/>
        <item m="1" x="855"/>
        <item m="1" x="762"/>
        <item m="1" x="784"/>
        <item m="1" x="672"/>
        <item m="1" x="885"/>
        <item m="1" x="814"/>
        <item m="1" x="866"/>
        <item m="1" x="676"/>
        <item m="1" x="712"/>
        <item m="1" x="791"/>
        <item m="1" x="857"/>
        <item m="1" x="900"/>
        <item m="1" x="863"/>
        <item m="1" x="957"/>
        <item m="1" x="942"/>
        <item m="1" x="811"/>
        <item m="1" x="872"/>
        <item m="1" x="834"/>
        <item m="1" x="664"/>
        <item m="1" x="585"/>
        <item m="1" x="615"/>
        <item m="1" x="922"/>
        <item m="1" x="790"/>
        <item m="1" x="914"/>
        <item m="1" x="600"/>
        <item m="1" x="935"/>
        <item m="1" x="678"/>
        <item m="1" x="765"/>
        <item m="1" x="943"/>
        <item m="1" x="657"/>
        <item m="1" x="892"/>
        <item m="1" x="883"/>
        <item m="1" x="693"/>
        <item m="1" x="705"/>
        <item m="1" x="752"/>
        <item m="1" x="966"/>
        <item m="1" x="733"/>
        <item m="1" x="806"/>
        <item m="1" x="936"/>
        <item m="1" x="587"/>
        <item m="1" x="669"/>
        <item m="1" x="601"/>
        <item m="1" x="679"/>
        <item m="1" x="718"/>
        <item m="1" x="735"/>
        <item m="1" x="722"/>
        <item m="1" x="959"/>
        <item m="1" x="651"/>
        <item m="1" x="689"/>
        <item m="1" x="618"/>
        <item m="1" x="906"/>
        <item m="1" x="849"/>
        <item m="1" x="616"/>
        <item m="1" x="628"/>
        <item m="1" x="891"/>
        <item m="1" x="810"/>
        <item m="1" x="865"/>
        <item m="1" x="612"/>
        <item m="1" x="714"/>
        <item m="1" x="947"/>
        <item m="1" x="756"/>
        <item m="1" x="782"/>
        <item m="1" x="944"/>
        <item m="1" x="767"/>
        <item m="1" x="854"/>
        <item m="1" x="941"/>
        <item m="1" x="848"/>
        <item m="1" x="670"/>
        <item m="1" x="871"/>
        <item m="1" x="978"/>
        <item m="1" x="911"/>
        <item m="1" x="787"/>
        <item m="1" x="699"/>
        <item m="1" x="899"/>
        <item m="1" x="625"/>
        <item m="1" x="608"/>
        <item m="1" x="595"/>
        <item m="1" x="636"/>
        <item m="1" x="964"/>
        <item m="1" x="631"/>
        <item m="1" x="708"/>
        <item m="1" x="786"/>
        <item m="1" x="766"/>
        <item m="1" x="731"/>
        <item m="1" x="846"/>
        <item m="1" x="887"/>
        <item m="1" x="974"/>
        <item m="1" x="703"/>
        <item m="1" x="813"/>
        <item m="1" x="588"/>
        <item m="1" x="827"/>
        <item m="1" x="819"/>
        <item m="1" x="977"/>
        <item m="1" x="597"/>
        <item m="1" x="874"/>
        <item m="1" x="772"/>
        <item m="1" x="975"/>
        <item m="1" x="989"/>
        <item m="1" x="755"/>
        <item m="1" x="923"/>
        <item m="1" x="777"/>
        <item m="1" x="920"/>
        <item m="1" x="960"/>
        <item m="1" x="723"/>
        <item m="1" x="734"/>
        <item m="1" x="842"/>
        <item m="1" x="924"/>
        <item m="1" x="739"/>
        <item m="1" x="640"/>
        <item m="1" x="896"/>
        <item m="1" x="835"/>
        <item m="1" x="934"/>
        <item m="1" x="961"/>
        <item m="1" x="745"/>
        <item m="1" x="647"/>
        <item m="1" x="624"/>
        <item m="1" x="844"/>
        <item m="1" x="611"/>
        <item m="1" x="859"/>
        <item m="1" x="915"/>
        <item m="1" x="769"/>
        <item m="1" x="850"/>
        <item m="1" x="654"/>
        <item m="1" x="851"/>
        <item m="1" x="932"/>
        <item m="1" x="776"/>
        <item m="1" x="701"/>
        <item m="1" x="861"/>
        <item m="1" x="820"/>
        <item m="1" x="876"/>
        <item m="1" x="812"/>
        <item m="1" x="645"/>
        <item m="1" x="617"/>
        <item m="1" x="668"/>
        <item m="1" x="884"/>
        <item m="1" x="688"/>
        <item m="1" x="805"/>
        <item m="1" x="829"/>
        <item m="1" x="747"/>
        <item m="1" x="660"/>
        <item m="1" x="822"/>
        <item m="1" x="856"/>
        <item m="1" x="738"/>
        <item m="1" x="623"/>
        <item m="1" x="927"/>
        <item m="1" x="736"/>
        <item m="1" x="796"/>
        <item m="1" x="938"/>
        <item m="1" x="800"/>
        <item m="1" x="717"/>
        <item m="1" x="648"/>
        <item m="1" x="832"/>
        <item m="1" x="933"/>
        <item m="1" x="697"/>
        <item m="1" x="655"/>
        <item m="1" x="983"/>
        <item m="1" x="953"/>
        <item m="1" x="815"/>
        <item m="1" x="666"/>
        <item m="1" x="606"/>
        <item m="1" x="789"/>
        <item m="1" x="771"/>
        <item m="1" x="704"/>
        <item m="1" x="740"/>
        <item m="1" x="928"/>
        <item m="1" x="926"/>
        <item m="1" x="817"/>
        <item m="1" x="633"/>
        <item m="1" x="808"/>
        <item m="1" x="596"/>
        <item x="176"/>
        <item x="566"/>
        <item x="26"/>
        <item x="394"/>
        <item x="293"/>
        <item m="1" x="904"/>
        <item x="37"/>
        <item m="1" x="698"/>
        <item m="1" x="971"/>
        <item x="453"/>
        <item x="338"/>
        <item x="197"/>
        <item x="436"/>
        <item m="1" x="671"/>
        <item x="252"/>
        <item x="520"/>
        <item x="291"/>
        <item x="517"/>
        <item x="484"/>
        <item m="1" x="692"/>
        <item x="575"/>
        <item m="1" x="593"/>
        <item x="29"/>
        <item x="108"/>
        <item x="183"/>
        <item x="171"/>
        <item m="1" x="652"/>
        <item x="312"/>
        <item x="54"/>
        <item x="553"/>
        <item x="35"/>
        <item x="431"/>
        <item x="228"/>
        <item x="234"/>
        <item m="1" x="662"/>
        <item x="131"/>
        <item x="279"/>
        <item x="158"/>
        <item x="168"/>
        <item x="166"/>
        <item m="1" x="675"/>
        <item x="346"/>
        <item x="396"/>
        <item x="74"/>
        <item m="1" x="824"/>
        <item x="416"/>
        <item x="506"/>
        <item m="1" x="748"/>
        <item x="25"/>
        <item x="473"/>
        <item m="1" x="686"/>
        <item x="404"/>
        <item x="407"/>
        <item x="417"/>
        <item x="28"/>
        <item x="72"/>
        <item m="1" x="897"/>
        <item x="307"/>
        <item x="242"/>
        <item x="86"/>
        <item x="61"/>
        <item m="1" x="780"/>
        <item x="285"/>
        <item x="289"/>
        <item x="177"/>
        <item x="471"/>
        <item x="85"/>
        <item x="383"/>
        <item x="330"/>
        <item x="433"/>
        <item x="275"/>
        <item x="474"/>
        <item x="159"/>
        <item x="60"/>
        <item x="39"/>
        <item m="1" x="826"/>
        <item x="188"/>
        <item x="538"/>
        <item x="201"/>
        <item x="45"/>
        <item m="1" x="713"/>
        <item m="1" x="852"/>
        <item x="442"/>
        <item m="1" x="746"/>
        <item x="531"/>
        <item x="238"/>
        <item m="1" x="594"/>
        <item x="121"/>
        <item x="562"/>
        <item x="152"/>
        <item x="295"/>
        <item x="494"/>
        <item x="75"/>
        <item x="115"/>
        <item x="378"/>
        <item x="151"/>
        <item x="77"/>
        <item x="355"/>
        <item x="76"/>
        <item x="449"/>
        <item m="1" x="768"/>
        <item x="199"/>
        <item m="1" x="634"/>
        <item x="326"/>
        <item x="266"/>
        <item x="318"/>
        <item m="1" x="604"/>
        <item m="1" x="984"/>
        <item x="516"/>
        <item x="375"/>
        <item x="567"/>
        <item x="331"/>
        <item x="82"/>
        <item x="351"/>
        <item m="1" x="929"/>
        <item x="348"/>
        <item x="425"/>
        <item x="352"/>
        <item x="393"/>
        <item x="292"/>
        <item x="544"/>
        <item x="256"/>
        <item x="554"/>
        <item m="1" x="916"/>
        <item x="298"/>
        <item m="1" x="982"/>
        <item x="409"/>
        <item x="236"/>
        <item x="412"/>
        <item x="267"/>
        <item x="34"/>
        <item m="1" x="979"/>
        <item x="138"/>
        <item m="1" x="925"/>
        <item x="505"/>
        <item m="1" x="860"/>
        <item x="126"/>
        <item x="112"/>
        <item x="340"/>
        <item x="303"/>
        <item x="156"/>
        <item x="55"/>
        <item x="62"/>
        <item m="1" x="711"/>
        <item x="535"/>
        <item x="525"/>
        <item x="343"/>
        <item m="1" x="930"/>
        <item m="1" x="774"/>
        <item m="1" x="761"/>
        <item x="70"/>
        <item m="1" x="724"/>
        <item x="191"/>
        <item x="58"/>
        <item x="466"/>
        <item x="297"/>
        <item x="333"/>
        <item x="548"/>
        <item x="527"/>
        <item x="550"/>
        <item x="51"/>
        <item x="52"/>
        <item x="504"/>
        <item x="572"/>
        <item x="568"/>
        <item x="14"/>
        <item m="1" x="839"/>
        <item x="196"/>
        <item x="89"/>
        <item x="311"/>
        <item m="1" x="939"/>
        <item x="97"/>
        <item x="249"/>
        <item x="496"/>
        <item x="47"/>
        <item x="359"/>
        <item m="1" x="968"/>
        <item x="276"/>
        <item x="165"/>
        <item x="519"/>
        <item x="441"/>
        <item x="559"/>
        <item m="1" x="792"/>
        <item x="73"/>
        <item m="1" x="580"/>
        <item m="1" x="821"/>
        <item x="475"/>
        <item x="15"/>
        <item x="200"/>
        <item x="259"/>
        <item x="534"/>
        <item m="1" x="749"/>
        <item m="1" x="794"/>
        <item x="106"/>
        <item x="226"/>
        <item x="59"/>
        <item x="206"/>
        <item x="246"/>
        <item x="174"/>
        <item x="78"/>
        <item m="1" x="694"/>
        <item m="1" x="726"/>
        <item m="1" x="937"/>
        <item m="1" x="753"/>
        <item x="258"/>
        <item x="5"/>
        <item x="485"/>
        <item x="314"/>
        <item x="455"/>
        <item x="3"/>
        <item m="1" x="838"/>
        <item x="368"/>
        <item x="192"/>
        <item x="421"/>
        <item x="148"/>
        <item x="272"/>
        <item m="1" x="757"/>
        <item m="1" x="845"/>
        <item m="1" x="582"/>
        <item m="1" x="972"/>
        <item m="1" x="976"/>
        <item m="1" x="681"/>
        <item m="1" x="716"/>
        <item m="1" x="744"/>
        <item m="1" x="967"/>
        <item m="1" x="683"/>
        <item m="1" x="858"/>
        <item m="1" x="743"/>
        <item m="1" x="918"/>
        <item m="1" x="643"/>
        <item m="1" x="917"/>
        <item f="1" x="991"/>
        <item f="1" x="992"/>
        <item f="1" x="993"/>
        <item f="1" x="994"/>
        <item x="0"/>
        <item x="1"/>
        <item x="2"/>
        <item x="4"/>
        <item x="6"/>
        <item x="7"/>
        <item x="8"/>
        <item x="9"/>
        <item x="10"/>
        <item x="11"/>
        <item x="12"/>
        <item x="13"/>
        <item x="16"/>
        <item x="17"/>
        <item x="18"/>
        <item x="19"/>
        <item x="20"/>
        <item x="21"/>
        <item x="22"/>
        <item x="23"/>
        <item x="24"/>
        <item x="27"/>
        <item x="30"/>
        <item x="31"/>
        <item x="32"/>
        <item x="33"/>
        <item x="36"/>
        <item x="38"/>
        <item x="40"/>
        <item x="41"/>
        <item x="42"/>
        <item x="43"/>
        <item x="44"/>
        <item x="46"/>
        <item x="48"/>
        <item x="49"/>
        <item x="50"/>
        <item x="53"/>
        <item x="56"/>
        <item x="57"/>
        <item x="63"/>
        <item x="64"/>
        <item x="65"/>
        <item x="66"/>
        <item x="67"/>
        <item x="68"/>
        <item x="69"/>
        <item x="71"/>
        <item x="79"/>
        <item x="80"/>
        <item x="81"/>
        <item x="83"/>
        <item x="84"/>
        <item x="87"/>
        <item x="88"/>
        <item x="90"/>
        <item x="91"/>
        <item x="92"/>
        <item x="93"/>
        <item x="94"/>
        <item x="95"/>
        <item x="96"/>
        <item x="98"/>
        <item x="99"/>
        <item x="100"/>
        <item x="101"/>
        <item x="102"/>
        <item x="103"/>
        <item x="104"/>
        <item x="105"/>
        <item x="107"/>
        <item x="109"/>
        <item x="110"/>
        <item x="111"/>
        <item x="113"/>
        <item x="114"/>
        <item x="116"/>
        <item x="117"/>
        <item x="118"/>
        <item x="119"/>
        <item x="120"/>
        <item x="122"/>
        <item x="123"/>
        <item x="124"/>
        <item x="125"/>
        <item x="127"/>
        <item x="128"/>
        <item x="129"/>
        <item x="130"/>
        <item x="132"/>
        <item x="133"/>
        <item x="134"/>
        <item x="135"/>
        <item x="136"/>
        <item x="137"/>
        <item x="139"/>
        <item x="140"/>
        <item x="141"/>
        <item x="142"/>
        <item x="143"/>
        <item x="144"/>
        <item x="145"/>
        <item x="146"/>
        <item x="147"/>
        <item x="149"/>
        <item x="150"/>
        <item x="153"/>
        <item x="154"/>
        <item x="155"/>
        <item x="157"/>
        <item x="160"/>
        <item x="161"/>
        <item x="162"/>
        <item x="163"/>
        <item x="164"/>
        <item x="167"/>
        <item x="169"/>
        <item x="170"/>
        <item x="172"/>
        <item x="173"/>
        <item x="175"/>
        <item x="178"/>
        <item x="179"/>
        <item x="180"/>
        <item x="181"/>
        <item x="182"/>
        <item x="184"/>
        <item x="185"/>
        <item x="186"/>
        <item x="187"/>
        <item x="189"/>
        <item x="190"/>
        <item x="193"/>
        <item x="194"/>
        <item x="195"/>
        <item x="198"/>
        <item x="202"/>
        <item x="203"/>
        <item x="204"/>
        <item x="205"/>
        <item x="207"/>
        <item x="208"/>
        <item x="209"/>
        <item x="210"/>
        <item x="211"/>
        <item x="212"/>
        <item x="213"/>
        <item x="214"/>
        <item x="215"/>
        <item x="216"/>
        <item x="217"/>
        <item x="218"/>
        <item x="219"/>
        <item x="220"/>
        <item x="221"/>
        <item x="222"/>
        <item x="223"/>
        <item x="224"/>
        <item x="225"/>
        <item x="227"/>
        <item x="229"/>
        <item x="230"/>
        <item x="231"/>
        <item x="232"/>
        <item x="233"/>
        <item x="235"/>
        <item x="237"/>
        <item x="239"/>
        <item x="240"/>
        <item x="241"/>
        <item x="243"/>
        <item x="244"/>
        <item x="245"/>
        <item x="247"/>
        <item x="248"/>
        <item x="250"/>
        <item x="251"/>
        <item x="253"/>
        <item x="254"/>
        <item x="255"/>
        <item x="257"/>
        <item x="260"/>
        <item x="261"/>
        <item x="262"/>
        <item x="263"/>
        <item x="264"/>
        <item x="265"/>
        <item x="268"/>
        <item x="269"/>
        <item x="270"/>
        <item x="271"/>
        <item x="273"/>
        <item x="274"/>
        <item x="277"/>
        <item x="278"/>
        <item x="280"/>
        <item x="281"/>
        <item x="282"/>
        <item x="283"/>
        <item x="284"/>
        <item x="286"/>
        <item x="287"/>
        <item x="288"/>
        <item x="290"/>
        <item x="294"/>
        <item x="296"/>
        <item x="299"/>
        <item x="300"/>
        <item x="301"/>
        <item x="302"/>
        <item x="304"/>
        <item x="305"/>
        <item x="306"/>
        <item x="308"/>
        <item x="309"/>
        <item x="310"/>
        <item x="313"/>
        <item x="315"/>
        <item x="316"/>
        <item x="317"/>
        <item x="319"/>
        <item x="320"/>
        <item x="321"/>
        <item x="322"/>
        <item x="323"/>
        <item x="324"/>
        <item x="325"/>
        <item x="327"/>
        <item x="328"/>
        <item x="329"/>
        <item x="332"/>
        <item x="334"/>
        <item x="335"/>
        <item x="336"/>
        <item x="337"/>
        <item x="339"/>
        <item x="341"/>
        <item x="342"/>
        <item x="344"/>
        <item x="345"/>
        <item x="347"/>
        <item x="349"/>
        <item x="350"/>
        <item x="353"/>
        <item x="354"/>
        <item x="356"/>
        <item x="357"/>
        <item x="358"/>
        <item x="360"/>
        <item x="361"/>
        <item x="362"/>
        <item x="363"/>
        <item x="364"/>
        <item x="365"/>
        <item x="366"/>
        <item x="367"/>
        <item x="369"/>
        <item x="370"/>
        <item x="371"/>
        <item x="372"/>
        <item x="373"/>
        <item x="374"/>
        <item x="376"/>
        <item x="377"/>
        <item x="379"/>
        <item x="380"/>
        <item x="381"/>
        <item x="382"/>
        <item x="384"/>
        <item x="385"/>
        <item x="386"/>
        <item x="387"/>
        <item x="388"/>
        <item x="389"/>
        <item x="390"/>
        <item x="391"/>
        <item x="392"/>
        <item x="395"/>
        <item x="397"/>
        <item x="398"/>
        <item x="399"/>
        <item x="400"/>
        <item x="401"/>
        <item x="402"/>
        <item x="403"/>
        <item x="405"/>
        <item x="406"/>
        <item x="408"/>
        <item x="410"/>
        <item x="411"/>
        <item x="413"/>
        <item x="414"/>
        <item x="415"/>
        <item x="418"/>
        <item x="419"/>
        <item x="420"/>
        <item x="422"/>
        <item x="423"/>
        <item x="424"/>
        <item x="426"/>
        <item x="427"/>
        <item x="428"/>
        <item x="429"/>
        <item x="430"/>
        <item x="432"/>
        <item x="434"/>
        <item x="435"/>
        <item x="437"/>
        <item x="438"/>
        <item x="439"/>
        <item x="440"/>
        <item x="443"/>
        <item x="444"/>
        <item x="445"/>
        <item x="446"/>
        <item x="447"/>
        <item x="448"/>
        <item x="450"/>
        <item x="451"/>
        <item x="452"/>
        <item x="454"/>
        <item x="456"/>
        <item x="457"/>
        <item x="458"/>
        <item x="459"/>
        <item x="460"/>
        <item x="461"/>
        <item x="462"/>
        <item x="463"/>
        <item x="464"/>
        <item x="465"/>
        <item x="467"/>
        <item x="468"/>
        <item x="469"/>
        <item x="470"/>
        <item x="472"/>
        <item x="476"/>
        <item x="477"/>
        <item x="478"/>
        <item x="479"/>
        <item x="480"/>
        <item x="481"/>
        <item x="482"/>
        <item x="483"/>
        <item x="486"/>
        <item x="487"/>
        <item x="488"/>
        <item x="489"/>
        <item x="490"/>
        <item x="491"/>
        <item x="492"/>
        <item x="493"/>
        <item x="495"/>
        <item x="497"/>
        <item x="498"/>
        <item x="499"/>
        <item x="500"/>
        <item x="501"/>
        <item x="502"/>
        <item x="503"/>
        <item x="507"/>
        <item x="508"/>
        <item x="509"/>
        <item x="510"/>
        <item x="511"/>
        <item x="512"/>
        <item x="513"/>
        <item x="514"/>
        <item x="515"/>
        <item x="518"/>
        <item x="521"/>
        <item x="522"/>
        <item x="523"/>
        <item x="524"/>
        <item x="526"/>
        <item x="528"/>
        <item x="529"/>
        <item x="530"/>
        <item x="532"/>
        <item x="533"/>
        <item x="536"/>
        <item x="537"/>
        <item x="539"/>
        <item x="540"/>
        <item x="541"/>
        <item x="542"/>
        <item x="543"/>
        <item x="545"/>
        <item x="546"/>
        <item x="547"/>
        <item x="549"/>
        <item x="551"/>
        <item x="552"/>
        <item x="555"/>
        <item x="556"/>
        <item x="557"/>
        <item x="558"/>
        <item x="560"/>
        <item x="561"/>
        <item x="563"/>
        <item x="564"/>
        <item x="565"/>
        <item x="569"/>
        <item x="570"/>
        <item x="571"/>
        <item x="573"/>
        <item x="574"/>
        <item x="576"/>
        <item x="577"/>
        <item x="578"/>
        <item x="579"/>
        <item t="default"/>
      </items>
    </pivotField>
    <pivotField showAll="0"/>
    <pivotField numFmtId="164" showAll="0"/>
    <pivotField axis="axisRow" showAll="0">
      <items count="6">
        <item x="0"/>
        <item x="1"/>
        <item x="2"/>
        <item x="3"/>
        <item x="4"/>
        <item t="default"/>
      </items>
    </pivotField>
    <pivotField showAll="0">
      <items count="13">
        <item x="2"/>
        <item h="1" x="10"/>
        <item h="1" x="11"/>
        <item h="1" x="5"/>
        <item h="1" x="0"/>
        <item h="1" x="1"/>
        <item h="1" x="3"/>
        <item h="1" x="7"/>
        <item h="1" x="8"/>
        <item h="1" x="6"/>
        <item h="1" x="9"/>
        <item h="1" x="4"/>
        <item t="default"/>
      </items>
    </pivotField>
    <pivotField showAll="0"/>
    <pivotField showAll="0">
      <items count="4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s>
  <rowFields count="1">
    <field x="11"/>
  </rowFields>
  <rowItems count="6">
    <i>
      <x/>
    </i>
    <i>
      <x v="1"/>
    </i>
    <i>
      <x v="2"/>
    </i>
    <i>
      <x v="3"/>
    </i>
    <i>
      <x v="4"/>
    </i>
    <i t="grand">
      <x/>
    </i>
  </rowItems>
  <colItems count="1">
    <i/>
  </colItems>
  <dataFields count="1">
    <dataField name="Count of Invoice_no"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B5C871-132A-4F7B-9035-B1257272865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ategory">
  <location ref="A9:C18" firstHeaderRow="0" firstDataRow="1" firstDataCol="1"/>
  <pivotFields count="15">
    <pivotField showAll="0"/>
    <pivotField showAll="0"/>
    <pivotField showAll="0">
      <items count="3">
        <item x="0"/>
        <item x="1"/>
        <item t="default"/>
      </items>
    </pivotField>
    <pivotField showAll="0"/>
    <pivotField axis="axisRow" showAll="0" sortType="ascending">
      <items count="9">
        <item x="7"/>
        <item x="1"/>
        <item x="3"/>
        <item x="2"/>
        <item x="4"/>
        <item x="6"/>
        <item x="0"/>
        <item x="5"/>
        <item t="default"/>
      </items>
    </pivotField>
    <pivotField dataField="1" showAll="0"/>
    <pivotField showAll="0"/>
    <pivotField showAll="0"/>
    <pivotField showAll="0">
      <items count="996">
        <item m="1" x="759"/>
        <item m="1" x="981"/>
        <item m="1" x="646"/>
        <item m="1" x="650"/>
        <item m="1" x="802"/>
        <item m="1" x="706"/>
        <item m="1" x="905"/>
        <item m="1" x="638"/>
        <item m="1" x="781"/>
        <item m="1" x="818"/>
        <item m="1" x="869"/>
        <item m="1" x="591"/>
        <item m="1" x="649"/>
        <item m="1" x="948"/>
        <item m="1" x="605"/>
        <item m="1" x="589"/>
        <item m="1" x="898"/>
        <item m="1" x="840"/>
        <item m="1" x="663"/>
        <item m="1" x="696"/>
        <item m="1" x="803"/>
        <item m="1" x="867"/>
        <item m="1" x="797"/>
        <item m="1" x="831"/>
        <item m="1" x="873"/>
        <item m="1" x="590"/>
        <item m="1" x="710"/>
        <item m="1" x="690"/>
        <item m="1" x="843"/>
        <item m="1" x="870"/>
        <item m="1" x="893"/>
        <item m="1" x="956"/>
        <item m="1" x="719"/>
        <item m="1" x="962"/>
        <item m="1" x="875"/>
        <item m="1" x="878"/>
        <item m="1" x="912"/>
        <item m="1" x="830"/>
        <item m="1" x="990"/>
        <item m="1" x="760"/>
        <item m="1" x="750"/>
        <item m="1" x="909"/>
        <item m="1" x="673"/>
        <item m="1" x="603"/>
        <item m="1" x="889"/>
        <item m="1" x="667"/>
        <item m="1" x="951"/>
        <item m="1" x="728"/>
        <item m="1" x="946"/>
        <item m="1" x="825"/>
        <item m="1" x="635"/>
        <item m="1" x="619"/>
        <item m="1" x="965"/>
        <item m="1" x="680"/>
        <item m="1" x="952"/>
        <item m="1" x="816"/>
        <item m="1" x="890"/>
        <item m="1" x="888"/>
        <item m="1" x="862"/>
        <item m="1" x="691"/>
        <item m="1" x="613"/>
        <item m="1" x="610"/>
        <item m="1" x="949"/>
        <item m="1" x="682"/>
        <item m="1" x="833"/>
        <item m="1" x="609"/>
        <item m="1" x="758"/>
        <item m="1" x="653"/>
        <item m="1" x="895"/>
        <item m="1" x="958"/>
        <item m="1" x="592"/>
        <item m="1" x="950"/>
        <item m="1" x="602"/>
        <item m="1" x="910"/>
        <item m="1" x="837"/>
        <item m="1" x="677"/>
        <item m="1" x="729"/>
        <item m="1" x="881"/>
        <item m="1" x="741"/>
        <item m="1" x="598"/>
        <item m="1" x="847"/>
        <item m="1" x="773"/>
        <item m="1" x="763"/>
        <item m="1" x="684"/>
        <item m="1" x="985"/>
        <item m="1" x="707"/>
        <item m="1" x="987"/>
        <item m="1" x="715"/>
        <item m="1" x="751"/>
        <item m="1" x="919"/>
        <item m="1" x="614"/>
        <item m="1" x="661"/>
        <item m="1" x="823"/>
        <item m="1" x="727"/>
        <item m="1" x="730"/>
        <item m="1" x="720"/>
        <item m="1" x="879"/>
        <item m="1" x="621"/>
        <item m="1" x="620"/>
        <item m="1" x="583"/>
        <item m="1" x="581"/>
        <item m="1" x="775"/>
        <item m="1" x="627"/>
        <item m="1" x="737"/>
        <item m="1" x="836"/>
        <item m="1" x="695"/>
        <item m="1" x="622"/>
        <item m="1" x="783"/>
        <item m="1" x="779"/>
        <item m="1" x="607"/>
        <item m="1" x="599"/>
        <item m="1" x="940"/>
        <item m="1" x="742"/>
        <item m="1" x="709"/>
        <item m="1" x="700"/>
        <item m="1" x="908"/>
        <item m="1" x="969"/>
        <item m="1" x="853"/>
        <item m="1" x="632"/>
        <item m="1" x="754"/>
        <item m="1" x="674"/>
        <item m="1" x="665"/>
        <item m="1" x="584"/>
        <item m="1" x="801"/>
        <item m="1" x="641"/>
        <item m="1" x="970"/>
        <item m="1" x="586"/>
        <item m="1" x="702"/>
        <item m="1" x="644"/>
        <item m="1" x="954"/>
        <item m="1" x="721"/>
        <item m="1" x="629"/>
        <item m="1" x="907"/>
        <item m="1" x="659"/>
        <item m="1" x="793"/>
        <item m="1" x="955"/>
        <item m="1" x="795"/>
        <item m="1" x="841"/>
        <item m="1" x="973"/>
        <item m="1" x="656"/>
        <item m="1" x="931"/>
        <item m="1" x="882"/>
        <item m="1" x="886"/>
        <item m="1" x="642"/>
        <item m="1" x="630"/>
        <item m="1" x="764"/>
        <item m="1" x="626"/>
        <item m="1" x="798"/>
        <item m="1" x="921"/>
        <item m="1" x="639"/>
        <item m="1" x="988"/>
        <item m="1" x="725"/>
        <item m="1" x="807"/>
        <item m="1" x="685"/>
        <item m="1" x="945"/>
        <item m="1" x="804"/>
        <item m="1" x="770"/>
        <item m="1" x="864"/>
        <item m="1" x="828"/>
        <item m="1" x="902"/>
        <item m="1" x="788"/>
        <item m="1" x="778"/>
        <item m="1" x="980"/>
        <item m="1" x="986"/>
        <item m="1" x="901"/>
        <item m="1" x="963"/>
        <item m="1" x="637"/>
        <item m="1" x="809"/>
        <item m="1" x="785"/>
        <item m="1" x="877"/>
        <item m="1" x="880"/>
        <item m="1" x="894"/>
        <item m="1" x="732"/>
        <item m="1" x="913"/>
        <item m="1" x="687"/>
        <item m="1" x="658"/>
        <item m="1" x="903"/>
        <item m="1" x="868"/>
        <item m="1" x="799"/>
        <item m="1" x="855"/>
        <item m="1" x="762"/>
        <item m="1" x="784"/>
        <item m="1" x="672"/>
        <item m="1" x="885"/>
        <item m="1" x="814"/>
        <item m="1" x="866"/>
        <item m="1" x="676"/>
        <item m="1" x="712"/>
        <item m="1" x="791"/>
        <item m="1" x="857"/>
        <item m="1" x="900"/>
        <item m="1" x="863"/>
        <item m="1" x="957"/>
        <item m="1" x="942"/>
        <item m="1" x="811"/>
        <item m="1" x="872"/>
        <item m="1" x="834"/>
        <item m="1" x="664"/>
        <item m="1" x="585"/>
        <item m="1" x="615"/>
        <item m="1" x="922"/>
        <item m="1" x="790"/>
        <item m="1" x="914"/>
        <item m="1" x="600"/>
        <item m="1" x="935"/>
        <item m="1" x="678"/>
        <item m="1" x="765"/>
        <item m="1" x="943"/>
        <item m="1" x="657"/>
        <item m="1" x="892"/>
        <item m="1" x="883"/>
        <item m="1" x="693"/>
        <item m="1" x="705"/>
        <item m="1" x="752"/>
        <item m="1" x="966"/>
        <item m="1" x="733"/>
        <item m="1" x="806"/>
        <item m="1" x="936"/>
        <item m="1" x="587"/>
        <item m="1" x="669"/>
        <item m="1" x="601"/>
        <item m="1" x="679"/>
        <item m="1" x="718"/>
        <item m="1" x="735"/>
        <item m="1" x="722"/>
        <item m="1" x="959"/>
        <item m="1" x="651"/>
        <item m="1" x="689"/>
        <item m="1" x="618"/>
        <item m="1" x="906"/>
        <item m="1" x="849"/>
        <item m="1" x="616"/>
        <item m="1" x="628"/>
        <item m="1" x="891"/>
        <item m="1" x="810"/>
        <item m="1" x="865"/>
        <item m="1" x="612"/>
        <item m="1" x="714"/>
        <item m="1" x="947"/>
        <item m="1" x="756"/>
        <item m="1" x="782"/>
        <item m="1" x="944"/>
        <item m="1" x="767"/>
        <item m="1" x="854"/>
        <item m="1" x="941"/>
        <item m="1" x="848"/>
        <item m="1" x="670"/>
        <item m="1" x="871"/>
        <item m="1" x="978"/>
        <item m="1" x="911"/>
        <item m="1" x="787"/>
        <item m="1" x="699"/>
        <item m="1" x="899"/>
        <item m="1" x="625"/>
        <item m="1" x="608"/>
        <item m="1" x="595"/>
        <item m="1" x="636"/>
        <item m="1" x="964"/>
        <item m="1" x="631"/>
        <item m="1" x="708"/>
        <item m="1" x="786"/>
        <item m="1" x="766"/>
        <item m="1" x="731"/>
        <item m="1" x="846"/>
        <item m="1" x="887"/>
        <item m="1" x="974"/>
        <item m="1" x="703"/>
        <item m="1" x="813"/>
        <item m="1" x="588"/>
        <item m="1" x="827"/>
        <item m="1" x="819"/>
        <item m="1" x="977"/>
        <item m="1" x="597"/>
        <item m="1" x="874"/>
        <item m="1" x="772"/>
        <item m="1" x="975"/>
        <item m="1" x="989"/>
        <item m="1" x="755"/>
        <item m="1" x="923"/>
        <item m="1" x="777"/>
        <item m="1" x="920"/>
        <item m="1" x="960"/>
        <item m="1" x="723"/>
        <item m="1" x="734"/>
        <item m="1" x="842"/>
        <item m="1" x="924"/>
        <item m="1" x="739"/>
        <item m="1" x="640"/>
        <item m="1" x="896"/>
        <item m="1" x="835"/>
        <item m="1" x="934"/>
        <item m="1" x="961"/>
        <item m="1" x="745"/>
        <item m="1" x="647"/>
        <item m="1" x="624"/>
        <item m="1" x="844"/>
        <item m="1" x="611"/>
        <item m="1" x="859"/>
        <item m="1" x="915"/>
        <item m="1" x="769"/>
        <item m="1" x="850"/>
        <item m="1" x="654"/>
        <item m="1" x="851"/>
        <item m="1" x="932"/>
        <item m="1" x="776"/>
        <item m="1" x="701"/>
        <item m="1" x="861"/>
        <item m="1" x="820"/>
        <item m="1" x="876"/>
        <item m="1" x="812"/>
        <item m="1" x="645"/>
        <item m="1" x="617"/>
        <item m="1" x="668"/>
        <item m="1" x="884"/>
        <item m="1" x="688"/>
        <item m="1" x="805"/>
        <item m="1" x="829"/>
        <item m="1" x="747"/>
        <item m="1" x="660"/>
        <item m="1" x="822"/>
        <item m="1" x="856"/>
        <item m="1" x="738"/>
        <item m="1" x="623"/>
        <item m="1" x="927"/>
        <item m="1" x="736"/>
        <item m="1" x="796"/>
        <item m="1" x="938"/>
        <item m="1" x="800"/>
        <item m="1" x="717"/>
        <item m="1" x="648"/>
        <item m="1" x="832"/>
        <item m="1" x="933"/>
        <item m="1" x="697"/>
        <item m="1" x="655"/>
        <item m="1" x="983"/>
        <item m="1" x="953"/>
        <item m="1" x="815"/>
        <item m="1" x="666"/>
        <item m="1" x="606"/>
        <item m="1" x="789"/>
        <item m="1" x="771"/>
        <item m="1" x="704"/>
        <item m="1" x="740"/>
        <item m="1" x="928"/>
        <item m="1" x="926"/>
        <item m="1" x="817"/>
        <item m="1" x="633"/>
        <item m="1" x="808"/>
        <item m="1" x="596"/>
        <item x="176"/>
        <item x="566"/>
        <item x="26"/>
        <item x="394"/>
        <item x="293"/>
        <item m="1" x="904"/>
        <item x="37"/>
        <item m="1" x="698"/>
        <item m="1" x="971"/>
        <item x="453"/>
        <item x="338"/>
        <item x="197"/>
        <item x="436"/>
        <item m="1" x="671"/>
        <item x="252"/>
        <item x="520"/>
        <item x="291"/>
        <item x="517"/>
        <item x="484"/>
        <item m="1" x="692"/>
        <item x="575"/>
        <item m="1" x="593"/>
        <item x="29"/>
        <item x="108"/>
        <item x="183"/>
        <item x="171"/>
        <item m="1" x="652"/>
        <item x="312"/>
        <item x="54"/>
        <item x="553"/>
        <item x="35"/>
        <item x="431"/>
        <item x="228"/>
        <item x="234"/>
        <item m="1" x="662"/>
        <item x="131"/>
        <item x="279"/>
        <item x="158"/>
        <item x="168"/>
        <item x="166"/>
        <item m="1" x="675"/>
        <item x="346"/>
        <item x="396"/>
        <item x="74"/>
        <item m="1" x="824"/>
        <item x="416"/>
        <item x="506"/>
        <item m="1" x="748"/>
        <item x="25"/>
        <item x="473"/>
        <item m="1" x="686"/>
        <item x="404"/>
        <item x="407"/>
        <item x="417"/>
        <item x="28"/>
        <item x="72"/>
        <item m="1" x="897"/>
        <item x="307"/>
        <item x="242"/>
        <item x="86"/>
        <item x="61"/>
        <item m="1" x="780"/>
        <item x="285"/>
        <item x="289"/>
        <item x="177"/>
        <item x="471"/>
        <item x="85"/>
        <item x="383"/>
        <item x="330"/>
        <item x="433"/>
        <item x="275"/>
        <item x="474"/>
        <item x="159"/>
        <item x="60"/>
        <item x="39"/>
        <item m="1" x="826"/>
        <item x="188"/>
        <item x="538"/>
        <item x="201"/>
        <item x="45"/>
        <item m="1" x="713"/>
        <item m="1" x="852"/>
        <item x="442"/>
        <item m="1" x="746"/>
        <item x="531"/>
        <item x="238"/>
        <item m="1" x="594"/>
        <item x="121"/>
        <item x="562"/>
        <item x="152"/>
        <item x="295"/>
        <item x="494"/>
        <item x="75"/>
        <item x="115"/>
        <item x="378"/>
        <item x="151"/>
        <item x="77"/>
        <item x="355"/>
        <item x="76"/>
        <item x="449"/>
        <item m="1" x="768"/>
        <item x="199"/>
        <item m="1" x="634"/>
        <item x="326"/>
        <item x="266"/>
        <item x="318"/>
        <item m="1" x="604"/>
        <item m="1" x="984"/>
        <item x="516"/>
        <item x="375"/>
        <item x="567"/>
        <item x="331"/>
        <item x="82"/>
        <item x="351"/>
        <item m="1" x="929"/>
        <item x="348"/>
        <item x="425"/>
        <item x="352"/>
        <item x="393"/>
        <item x="292"/>
        <item x="544"/>
        <item x="256"/>
        <item x="554"/>
        <item m="1" x="916"/>
        <item x="298"/>
        <item m="1" x="982"/>
        <item x="409"/>
        <item x="236"/>
        <item x="412"/>
        <item x="267"/>
        <item x="34"/>
        <item m="1" x="979"/>
        <item x="138"/>
        <item m="1" x="925"/>
        <item x="505"/>
        <item m="1" x="860"/>
        <item x="126"/>
        <item x="112"/>
        <item x="340"/>
        <item x="303"/>
        <item x="156"/>
        <item x="55"/>
        <item x="62"/>
        <item m="1" x="711"/>
        <item x="535"/>
        <item x="525"/>
        <item x="343"/>
        <item m="1" x="930"/>
        <item m="1" x="774"/>
        <item m="1" x="761"/>
        <item x="70"/>
        <item m="1" x="724"/>
        <item x="191"/>
        <item x="58"/>
        <item x="466"/>
        <item x="297"/>
        <item x="333"/>
        <item x="548"/>
        <item x="527"/>
        <item x="550"/>
        <item x="51"/>
        <item x="52"/>
        <item x="504"/>
        <item x="572"/>
        <item x="568"/>
        <item x="14"/>
        <item m="1" x="839"/>
        <item x="196"/>
        <item x="89"/>
        <item x="311"/>
        <item m="1" x="939"/>
        <item x="97"/>
        <item x="249"/>
        <item x="496"/>
        <item x="47"/>
        <item x="359"/>
        <item m="1" x="968"/>
        <item x="276"/>
        <item x="165"/>
        <item x="519"/>
        <item x="441"/>
        <item x="559"/>
        <item m="1" x="792"/>
        <item x="73"/>
        <item m="1" x="580"/>
        <item m="1" x="821"/>
        <item x="475"/>
        <item x="15"/>
        <item x="200"/>
        <item x="259"/>
        <item x="534"/>
        <item m="1" x="749"/>
        <item m="1" x="794"/>
        <item x="106"/>
        <item x="226"/>
        <item x="59"/>
        <item x="206"/>
        <item x="246"/>
        <item x="174"/>
        <item x="78"/>
        <item m="1" x="694"/>
        <item m="1" x="726"/>
        <item m="1" x="937"/>
        <item m="1" x="753"/>
        <item x="258"/>
        <item x="5"/>
        <item x="485"/>
        <item x="314"/>
        <item x="455"/>
        <item x="3"/>
        <item m="1" x="838"/>
        <item x="368"/>
        <item x="192"/>
        <item x="421"/>
        <item x="148"/>
        <item x="272"/>
        <item m="1" x="757"/>
        <item m="1" x="845"/>
        <item m="1" x="582"/>
        <item m="1" x="972"/>
        <item m="1" x="976"/>
        <item m="1" x="681"/>
        <item m="1" x="716"/>
        <item m="1" x="744"/>
        <item m="1" x="967"/>
        <item m="1" x="683"/>
        <item m="1" x="858"/>
        <item m="1" x="743"/>
        <item m="1" x="918"/>
        <item m="1" x="643"/>
        <item m="1" x="917"/>
        <item f="1" x="991"/>
        <item f="1" x="992"/>
        <item f="1" x="993"/>
        <item f="1" x="994"/>
        <item x="0"/>
        <item x="1"/>
        <item x="2"/>
        <item x="4"/>
        <item x="6"/>
        <item x="7"/>
        <item x="8"/>
        <item x="9"/>
        <item x="10"/>
        <item x="11"/>
        <item x="12"/>
        <item x="13"/>
        <item x="16"/>
        <item x="17"/>
        <item x="18"/>
        <item x="19"/>
        <item x="20"/>
        <item x="21"/>
        <item x="22"/>
        <item x="23"/>
        <item x="24"/>
        <item x="27"/>
        <item x="30"/>
        <item x="31"/>
        <item x="32"/>
        <item x="33"/>
        <item x="36"/>
        <item x="38"/>
        <item x="40"/>
        <item x="41"/>
        <item x="42"/>
        <item x="43"/>
        <item x="44"/>
        <item x="46"/>
        <item x="48"/>
        <item x="49"/>
        <item x="50"/>
        <item x="53"/>
        <item x="56"/>
        <item x="57"/>
        <item x="63"/>
        <item x="64"/>
        <item x="65"/>
        <item x="66"/>
        <item x="67"/>
        <item x="68"/>
        <item x="69"/>
        <item x="71"/>
        <item x="79"/>
        <item x="80"/>
        <item x="81"/>
        <item x="83"/>
        <item x="84"/>
        <item x="87"/>
        <item x="88"/>
        <item x="90"/>
        <item x="91"/>
        <item x="92"/>
        <item x="93"/>
        <item x="94"/>
        <item x="95"/>
        <item x="96"/>
        <item x="98"/>
        <item x="99"/>
        <item x="100"/>
        <item x="101"/>
        <item x="102"/>
        <item x="103"/>
        <item x="104"/>
        <item x="105"/>
        <item x="107"/>
        <item x="109"/>
        <item x="110"/>
        <item x="111"/>
        <item x="113"/>
        <item x="114"/>
        <item x="116"/>
        <item x="117"/>
        <item x="118"/>
        <item x="119"/>
        <item x="120"/>
        <item x="122"/>
        <item x="123"/>
        <item x="124"/>
        <item x="125"/>
        <item x="127"/>
        <item x="128"/>
        <item x="129"/>
        <item x="130"/>
        <item x="132"/>
        <item x="133"/>
        <item x="134"/>
        <item x="135"/>
        <item x="136"/>
        <item x="137"/>
        <item x="139"/>
        <item x="140"/>
        <item x="141"/>
        <item x="142"/>
        <item x="143"/>
        <item x="144"/>
        <item x="145"/>
        <item x="146"/>
        <item x="147"/>
        <item x="149"/>
        <item x="150"/>
        <item x="153"/>
        <item x="154"/>
        <item x="155"/>
        <item x="157"/>
        <item x="160"/>
        <item x="161"/>
        <item x="162"/>
        <item x="163"/>
        <item x="164"/>
        <item x="167"/>
        <item x="169"/>
        <item x="170"/>
        <item x="172"/>
        <item x="173"/>
        <item x="175"/>
        <item x="178"/>
        <item x="179"/>
        <item x="180"/>
        <item x="181"/>
        <item x="182"/>
        <item x="184"/>
        <item x="185"/>
        <item x="186"/>
        <item x="187"/>
        <item x="189"/>
        <item x="190"/>
        <item x="193"/>
        <item x="194"/>
        <item x="195"/>
        <item x="198"/>
        <item x="202"/>
        <item x="203"/>
        <item x="204"/>
        <item x="205"/>
        <item x="207"/>
        <item x="208"/>
        <item x="209"/>
        <item x="210"/>
        <item x="211"/>
        <item x="212"/>
        <item x="213"/>
        <item x="214"/>
        <item x="215"/>
        <item x="216"/>
        <item x="217"/>
        <item x="218"/>
        <item x="219"/>
        <item x="220"/>
        <item x="221"/>
        <item x="222"/>
        <item x="223"/>
        <item x="224"/>
        <item x="225"/>
        <item x="227"/>
        <item x="229"/>
        <item x="230"/>
        <item x="231"/>
        <item x="232"/>
        <item x="233"/>
        <item x="235"/>
        <item x="237"/>
        <item x="239"/>
        <item x="240"/>
        <item x="241"/>
        <item x="243"/>
        <item x="244"/>
        <item x="245"/>
        <item x="247"/>
        <item x="248"/>
        <item x="250"/>
        <item x="251"/>
        <item x="253"/>
        <item x="254"/>
        <item x="255"/>
        <item x="257"/>
        <item x="260"/>
        <item x="261"/>
        <item x="262"/>
        <item x="263"/>
        <item x="264"/>
        <item x="265"/>
        <item x="268"/>
        <item x="269"/>
        <item x="270"/>
        <item x="271"/>
        <item x="273"/>
        <item x="274"/>
        <item x="277"/>
        <item x="278"/>
        <item x="280"/>
        <item x="281"/>
        <item x="282"/>
        <item x="283"/>
        <item x="284"/>
        <item x="286"/>
        <item x="287"/>
        <item x="288"/>
        <item x="290"/>
        <item x="294"/>
        <item x="296"/>
        <item x="299"/>
        <item x="300"/>
        <item x="301"/>
        <item x="302"/>
        <item x="304"/>
        <item x="305"/>
        <item x="306"/>
        <item x="308"/>
        <item x="309"/>
        <item x="310"/>
        <item x="313"/>
        <item x="315"/>
        <item x="316"/>
        <item x="317"/>
        <item x="319"/>
        <item x="320"/>
        <item x="321"/>
        <item x="322"/>
        <item x="323"/>
        <item x="324"/>
        <item x="325"/>
        <item x="327"/>
        <item x="328"/>
        <item x="329"/>
        <item x="332"/>
        <item x="334"/>
        <item x="335"/>
        <item x="336"/>
        <item x="337"/>
        <item x="339"/>
        <item x="341"/>
        <item x="342"/>
        <item x="344"/>
        <item x="345"/>
        <item x="347"/>
        <item x="349"/>
        <item x="350"/>
        <item x="353"/>
        <item x="354"/>
        <item x="356"/>
        <item x="357"/>
        <item x="358"/>
        <item x="360"/>
        <item x="361"/>
        <item x="362"/>
        <item x="363"/>
        <item x="364"/>
        <item x="365"/>
        <item x="366"/>
        <item x="367"/>
        <item x="369"/>
        <item x="370"/>
        <item x="371"/>
        <item x="372"/>
        <item x="373"/>
        <item x="374"/>
        <item x="376"/>
        <item x="377"/>
        <item x="379"/>
        <item x="380"/>
        <item x="381"/>
        <item x="382"/>
        <item x="384"/>
        <item x="385"/>
        <item x="386"/>
        <item x="387"/>
        <item x="388"/>
        <item x="389"/>
        <item x="390"/>
        <item x="391"/>
        <item x="392"/>
        <item x="395"/>
        <item x="397"/>
        <item x="398"/>
        <item x="399"/>
        <item x="400"/>
        <item x="401"/>
        <item x="402"/>
        <item x="403"/>
        <item x="405"/>
        <item x="406"/>
        <item x="408"/>
        <item x="410"/>
        <item x="411"/>
        <item x="413"/>
        <item x="414"/>
        <item x="415"/>
        <item x="418"/>
        <item x="419"/>
        <item x="420"/>
        <item x="422"/>
        <item x="423"/>
        <item x="424"/>
        <item x="426"/>
        <item x="427"/>
        <item x="428"/>
        <item x="429"/>
        <item x="430"/>
        <item x="432"/>
        <item x="434"/>
        <item x="435"/>
        <item x="437"/>
        <item x="438"/>
        <item x="439"/>
        <item x="440"/>
        <item x="443"/>
        <item x="444"/>
        <item x="445"/>
        <item x="446"/>
        <item x="447"/>
        <item x="448"/>
        <item x="450"/>
        <item x="451"/>
        <item x="452"/>
        <item x="454"/>
        <item x="456"/>
        <item x="457"/>
        <item x="458"/>
        <item x="459"/>
        <item x="460"/>
        <item x="461"/>
        <item x="462"/>
        <item x="463"/>
        <item x="464"/>
        <item x="465"/>
        <item x="467"/>
        <item x="468"/>
        <item x="469"/>
        <item x="470"/>
        <item x="472"/>
        <item x="476"/>
        <item x="477"/>
        <item x="478"/>
        <item x="479"/>
        <item x="480"/>
        <item x="481"/>
        <item x="482"/>
        <item x="483"/>
        <item x="486"/>
        <item x="487"/>
        <item x="488"/>
        <item x="489"/>
        <item x="490"/>
        <item x="491"/>
        <item x="492"/>
        <item x="493"/>
        <item x="495"/>
        <item x="497"/>
        <item x="498"/>
        <item x="499"/>
        <item x="500"/>
        <item x="501"/>
        <item x="502"/>
        <item x="503"/>
        <item x="507"/>
        <item x="508"/>
        <item x="509"/>
        <item x="510"/>
        <item x="511"/>
        <item x="512"/>
        <item x="513"/>
        <item x="514"/>
        <item x="515"/>
        <item x="518"/>
        <item x="521"/>
        <item x="522"/>
        <item x="523"/>
        <item x="524"/>
        <item x="526"/>
        <item x="528"/>
        <item x="529"/>
        <item x="530"/>
        <item x="532"/>
        <item x="533"/>
        <item x="536"/>
        <item x="537"/>
        <item x="539"/>
        <item x="540"/>
        <item x="541"/>
        <item x="542"/>
        <item x="543"/>
        <item x="545"/>
        <item x="546"/>
        <item x="547"/>
        <item x="549"/>
        <item x="551"/>
        <item x="552"/>
        <item x="555"/>
        <item x="556"/>
        <item x="557"/>
        <item x="558"/>
        <item x="560"/>
        <item x="561"/>
        <item x="563"/>
        <item x="564"/>
        <item x="565"/>
        <item x="569"/>
        <item x="570"/>
        <item x="571"/>
        <item x="573"/>
        <item x="574"/>
        <item x="576"/>
        <item x="577"/>
        <item x="578"/>
        <item x="579"/>
        <item t="default"/>
      </items>
    </pivotField>
    <pivotField showAll="0"/>
    <pivotField dataField="1" numFmtId="164" showAll="0"/>
    <pivotField showAll="0"/>
    <pivotField showAll="0"/>
    <pivotField showAll="0"/>
    <pivotField showAll="0">
      <items count="4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s>
  <rowFields count="1">
    <field x="4"/>
  </rowFields>
  <rowItems count="9">
    <i>
      <x/>
    </i>
    <i>
      <x v="1"/>
    </i>
    <i>
      <x v="2"/>
    </i>
    <i>
      <x v="3"/>
    </i>
    <i>
      <x v="4"/>
    </i>
    <i>
      <x v="5"/>
    </i>
    <i>
      <x v="6"/>
    </i>
    <i>
      <x v="7"/>
    </i>
    <i t="grand">
      <x/>
    </i>
  </rowItems>
  <colFields count="1">
    <field x="-2"/>
  </colFields>
  <colItems count="2">
    <i>
      <x/>
    </i>
    <i i="1">
      <x v="1"/>
    </i>
  </colItems>
  <dataFields count="2">
    <dataField name="Sum of Revenue" fld="10" baseField="0" baseItem="0" numFmtId="165"/>
    <dataField name="Count of Quantity" fld="5" subtotal="count" baseField="0" baseItem="0"/>
  </dataFields>
  <chartFormats count="2">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F5698A-242F-41DB-A74A-4F40176387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
  <location ref="D3:E6" firstHeaderRow="1" firstDataRow="1" firstDataCol="1"/>
  <pivotFields count="15">
    <pivotField showAll="0"/>
    <pivotField showAll="0"/>
    <pivotField axis="axisRow" showAll="0">
      <items count="3">
        <item x="0"/>
        <item x="1"/>
        <item t="default"/>
      </items>
    </pivotField>
    <pivotField showAll="0"/>
    <pivotField showAll="0"/>
    <pivotField dataField="1" showAll="0"/>
    <pivotField showAll="0"/>
    <pivotField showAll="0"/>
    <pivotField showAll="0">
      <items count="996">
        <item m="1" x="759"/>
        <item m="1" x="981"/>
        <item m="1" x="646"/>
        <item m="1" x="650"/>
        <item m="1" x="802"/>
        <item m="1" x="706"/>
        <item m="1" x="905"/>
        <item m="1" x="638"/>
        <item m="1" x="781"/>
        <item m="1" x="818"/>
        <item m="1" x="869"/>
        <item m="1" x="591"/>
        <item m="1" x="649"/>
        <item m="1" x="948"/>
        <item m="1" x="605"/>
        <item m="1" x="589"/>
        <item m="1" x="898"/>
        <item m="1" x="840"/>
        <item m="1" x="663"/>
        <item m="1" x="696"/>
        <item m="1" x="803"/>
        <item m="1" x="867"/>
        <item m="1" x="797"/>
        <item m="1" x="831"/>
        <item m="1" x="873"/>
        <item m="1" x="590"/>
        <item m="1" x="710"/>
        <item m="1" x="690"/>
        <item m="1" x="843"/>
        <item m="1" x="870"/>
        <item m="1" x="893"/>
        <item m="1" x="956"/>
        <item m="1" x="719"/>
        <item m="1" x="962"/>
        <item m="1" x="875"/>
        <item m="1" x="878"/>
        <item m="1" x="912"/>
        <item m="1" x="830"/>
        <item m="1" x="990"/>
        <item m="1" x="760"/>
        <item m="1" x="750"/>
        <item m="1" x="909"/>
        <item m="1" x="673"/>
        <item m="1" x="603"/>
        <item m="1" x="889"/>
        <item m="1" x="667"/>
        <item m="1" x="951"/>
        <item m="1" x="728"/>
        <item m="1" x="946"/>
        <item m="1" x="825"/>
        <item m="1" x="635"/>
        <item m="1" x="619"/>
        <item m="1" x="965"/>
        <item m="1" x="680"/>
        <item m="1" x="952"/>
        <item m="1" x="816"/>
        <item m="1" x="890"/>
        <item m="1" x="888"/>
        <item m="1" x="862"/>
        <item m="1" x="691"/>
        <item m="1" x="613"/>
        <item m="1" x="610"/>
        <item m="1" x="949"/>
        <item m="1" x="682"/>
        <item m="1" x="833"/>
        <item m="1" x="609"/>
        <item m="1" x="758"/>
        <item m="1" x="653"/>
        <item m="1" x="895"/>
        <item m="1" x="958"/>
        <item m="1" x="592"/>
        <item m="1" x="950"/>
        <item m="1" x="602"/>
        <item m="1" x="910"/>
        <item m="1" x="837"/>
        <item m="1" x="677"/>
        <item m="1" x="729"/>
        <item m="1" x="881"/>
        <item m="1" x="741"/>
        <item m="1" x="598"/>
        <item m="1" x="847"/>
        <item m="1" x="773"/>
        <item m="1" x="763"/>
        <item m="1" x="684"/>
        <item m="1" x="985"/>
        <item m="1" x="707"/>
        <item m="1" x="987"/>
        <item m="1" x="715"/>
        <item m="1" x="751"/>
        <item m="1" x="919"/>
        <item m="1" x="614"/>
        <item m="1" x="661"/>
        <item m="1" x="823"/>
        <item m="1" x="727"/>
        <item m="1" x="730"/>
        <item m="1" x="720"/>
        <item m="1" x="879"/>
        <item m="1" x="621"/>
        <item m="1" x="620"/>
        <item m="1" x="583"/>
        <item m="1" x="581"/>
        <item m="1" x="775"/>
        <item m="1" x="627"/>
        <item m="1" x="737"/>
        <item m="1" x="836"/>
        <item m="1" x="695"/>
        <item m="1" x="622"/>
        <item m="1" x="783"/>
        <item m="1" x="779"/>
        <item m="1" x="607"/>
        <item m="1" x="599"/>
        <item m="1" x="940"/>
        <item m="1" x="742"/>
        <item m="1" x="709"/>
        <item m="1" x="700"/>
        <item m="1" x="908"/>
        <item m="1" x="969"/>
        <item m="1" x="853"/>
        <item m="1" x="632"/>
        <item m="1" x="754"/>
        <item m="1" x="674"/>
        <item m="1" x="665"/>
        <item m="1" x="584"/>
        <item m="1" x="801"/>
        <item m="1" x="641"/>
        <item m="1" x="970"/>
        <item m="1" x="586"/>
        <item m="1" x="702"/>
        <item m="1" x="644"/>
        <item m="1" x="954"/>
        <item m="1" x="721"/>
        <item m="1" x="629"/>
        <item m="1" x="907"/>
        <item m="1" x="659"/>
        <item m="1" x="793"/>
        <item m="1" x="955"/>
        <item m="1" x="795"/>
        <item m="1" x="841"/>
        <item m="1" x="973"/>
        <item m="1" x="656"/>
        <item m="1" x="931"/>
        <item m="1" x="882"/>
        <item m="1" x="886"/>
        <item m="1" x="642"/>
        <item m="1" x="630"/>
        <item m="1" x="764"/>
        <item m="1" x="626"/>
        <item m="1" x="798"/>
        <item m="1" x="921"/>
        <item m="1" x="639"/>
        <item m="1" x="988"/>
        <item m="1" x="725"/>
        <item m="1" x="807"/>
        <item m="1" x="685"/>
        <item m="1" x="945"/>
        <item m="1" x="804"/>
        <item m="1" x="770"/>
        <item m="1" x="864"/>
        <item m="1" x="828"/>
        <item m="1" x="902"/>
        <item m="1" x="788"/>
        <item m="1" x="778"/>
        <item m="1" x="980"/>
        <item m="1" x="986"/>
        <item m="1" x="901"/>
        <item m="1" x="963"/>
        <item m="1" x="637"/>
        <item m="1" x="809"/>
        <item m="1" x="785"/>
        <item m="1" x="877"/>
        <item m="1" x="880"/>
        <item m="1" x="894"/>
        <item m="1" x="732"/>
        <item m="1" x="913"/>
        <item m="1" x="687"/>
        <item m="1" x="658"/>
        <item m="1" x="903"/>
        <item m="1" x="868"/>
        <item m="1" x="799"/>
        <item m="1" x="855"/>
        <item m="1" x="762"/>
        <item m="1" x="784"/>
        <item m="1" x="672"/>
        <item m="1" x="885"/>
        <item m="1" x="814"/>
        <item m="1" x="866"/>
        <item m="1" x="676"/>
        <item m="1" x="712"/>
        <item m="1" x="791"/>
        <item m="1" x="857"/>
        <item m="1" x="900"/>
        <item m="1" x="863"/>
        <item m="1" x="957"/>
        <item m="1" x="942"/>
        <item m="1" x="811"/>
        <item m="1" x="872"/>
        <item m="1" x="834"/>
        <item m="1" x="664"/>
        <item m="1" x="585"/>
        <item m="1" x="615"/>
        <item m="1" x="922"/>
        <item m="1" x="790"/>
        <item m="1" x="914"/>
        <item m="1" x="600"/>
        <item m="1" x="935"/>
        <item m="1" x="678"/>
        <item m="1" x="765"/>
        <item m="1" x="943"/>
        <item m="1" x="657"/>
        <item m="1" x="892"/>
        <item m="1" x="883"/>
        <item m="1" x="693"/>
        <item m="1" x="705"/>
        <item m="1" x="752"/>
        <item m="1" x="966"/>
        <item m="1" x="733"/>
        <item m="1" x="806"/>
        <item m="1" x="936"/>
        <item m="1" x="587"/>
        <item m="1" x="669"/>
        <item m="1" x="601"/>
        <item m="1" x="679"/>
        <item m="1" x="718"/>
        <item m="1" x="735"/>
        <item m="1" x="722"/>
        <item m="1" x="959"/>
        <item m="1" x="651"/>
        <item m="1" x="689"/>
        <item m="1" x="618"/>
        <item m="1" x="906"/>
        <item m="1" x="849"/>
        <item m="1" x="616"/>
        <item m="1" x="628"/>
        <item m="1" x="891"/>
        <item m="1" x="810"/>
        <item m="1" x="865"/>
        <item m="1" x="612"/>
        <item m="1" x="714"/>
        <item m="1" x="947"/>
        <item m="1" x="756"/>
        <item m="1" x="782"/>
        <item m="1" x="944"/>
        <item m="1" x="767"/>
        <item m="1" x="854"/>
        <item m="1" x="941"/>
        <item m="1" x="848"/>
        <item m="1" x="670"/>
        <item m="1" x="871"/>
        <item m="1" x="978"/>
        <item m="1" x="911"/>
        <item m="1" x="787"/>
        <item m="1" x="699"/>
        <item m="1" x="899"/>
        <item m="1" x="625"/>
        <item m="1" x="608"/>
        <item m="1" x="595"/>
        <item m="1" x="636"/>
        <item m="1" x="964"/>
        <item m="1" x="631"/>
        <item m="1" x="708"/>
        <item m="1" x="786"/>
        <item m="1" x="766"/>
        <item m="1" x="731"/>
        <item m="1" x="846"/>
        <item m="1" x="887"/>
        <item m="1" x="974"/>
        <item m="1" x="703"/>
        <item m="1" x="813"/>
        <item m="1" x="588"/>
        <item m="1" x="827"/>
        <item m="1" x="819"/>
        <item m="1" x="977"/>
        <item m="1" x="597"/>
        <item m="1" x="874"/>
        <item m="1" x="772"/>
        <item m="1" x="975"/>
        <item m="1" x="989"/>
        <item m="1" x="755"/>
        <item m="1" x="923"/>
        <item m="1" x="777"/>
        <item m="1" x="920"/>
        <item m="1" x="960"/>
        <item m="1" x="723"/>
        <item m="1" x="734"/>
        <item m="1" x="842"/>
        <item m="1" x="924"/>
        <item m="1" x="739"/>
        <item m="1" x="640"/>
        <item m="1" x="896"/>
        <item m="1" x="835"/>
        <item m="1" x="934"/>
        <item m="1" x="961"/>
        <item m="1" x="745"/>
        <item m="1" x="647"/>
        <item m="1" x="624"/>
        <item m="1" x="844"/>
        <item m="1" x="611"/>
        <item m="1" x="859"/>
        <item m="1" x="915"/>
        <item m="1" x="769"/>
        <item m="1" x="850"/>
        <item m="1" x="654"/>
        <item m="1" x="851"/>
        <item m="1" x="932"/>
        <item m="1" x="776"/>
        <item m="1" x="701"/>
        <item m="1" x="861"/>
        <item m="1" x="820"/>
        <item m="1" x="876"/>
        <item m="1" x="812"/>
        <item m="1" x="645"/>
        <item m="1" x="617"/>
        <item m="1" x="668"/>
        <item m="1" x="884"/>
        <item m="1" x="688"/>
        <item m="1" x="805"/>
        <item m="1" x="829"/>
        <item m="1" x="747"/>
        <item m="1" x="660"/>
        <item m="1" x="822"/>
        <item m="1" x="856"/>
        <item m="1" x="738"/>
        <item m="1" x="623"/>
        <item m="1" x="927"/>
        <item m="1" x="736"/>
        <item m="1" x="796"/>
        <item m="1" x="938"/>
        <item m="1" x="800"/>
        <item m="1" x="717"/>
        <item m="1" x="648"/>
        <item m="1" x="832"/>
        <item m="1" x="933"/>
        <item m="1" x="697"/>
        <item m="1" x="655"/>
        <item m="1" x="983"/>
        <item m="1" x="953"/>
        <item m="1" x="815"/>
        <item m="1" x="666"/>
        <item m="1" x="606"/>
        <item m="1" x="789"/>
        <item m="1" x="771"/>
        <item m="1" x="704"/>
        <item m="1" x="740"/>
        <item m="1" x="928"/>
        <item m="1" x="926"/>
        <item m="1" x="817"/>
        <item m="1" x="633"/>
        <item m="1" x="808"/>
        <item m="1" x="596"/>
        <item x="176"/>
        <item x="566"/>
        <item x="26"/>
        <item x="394"/>
        <item x="293"/>
        <item m="1" x="904"/>
        <item x="37"/>
        <item m="1" x="698"/>
        <item m="1" x="971"/>
        <item x="453"/>
        <item x="338"/>
        <item x="197"/>
        <item x="436"/>
        <item m="1" x="671"/>
        <item x="252"/>
        <item x="520"/>
        <item x="291"/>
        <item x="517"/>
        <item x="484"/>
        <item m="1" x="692"/>
        <item x="575"/>
        <item m="1" x="593"/>
        <item x="29"/>
        <item x="108"/>
        <item x="183"/>
        <item x="171"/>
        <item m="1" x="652"/>
        <item x="312"/>
        <item x="54"/>
        <item x="553"/>
        <item x="35"/>
        <item x="431"/>
        <item x="228"/>
        <item x="234"/>
        <item m="1" x="662"/>
        <item x="131"/>
        <item x="279"/>
        <item x="158"/>
        <item x="168"/>
        <item x="166"/>
        <item m="1" x="675"/>
        <item x="346"/>
        <item x="396"/>
        <item x="74"/>
        <item m="1" x="824"/>
        <item x="416"/>
        <item x="506"/>
        <item m="1" x="748"/>
        <item x="25"/>
        <item x="473"/>
        <item m="1" x="686"/>
        <item x="404"/>
        <item x="407"/>
        <item x="417"/>
        <item x="28"/>
        <item x="72"/>
        <item m="1" x="897"/>
        <item x="307"/>
        <item x="242"/>
        <item x="86"/>
        <item x="61"/>
        <item m="1" x="780"/>
        <item x="285"/>
        <item x="289"/>
        <item x="177"/>
        <item x="471"/>
        <item x="85"/>
        <item x="383"/>
        <item x="330"/>
        <item x="433"/>
        <item x="275"/>
        <item x="474"/>
        <item x="159"/>
        <item x="60"/>
        <item x="39"/>
        <item m="1" x="826"/>
        <item x="188"/>
        <item x="538"/>
        <item x="201"/>
        <item x="45"/>
        <item m="1" x="713"/>
        <item m="1" x="852"/>
        <item x="442"/>
        <item m="1" x="746"/>
        <item x="531"/>
        <item x="238"/>
        <item m="1" x="594"/>
        <item x="121"/>
        <item x="562"/>
        <item x="152"/>
        <item x="295"/>
        <item x="494"/>
        <item x="75"/>
        <item x="115"/>
        <item x="378"/>
        <item x="151"/>
        <item x="77"/>
        <item x="355"/>
        <item x="76"/>
        <item x="449"/>
        <item m="1" x="768"/>
        <item x="199"/>
        <item m="1" x="634"/>
        <item x="326"/>
        <item x="266"/>
        <item x="318"/>
        <item m="1" x="604"/>
        <item m="1" x="984"/>
        <item x="516"/>
        <item x="375"/>
        <item x="567"/>
        <item x="331"/>
        <item x="82"/>
        <item x="351"/>
        <item m="1" x="929"/>
        <item x="348"/>
        <item x="425"/>
        <item x="352"/>
        <item x="393"/>
        <item x="292"/>
        <item x="544"/>
        <item x="256"/>
        <item x="554"/>
        <item m="1" x="916"/>
        <item x="298"/>
        <item m="1" x="982"/>
        <item x="409"/>
        <item x="236"/>
        <item x="412"/>
        <item x="267"/>
        <item x="34"/>
        <item m="1" x="979"/>
        <item x="138"/>
        <item m="1" x="925"/>
        <item x="505"/>
        <item m="1" x="860"/>
        <item x="126"/>
        <item x="112"/>
        <item x="340"/>
        <item x="303"/>
        <item x="156"/>
        <item x="55"/>
        <item x="62"/>
        <item m="1" x="711"/>
        <item x="535"/>
        <item x="525"/>
        <item x="343"/>
        <item m="1" x="930"/>
        <item m="1" x="774"/>
        <item m="1" x="761"/>
        <item x="70"/>
        <item m="1" x="724"/>
        <item x="191"/>
        <item x="58"/>
        <item x="466"/>
        <item x="297"/>
        <item x="333"/>
        <item x="548"/>
        <item x="527"/>
        <item x="550"/>
        <item x="51"/>
        <item x="52"/>
        <item x="504"/>
        <item x="572"/>
        <item x="568"/>
        <item x="14"/>
        <item m="1" x="839"/>
        <item x="196"/>
        <item x="89"/>
        <item x="311"/>
        <item m="1" x="939"/>
        <item x="97"/>
        <item x="249"/>
        <item x="496"/>
        <item x="47"/>
        <item x="359"/>
        <item m="1" x="968"/>
        <item x="276"/>
        <item x="165"/>
        <item x="519"/>
        <item x="441"/>
        <item x="559"/>
        <item m="1" x="792"/>
        <item x="73"/>
        <item m="1" x="580"/>
        <item m="1" x="821"/>
        <item x="475"/>
        <item x="15"/>
        <item x="200"/>
        <item x="259"/>
        <item x="534"/>
        <item m="1" x="749"/>
        <item m="1" x="794"/>
        <item x="106"/>
        <item x="226"/>
        <item x="59"/>
        <item x="206"/>
        <item x="246"/>
        <item x="174"/>
        <item x="78"/>
        <item m="1" x="694"/>
        <item m="1" x="726"/>
        <item m="1" x="937"/>
        <item m="1" x="753"/>
        <item x="258"/>
        <item x="5"/>
        <item x="485"/>
        <item x="314"/>
        <item x="455"/>
        <item x="3"/>
        <item m="1" x="838"/>
        <item x="368"/>
        <item x="192"/>
        <item x="421"/>
        <item x="148"/>
        <item x="272"/>
        <item m="1" x="757"/>
        <item m="1" x="845"/>
        <item m="1" x="582"/>
        <item m="1" x="972"/>
        <item m="1" x="976"/>
        <item m="1" x="681"/>
        <item m="1" x="716"/>
        <item m="1" x="744"/>
        <item m="1" x="967"/>
        <item m="1" x="683"/>
        <item m="1" x="858"/>
        <item m="1" x="743"/>
        <item m="1" x="918"/>
        <item m="1" x="643"/>
        <item m="1" x="917"/>
        <item f="1" x="991"/>
        <item f="1" x="992"/>
        <item f="1" x="993"/>
        <item f="1" x="994"/>
        <item x="0"/>
        <item x="1"/>
        <item x="2"/>
        <item x="4"/>
        <item x="6"/>
        <item x="7"/>
        <item x="8"/>
        <item x="9"/>
        <item x="10"/>
        <item x="11"/>
        <item x="12"/>
        <item x="13"/>
        <item x="16"/>
        <item x="17"/>
        <item x="18"/>
        <item x="19"/>
        <item x="20"/>
        <item x="21"/>
        <item x="22"/>
        <item x="23"/>
        <item x="24"/>
        <item x="27"/>
        <item x="30"/>
        <item x="31"/>
        <item x="32"/>
        <item x="33"/>
        <item x="36"/>
        <item x="38"/>
        <item x="40"/>
        <item x="41"/>
        <item x="42"/>
        <item x="43"/>
        <item x="44"/>
        <item x="46"/>
        <item x="48"/>
        <item x="49"/>
        <item x="50"/>
        <item x="53"/>
        <item x="56"/>
        <item x="57"/>
        <item x="63"/>
        <item x="64"/>
        <item x="65"/>
        <item x="66"/>
        <item x="67"/>
        <item x="68"/>
        <item x="69"/>
        <item x="71"/>
        <item x="79"/>
        <item x="80"/>
        <item x="81"/>
        <item x="83"/>
        <item x="84"/>
        <item x="87"/>
        <item x="88"/>
        <item x="90"/>
        <item x="91"/>
        <item x="92"/>
        <item x="93"/>
        <item x="94"/>
        <item x="95"/>
        <item x="96"/>
        <item x="98"/>
        <item x="99"/>
        <item x="100"/>
        <item x="101"/>
        <item x="102"/>
        <item x="103"/>
        <item x="104"/>
        <item x="105"/>
        <item x="107"/>
        <item x="109"/>
        <item x="110"/>
        <item x="111"/>
        <item x="113"/>
        <item x="114"/>
        <item x="116"/>
        <item x="117"/>
        <item x="118"/>
        <item x="119"/>
        <item x="120"/>
        <item x="122"/>
        <item x="123"/>
        <item x="124"/>
        <item x="125"/>
        <item x="127"/>
        <item x="128"/>
        <item x="129"/>
        <item x="130"/>
        <item x="132"/>
        <item x="133"/>
        <item x="134"/>
        <item x="135"/>
        <item x="136"/>
        <item x="137"/>
        <item x="139"/>
        <item x="140"/>
        <item x="141"/>
        <item x="142"/>
        <item x="143"/>
        <item x="144"/>
        <item x="145"/>
        <item x="146"/>
        <item x="147"/>
        <item x="149"/>
        <item x="150"/>
        <item x="153"/>
        <item x="154"/>
        <item x="155"/>
        <item x="157"/>
        <item x="160"/>
        <item x="161"/>
        <item x="162"/>
        <item x="163"/>
        <item x="164"/>
        <item x="167"/>
        <item x="169"/>
        <item x="170"/>
        <item x="172"/>
        <item x="173"/>
        <item x="175"/>
        <item x="178"/>
        <item x="179"/>
        <item x="180"/>
        <item x="181"/>
        <item x="182"/>
        <item x="184"/>
        <item x="185"/>
        <item x="186"/>
        <item x="187"/>
        <item x="189"/>
        <item x="190"/>
        <item x="193"/>
        <item x="194"/>
        <item x="195"/>
        <item x="198"/>
        <item x="202"/>
        <item x="203"/>
        <item x="204"/>
        <item x="205"/>
        <item x="207"/>
        <item x="208"/>
        <item x="209"/>
        <item x="210"/>
        <item x="211"/>
        <item x="212"/>
        <item x="213"/>
        <item x="214"/>
        <item x="215"/>
        <item x="216"/>
        <item x="217"/>
        <item x="218"/>
        <item x="219"/>
        <item x="220"/>
        <item x="221"/>
        <item x="222"/>
        <item x="223"/>
        <item x="224"/>
        <item x="225"/>
        <item x="227"/>
        <item x="229"/>
        <item x="230"/>
        <item x="231"/>
        <item x="232"/>
        <item x="233"/>
        <item x="235"/>
        <item x="237"/>
        <item x="239"/>
        <item x="240"/>
        <item x="241"/>
        <item x="243"/>
        <item x="244"/>
        <item x="245"/>
        <item x="247"/>
        <item x="248"/>
        <item x="250"/>
        <item x="251"/>
        <item x="253"/>
        <item x="254"/>
        <item x="255"/>
        <item x="257"/>
        <item x="260"/>
        <item x="261"/>
        <item x="262"/>
        <item x="263"/>
        <item x="264"/>
        <item x="265"/>
        <item x="268"/>
        <item x="269"/>
        <item x="270"/>
        <item x="271"/>
        <item x="273"/>
        <item x="274"/>
        <item x="277"/>
        <item x="278"/>
        <item x="280"/>
        <item x="281"/>
        <item x="282"/>
        <item x="283"/>
        <item x="284"/>
        <item x="286"/>
        <item x="287"/>
        <item x="288"/>
        <item x="290"/>
        <item x="294"/>
        <item x="296"/>
        <item x="299"/>
        <item x="300"/>
        <item x="301"/>
        <item x="302"/>
        <item x="304"/>
        <item x="305"/>
        <item x="306"/>
        <item x="308"/>
        <item x="309"/>
        <item x="310"/>
        <item x="313"/>
        <item x="315"/>
        <item x="316"/>
        <item x="317"/>
        <item x="319"/>
        <item x="320"/>
        <item x="321"/>
        <item x="322"/>
        <item x="323"/>
        <item x="324"/>
        <item x="325"/>
        <item x="327"/>
        <item x="328"/>
        <item x="329"/>
        <item x="332"/>
        <item x="334"/>
        <item x="335"/>
        <item x="336"/>
        <item x="337"/>
        <item x="339"/>
        <item x="341"/>
        <item x="342"/>
        <item x="344"/>
        <item x="345"/>
        <item x="347"/>
        <item x="349"/>
        <item x="350"/>
        <item x="353"/>
        <item x="354"/>
        <item x="356"/>
        <item x="357"/>
        <item x="358"/>
        <item x="360"/>
        <item x="361"/>
        <item x="362"/>
        <item x="363"/>
        <item x="364"/>
        <item x="365"/>
        <item x="366"/>
        <item x="367"/>
        <item x="369"/>
        <item x="370"/>
        <item x="371"/>
        <item x="372"/>
        <item x="373"/>
        <item x="374"/>
        <item x="376"/>
        <item x="377"/>
        <item x="379"/>
        <item x="380"/>
        <item x="381"/>
        <item x="382"/>
        <item x="384"/>
        <item x="385"/>
        <item x="386"/>
        <item x="387"/>
        <item x="388"/>
        <item x="389"/>
        <item x="390"/>
        <item x="391"/>
        <item x="392"/>
        <item x="395"/>
        <item x="397"/>
        <item x="398"/>
        <item x="399"/>
        <item x="400"/>
        <item x="401"/>
        <item x="402"/>
        <item x="403"/>
        <item x="405"/>
        <item x="406"/>
        <item x="408"/>
        <item x="410"/>
        <item x="411"/>
        <item x="413"/>
        <item x="414"/>
        <item x="415"/>
        <item x="418"/>
        <item x="419"/>
        <item x="420"/>
        <item x="422"/>
        <item x="423"/>
        <item x="424"/>
        <item x="426"/>
        <item x="427"/>
        <item x="428"/>
        <item x="429"/>
        <item x="430"/>
        <item x="432"/>
        <item x="434"/>
        <item x="435"/>
        <item x="437"/>
        <item x="438"/>
        <item x="439"/>
        <item x="440"/>
        <item x="443"/>
        <item x="444"/>
        <item x="445"/>
        <item x="446"/>
        <item x="447"/>
        <item x="448"/>
        <item x="450"/>
        <item x="451"/>
        <item x="452"/>
        <item x="454"/>
        <item x="456"/>
        <item x="457"/>
        <item x="458"/>
        <item x="459"/>
        <item x="460"/>
        <item x="461"/>
        <item x="462"/>
        <item x="463"/>
        <item x="464"/>
        <item x="465"/>
        <item x="467"/>
        <item x="468"/>
        <item x="469"/>
        <item x="470"/>
        <item x="472"/>
        <item x="476"/>
        <item x="477"/>
        <item x="478"/>
        <item x="479"/>
        <item x="480"/>
        <item x="481"/>
        <item x="482"/>
        <item x="483"/>
        <item x="486"/>
        <item x="487"/>
        <item x="488"/>
        <item x="489"/>
        <item x="490"/>
        <item x="491"/>
        <item x="492"/>
        <item x="493"/>
        <item x="495"/>
        <item x="497"/>
        <item x="498"/>
        <item x="499"/>
        <item x="500"/>
        <item x="501"/>
        <item x="502"/>
        <item x="503"/>
        <item x="507"/>
        <item x="508"/>
        <item x="509"/>
        <item x="510"/>
        <item x="511"/>
        <item x="512"/>
        <item x="513"/>
        <item x="514"/>
        <item x="515"/>
        <item x="518"/>
        <item x="521"/>
        <item x="522"/>
        <item x="523"/>
        <item x="524"/>
        <item x="526"/>
        <item x="528"/>
        <item x="529"/>
        <item x="530"/>
        <item x="532"/>
        <item x="533"/>
        <item x="536"/>
        <item x="537"/>
        <item x="539"/>
        <item x="540"/>
        <item x="541"/>
        <item x="542"/>
        <item x="543"/>
        <item x="545"/>
        <item x="546"/>
        <item x="547"/>
        <item x="549"/>
        <item x="551"/>
        <item x="552"/>
        <item x="555"/>
        <item x="556"/>
        <item x="557"/>
        <item x="558"/>
        <item x="560"/>
        <item x="561"/>
        <item x="563"/>
        <item x="564"/>
        <item x="565"/>
        <item x="569"/>
        <item x="570"/>
        <item x="571"/>
        <item x="573"/>
        <item x="574"/>
        <item x="576"/>
        <item x="577"/>
        <item x="578"/>
        <item x="579"/>
        <item t="default"/>
      </items>
    </pivotField>
    <pivotField showAll="0"/>
    <pivotField numFmtId="164" showAll="0"/>
    <pivotField showAll="0"/>
    <pivotField showAll="0"/>
    <pivotField showAll="0"/>
    <pivotField showAll="0">
      <items count="4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s>
  <rowFields count="1">
    <field x="2"/>
  </rowFields>
  <rowItems count="3">
    <i>
      <x/>
    </i>
    <i>
      <x v="1"/>
    </i>
    <i t="grand">
      <x/>
    </i>
  </rowItems>
  <colItems count="1">
    <i/>
  </colItems>
  <dataFields count="1">
    <dataField name="Sum of Quantity" fld="5"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794FBA-F301-42AD-A8E1-2F7D17ADB9B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H9:I15" firstHeaderRow="1" firstDataRow="1" firstDataCol="1"/>
  <pivotFields count="15">
    <pivotField showAll="0"/>
    <pivotField showAll="0"/>
    <pivotField showAll="0">
      <items count="3">
        <item x="0"/>
        <item x="1"/>
        <item t="default"/>
      </items>
    </pivotField>
    <pivotField showAll="0"/>
    <pivotField showAll="0"/>
    <pivotField dataField="1" showAll="0"/>
    <pivotField showAll="0"/>
    <pivotField showAll="0"/>
    <pivotField showAll="0">
      <items count="996">
        <item m="1" x="759"/>
        <item m="1" x="981"/>
        <item m="1" x="646"/>
        <item m="1" x="650"/>
        <item m="1" x="802"/>
        <item m="1" x="706"/>
        <item m="1" x="905"/>
        <item m="1" x="638"/>
        <item m="1" x="781"/>
        <item m="1" x="818"/>
        <item m="1" x="869"/>
        <item m="1" x="591"/>
        <item m="1" x="649"/>
        <item m="1" x="948"/>
        <item m="1" x="605"/>
        <item m="1" x="589"/>
        <item m="1" x="898"/>
        <item m="1" x="840"/>
        <item m="1" x="663"/>
        <item m="1" x="696"/>
        <item m="1" x="803"/>
        <item m="1" x="867"/>
        <item m="1" x="797"/>
        <item m="1" x="831"/>
        <item m="1" x="873"/>
        <item m="1" x="590"/>
        <item m="1" x="710"/>
        <item m="1" x="690"/>
        <item m="1" x="843"/>
        <item m="1" x="870"/>
        <item m="1" x="893"/>
        <item m="1" x="956"/>
        <item m="1" x="719"/>
        <item m="1" x="962"/>
        <item m="1" x="875"/>
        <item m="1" x="878"/>
        <item m="1" x="912"/>
        <item m="1" x="830"/>
        <item m="1" x="990"/>
        <item m="1" x="760"/>
        <item m="1" x="750"/>
        <item m="1" x="909"/>
        <item m="1" x="673"/>
        <item m="1" x="603"/>
        <item m="1" x="889"/>
        <item m="1" x="667"/>
        <item m="1" x="951"/>
        <item m="1" x="728"/>
        <item m="1" x="946"/>
        <item m="1" x="825"/>
        <item m="1" x="635"/>
        <item m="1" x="619"/>
        <item m="1" x="965"/>
        <item m="1" x="680"/>
        <item m="1" x="952"/>
        <item m="1" x="816"/>
        <item m="1" x="890"/>
        <item m="1" x="888"/>
        <item m="1" x="862"/>
        <item m="1" x="691"/>
        <item m="1" x="613"/>
        <item m="1" x="610"/>
        <item m="1" x="949"/>
        <item m="1" x="682"/>
        <item m="1" x="833"/>
        <item m="1" x="609"/>
        <item m="1" x="758"/>
        <item m="1" x="653"/>
        <item m="1" x="895"/>
        <item m="1" x="958"/>
        <item m="1" x="592"/>
        <item m="1" x="950"/>
        <item m="1" x="602"/>
        <item m="1" x="910"/>
        <item m="1" x="837"/>
        <item m="1" x="677"/>
        <item m="1" x="729"/>
        <item m="1" x="881"/>
        <item m="1" x="741"/>
        <item m="1" x="598"/>
        <item m="1" x="847"/>
        <item m="1" x="773"/>
        <item m="1" x="763"/>
        <item m="1" x="684"/>
        <item m="1" x="985"/>
        <item m="1" x="707"/>
        <item m="1" x="987"/>
        <item m="1" x="715"/>
        <item m="1" x="751"/>
        <item m="1" x="919"/>
        <item m="1" x="614"/>
        <item m="1" x="661"/>
        <item m="1" x="823"/>
        <item m="1" x="727"/>
        <item m="1" x="730"/>
        <item m="1" x="720"/>
        <item m="1" x="879"/>
        <item m="1" x="621"/>
        <item m="1" x="620"/>
        <item m="1" x="583"/>
        <item m="1" x="581"/>
        <item m="1" x="775"/>
        <item m="1" x="627"/>
        <item m="1" x="737"/>
        <item m="1" x="836"/>
        <item m="1" x="695"/>
        <item m="1" x="622"/>
        <item m="1" x="783"/>
        <item m="1" x="779"/>
        <item m="1" x="607"/>
        <item m="1" x="599"/>
        <item m="1" x="940"/>
        <item m="1" x="742"/>
        <item m="1" x="709"/>
        <item m="1" x="700"/>
        <item m="1" x="908"/>
        <item m="1" x="969"/>
        <item m="1" x="853"/>
        <item m="1" x="632"/>
        <item m="1" x="754"/>
        <item m="1" x="674"/>
        <item m="1" x="665"/>
        <item m="1" x="584"/>
        <item m="1" x="801"/>
        <item m="1" x="641"/>
        <item m="1" x="970"/>
        <item m="1" x="586"/>
        <item m="1" x="702"/>
        <item m="1" x="644"/>
        <item m="1" x="954"/>
        <item m="1" x="721"/>
        <item m="1" x="629"/>
        <item m="1" x="907"/>
        <item m="1" x="659"/>
        <item m="1" x="793"/>
        <item m="1" x="955"/>
        <item m="1" x="795"/>
        <item m="1" x="841"/>
        <item m="1" x="973"/>
        <item m="1" x="656"/>
        <item m="1" x="931"/>
        <item m="1" x="882"/>
        <item m="1" x="886"/>
        <item m="1" x="642"/>
        <item m="1" x="630"/>
        <item m="1" x="764"/>
        <item m="1" x="626"/>
        <item m="1" x="798"/>
        <item m="1" x="921"/>
        <item m="1" x="639"/>
        <item m="1" x="988"/>
        <item m="1" x="725"/>
        <item m="1" x="807"/>
        <item m="1" x="685"/>
        <item m="1" x="945"/>
        <item m="1" x="804"/>
        <item m="1" x="770"/>
        <item m="1" x="864"/>
        <item m="1" x="828"/>
        <item m="1" x="902"/>
        <item m="1" x="788"/>
        <item m="1" x="778"/>
        <item m="1" x="980"/>
        <item m="1" x="986"/>
        <item m="1" x="901"/>
        <item m="1" x="963"/>
        <item m="1" x="637"/>
        <item m="1" x="809"/>
        <item m="1" x="785"/>
        <item m="1" x="877"/>
        <item m="1" x="880"/>
        <item m="1" x="894"/>
        <item m="1" x="732"/>
        <item m="1" x="913"/>
        <item m="1" x="687"/>
        <item m="1" x="658"/>
        <item m="1" x="903"/>
        <item m="1" x="868"/>
        <item m="1" x="799"/>
        <item m="1" x="855"/>
        <item m="1" x="762"/>
        <item m="1" x="784"/>
        <item m="1" x="672"/>
        <item m="1" x="885"/>
        <item m="1" x="814"/>
        <item m="1" x="866"/>
        <item m="1" x="676"/>
        <item m="1" x="712"/>
        <item m="1" x="791"/>
        <item m="1" x="857"/>
        <item m="1" x="900"/>
        <item m="1" x="863"/>
        <item m="1" x="957"/>
        <item m="1" x="942"/>
        <item m="1" x="811"/>
        <item m="1" x="872"/>
        <item m="1" x="834"/>
        <item m="1" x="664"/>
        <item m="1" x="585"/>
        <item m="1" x="615"/>
        <item m="1" x="922"/>
        <item m="1" x="790"/>
        <item m="1" x="914"/>
        <item m="1" x="600"/>
        <item m="1" x="935"/>
        <item m="1" x="678"/>
        <item m="1" x="765"/>
        <item m="1" x="943"/>
        <item m="1" x="657"/>
        <item m="1" x="892"/>
        <item m="1" x="883"/>
        <item m="1" x="693"/>
        <item m="1" x="705"/>
        <item m="1" x="752"/>
        <item m="1" x="966"/>
        <item m="1" x="733"/>
        <item m="1" x="806"/>
        <item m="1" x="936"/>
        <item m="1" x="587"/>
        <item m="1" x="669"/>
        <item m="1" x="601"/>
        <item m="1" x="679"/>
        <item m="1" x="718"/>
        <item m="1" x="735"/>
        <item m="1" x="722"/>
        <item m="1" x="959"/>
        <item m="1" x="651"/>
        <item m="1" x="689"/>
        <item m="1" x="618"/>
        <item m="1" x="906"/>
        <item m="1" x="849"/>
        <item m="1" x="616"/>
        <item m="1" x="628"/>
        <item m="1" x="891"/>
        <item m="1" x="810"/>
        <item m="1" x="865"/>
        <item m="1" x="612"/>
        <item m="1" x="714"/>
        <item m="1" x="947"/>
        <item m="1" x="756"/>
        <item m="1" x="782"/>
        <item m="1" x="944"/>
        <item m="1" x="767"/>
        <item m="1" x="854"/>
        <item m="1" x="941"/>
        <item m="1" x="848"/>
        <item m="1" x="670"/>
        <item m="1" x="871"/>
        <item m="1" x="978"/>
        <item m="1" x="911"/>
        <item m="1" x="787"/>
        <item m="1" x="699"/>
        <item m="1" x="899"/>
        <item m="1" x="625"/>
        <item m="1" x="608"/>
        <item m="1" x="595"/>
        <item m="1" x="636"/>
        <item m="1" x="964"/>
        <item m="1" x="631"/>
        <item m="1" x="708"/>
        <item m="1" x="786"/>
        <item m="1" x="766"/>
        <item m="1" x="731"/>
        <item m="1" x="846"/>
        <item m="1" x="887"/>
        <item m="1" x="974"/>
        <item m="1" x="703"/>
        <item m="1" x="813"/>
        <item m="1" x="588"/>
        <item m="1" x="827"/>
        <item m="1" x="819"/>
        <item m="1" x="977"/>
        <item m="1" x="597"/>
        <item m="1" x="874"/>
        <item m="1" x="772"/>
        <item m="1" x="975"/>
        <item m="1" x="989"/>
        <item m="1" x="755"/>
        <item m="1" x="923"/>
        <item m="1" x="777"/>
        <item m="1" x="920"/>
        <item m="1" x="960"/>
        <item m="1" x="723"/>
        <item m="1" x="734"/>
        <item m="1" x="842"/>
        <item m="1" x="924"/>
        <item m="1" x="739"/>
        <item m="1" x="640"/>
        <item m="1" x="896"/>
        <item m="1" x="835"/>
        <item m="1" x="934"/>
        <item m="1" x="961"/>
        <item m="1" x="745"/>
        <item m="1" x="647"/>
        <item m="1" x="624"/>
        <item m="1" x="844"/>
        <item m="1" x="611"/>
        <item m="1" x="859"/>
        <item m="1" x="915"/>
        <item m="1" x="769"/>
        <item m="1" x="850"/>
        <item m="1" x="654"/>
        <item m="1" x="851"/>
        <item m="1" x="932"/>
        <item m="1" x="776"/>
        <item m="1" x="701"/>
        <item m="1" x="861"/>
        <item m="1" x="820"/>
        <item m="1" x="876"/>
        <item m="1" x="812"/>
        <item m="1" x="645"/>
        <item m="1" x="617"/>
        <item m="1" x="668"/>
        <item m="1" x="884"/>
        <item m="1" x="688"/>
        <item m="1" x="805"/>
        <item m="1" x="829"/>
        <item m="1" x="747"/>
        <item m="1" x="660"/>
        <item m="1" x="822"/>
        <item m="1" x="856"/>
        <item m="1" x="738"/>
        <item m="1" x="623"/>
        <item m="1" x="927"/>
        <item m="1" x="736"/>
        <item m="1" x="796"/>
        <item m="1" x="938"/>
        <item m="1" x="800"/>
        <item m="1" x="717"/>
        <item m="1" x="648"/>
        <item m="1" x="832"/>
        <item m="1" x="933"/>
        <item m="1" x="697"/>
        <item m="1" x="655"/>
        <item m="1" x="983"/>
        <item m="1" x="953"/>
        <item m="1" x="815"/>
        <item m="1" x="666"/>
        <item m="1" x="606"/>
        <item m="1" x="789"/>
        <item m="1" x="771"/>
        <item m="1" x="704"/>
        <item m="1" x="740"/>
        <item m="1" x="928"/>
        <item m="1" x="926"/>
        <item m="1" x="817"/>
        <item m="1" x="633"/>
        <item m="1" x="808"/>
        <item m="1" x="596"/>
        <item x="176"/>
        <item x="566"/>
        <item x="26"/>
        <item x="394"/>
        <item x="293"/>
        <item m="1" x="904"/>
        <item x="37"/>
        <item m="1" x="698"/>
        <item m="1" x="971"/>
        <item x="453"/>
        <item x="338"/>
        <item x="197"/>
        <item x="436"/>
        <item m="1" x="671"/>
        <item x="252"/>
        <item x="520"/>
        <item x="291"/>
        <item x="517"/>
        <item x="484"/>
        <item m="1" x="692"/>
        <item x="575"/>
        <item m="1" x="593"/>
        <item x="29"/>
        <item x="108"/>
        <item x="183"/>
        <item x="171"/>
        <item m="1" x="652"/>
        <item x="312"/>
        <item x="54"/>
        <item x="553"/>
        <item x="35"/>
        <item x="431"/>
        <item x="228"/>
        <item x="234"/>
        <item m="1" x="662"/>
        <item x="131"/>
        <item x="279"/>
        <item x="158"/>
        <item x="168"/>
        <item x="166"/>
        <item m="1" x="675"/>
        <item x="346"/>
        <item x="396"/>
        <item x="74"/>
        <item m="1" x="824"/>
        <item x="416"/>
        <item x="506"/>
        <item m="1" x="748"/>
        <item x="25"/>
        <item x="473"/>
        <item m="1" x="686"/>
        <item x="404"/>
        <item x="407"/>
        <item x="417"/>
        <item x="28"/>
        <item x="72"/>
        <item m="1" x="897"/>
        <item x="307"/>
        <item x="242"/>
        <item x="86"/>
        <item x="61"/>
        <item m="1" x="780"/>
        <item x="285"/>
        <item x="289"/>
        <item x="177"/>
        <item x="471"/>
        <item x="85"/>
        <item x="383"/>
        <item x="330"/>
        <item x="433"/>
        <item x="275"/>
        <item x="474"/>
        <item x="159"/>
        <item x="60"/>
        <item x="39"/>
        <item m="1" x="826"/>
        <item x="188"/>
        <item x="538"/>
        <item x="201"/>
        <item x="45"/>
        <item m="1" x="713"/>
        <item m="1" x="852"/>
        <item x="442"/>
        <item m="1" x="746"/>
        <item x="531"/>
        <item x="238"/>
        <item m="1" x="594"/>
        <item x="121"/>
        <item x="562"/>
        <item x="152"/>
        <item x="295"/>
        <item x="494"/>
        <item x="75"/>
        <item x="115"/>
        <item x="378"/>
        <item x="151"/>
        <item x="77"/>
        <item x="355"/>
        <item x="76"/>
        <item x="449"/>
        <item m="1" x="768"/>
        <item x="199"/>
        <item m="1" x="634"/>
        <item x="326"/>
        <item x="266"/>
        <item x="318"/>
        <item m="1" x="604"/>
        <item m="1" x="984"/>
        <item x="516"/>
        <item x="375"/>
        <item x="567"/>
        <item x="331"/>
        <item x="82"/>
        <item x="351"/>
        <item m="1" x="929"/>
        <item x="348"/>
        <item x="425"/>
        <item x="352"/>
        <item x="393"/>
        <item x="292"/>
        <item x="544"/>
        <item x="256"/>
        <item x="554"/>
        <item m="1" x="916"/>
        <item x="298"/>
        <item m="1" x="982"/>
        <item x="409"/>
        <item x="236"/>
        <item x="412"/>
        <item x="267"/>
        <item x="34"/>
        <item m="1" x="979"/>
        <item x="138"/>
        <item m="1" x="925"/>
        <item x="505"/>
        <item m="1" x="860"/>
        <item x="126"/>
        <item x="112"/>
        <item x="340"/>
        <item x="303"/>
        <item x="156"/>
        <item x="55"/>
        <item x="62"/>
        <item m="1" x="711"/>
        <item x="535"/>
        <item x="525"/>
        <item x="343"/>
        <item m="1" x="930"/>
        <item m="1" x="774"/>
        <item m="1" x="761"/>
        <item x="70"/>
        <item m="1" x="724"/>
        <item x="191"/>
        <item x="58"/>
        <item x="466"/>
        <item x="297"/>
        <item x="333"/>
        <item x="548"/>
        <item x="527"/>
        <item x="550"/>
        <item x="51"/>
        <item x="52"/>
        <item x="504"/>
        <item x="572"/>
        <item x="568"/>
        <item x="14"/>
        <item m="1" x="839"/>
        <item x="196"/>
        <item x="89"/>
        <item x="311"/>
        <item m="1" x="939"/>
        <item x="97"/>
        <item x="249"/>
        <item x="496"/>
        <item x="47"/>
        <item x="359"/>
        <item m="1" x="968"/>
        <item x="276"/>
        <item x="165"/>
        <item x="519"/>
        <item x="441"/>
        <item x="559"/>
        <item m="1" x="792"/>
        <item x="73"/>
        <item m="1" x="580"/>
        <item m="1" x="821"/>
        <item x="475"/>
        <item x="15"/>
        <item x="200"/>
        <item x="259"/>
        <item x="534"/>
        <item m="1" x="749"/>
        <item m="1" x="794"/>
        <item x="106"/>
        <item x="226"/>
        <item x="59"/>
        <item x="206"/>
        <item x="246"/>
        <item x="174"/>
        <item x="78"/>
        <item m="1" x="694"/>
        <item m="1" x="726"/>
        <item m="1" x="937"/>
        <item m="1" x="753"/>
        <item x="258"/>
        <item x="5"/>
        <item x="485"/>
        <item x="314"/>
        <item x="455"/>
        <item x="3"/>
        <item m="1" x="838"/>
        <item x="368"/>
        <item x="192"/>
        <item x="421"/>
        <item x="148"/>
        <item x="272"/>
        <item m="1" x="757"/>
        <item m="1" x="845"/>
        <item m="1" x="582"/>
        <item m="1" x="972"/>
        <item m="1" x="976"/>
        <item m="1" x="681"/>
        <item m="1" x="716"/>
        <item m="1" x="744"/>
        <item m="1" x="967"/>
        <item m="1" x="683"/>
        <item m="1" x="858"/>
        <item m="1" x="743"/>
        <item m="1" x="918"/>
        <item m="1" x="643"/>
        <item m="1" x="917"/>
        <item f="1" x="991"/>
        <item f="1" x="992"/>
        <item f="1" x="993"/>
        <item f="1" x="994"/>
        <item x="0"/>
        <item x="1"/>
        <item x="2"/>
        <item x="4"/>
        <item x="6"/>
        <item x="7"/>
        <item x="8"/>
        <item x="9"/>
        <item x="10"/>
        <item x="11"/>
        <item x="12"/>
        <item x="13"/>
        <item x="16"/>
        <item x="17"/>
        <item x="18"/>
        <item x="19"/>
        <item x="20"/>
        <item x="21"/>
        <item x="22"/>
        <item x="23"/>
        <item x="24"/>
        <item x="27"/>
        <item x="30"/>
        <item x="31"/>
        <item x="32"/>
        <item x="33"/>
        <item x="36"/>
        <item x="38"/>
        <item x="40"/>
        <item x="41"/>
        <item x="42"/>
        <item x="43"/>
        <item x="44"/>
        <item x="46"/>
        <item x="48"/>
        <item x="49"/>
        <item x="50"/>
        <item x="53"/>
        <item x="56"/>
        <item x="57"/>
        <item x="63"/>
        <item x="64"/>
        <item x="65"/>
        <item x="66"/>
        <item x="67"/>
        <item x="68"/>
        <item x="69"/>
        <item x="71"/>
        <item x="79"/>
        <item x="80"/>
        <item x="81"/>
        <item x="83"/>
        <item x="84"/>
        <item x="87"/>
        <item x="88"/>
        <item x="90"/>
        <item x="91"/>
        <item x="92"/>
        <item x="93"/>
        <item x="94"/>
        <item x="95"/>
        <item x="96"/>
        <item x="98"/>
        <item x="99"/>
        <item x="100"/>
        <item x="101"/>
        <item x="102"/>
        <item x="103"/>
        <item x="104"/>
        <item x="105"/>
        <item x="107"/>
        <item x="109"/>
        <item x="110"/>
        <item x="111"/>
        <item x="113"/>
        <item x="114"/>
        <item x="116"/>
        <item x="117"/>
        <item x="118"/>
        <item x="119"/>
        <item x="120"/>
        <item x="122"/>
        <item x="123"/>
        <item x="124"/>
        <item x="125"/>
        <item x="127"/>
        <item x="128"/>
        <item x="129"/>
        <item x="130"/>
        <item x="132"/>
        <item x="133"/>
        <item x="134"/>
        <item x="135"/>
        <item x="136"/>
        <item x="137"/>
        <item x="139"/>
        <item x="140"/>
        <item x="141"/>
        <item x="142"/>
        <item x="143"/>
        <item x="144"/>
        <item x="145"/>
        <item x="146"/>
        <item x="147"/>
        <item x="149"/>
        <item x="150"/>
        <item x="153"/>
        <item x="154"/>
        <item x="155"/>
        <item x="157"/>
        <item x="160"/>
        <item x="161"/>
        <item x="162"/>
        <item x="163"/>
        <item x="164"/>
        <item x="167"/>
        <item x="169"/>
        <item x="170"/>
        <item x="172"/>
        <item x="173"/>
        <item x="175"/>
        <item x="178"/>
        <item x="179"/>
        <item x="180"/>
        <item x="181"/>
        <item x="182"/>
        <item x="184"/>
        <item x="185"/>
        <item x="186"/>
        <item x="187"/>
        <item x="189"/>
        <item x="190"/>
        <item x="193"/>
        <item x="194"/>
        <item x="195"/>
        <item x="198"/>
        <item x="202"/>
        <item x="203"/>
        <item x="204"/>
        <item x="205"/>
        <item x="207"/>
        <item x="208"/>
        <item x="209"/>
        <item x="210"/>
        <item x="211"/>
        <item x="212"/>
        <item x="213"/>
        <item x="214"/>
        <item x="215"/>
        <item x="216"/>
        <item x="217"/>
        <item x="218"/>
        <item x="219"/>
        <item x="220"/>
        <item x="221"/>
        <item x="222"/>
        <item x="223"/>
        <item x="224"/>
        <item x="225"/>
        <item x="227"/>
        <item x="229"/>
        <item x="230"/>
        <item x="231"/>
        <item x="232"/>
        <item x="233"/>
        <item x="235"/>
        <item x="237"/>
        <item x="239"/>
        <item x="240"/>
        <item x="241"/>
        <item x="243"/>
        <item x="244"/>
        <item x="245"/>
        <item x="247"/>
        <item x="248"/>
        <item x="250"/>
        <item x="251"/>
        <item x="253"/>
        <item x="254"/>
        <item x="255"/>
        <item x="257"/>
        <item x="260"/>
        <item x="261"/>
        <item x="262"/>
        <item x="263"/>
        <item x="264"/>
        <item x="265"/>
        <item x="268"/>
        <item x="269"/>
        <item x="270"/>
        <item x="271"/>
        <item x="273"/>
        <item x="274"/>
        <item x="277"/>
        <item x="278"/>
        <item x="280"/>
        <item x="281"/>
        <item x="282"/>
        <item x="283"/>
        <item x="284"/>
        <item x="286"/>
        <item x="287"/>
        <item x="288"/>
        <item x="290"/>
        <item x="294"/>
        <item x="296"/>
        <item x="299"/>
        <item x="300"/>
        <item x="301"/>
        <item x="302"/>
        <item x="304"/>
        <item x="305"/>
        <item x="306"/>
        <item x="308"/>
        <item x="309"/>
        <item x="310"/>
        <item x="313"/>
        <item x="315"/>
        <item x="316"/>
        <item x="317"/>
        <item x="319"/>
        <item x="320"/>
        <item x="321"/>
        <item x="322"/>
        <item x="323"/>
        <item x="324"/>
        <item x="325"/>
        <item x="327"/>
        <item x="328"/>
        <item x="329"/>
        <item x="332"/>
        <item x="334"/>
        <item x="335"/>
        <item x="336"/>
        <item x="337"/>
        <item x="339"/>
        <item x="341"/>
        <item x="342"/>
        <item x="344"/>
        <item x="345"/>
        <item x="347"/>
        <item x="349"/>
        <item x="350"/>
        <item x="353"/>
        <item x="354"/>
        <item x="356"/>
        <item x="357"/>
        <item x="358"/>
        <item x="360"/>
        <item x="361"/>
        <item x="362"/>
        <item x="363"/>
        <item x="364"/>
        <item x="365"/>
        <item x="366"/>
        <item x="367"/>
        <item x="369"/>
        <item x="370"/>
        <item x="371"/>
        <item x="372"/>
        <item x="373"/>
        <item x="374"/>
        <item x="376"/>
        <item x="377"/>
        <item x="379"/>
        <item x="380"/>
        <item x="381"/>
        <item x="382"/>
        <item x="384"/>
        <item x="385"/>
        <item x="386"/>
        <item x="387"/>
        <item x="388"/>
        <item x="389"/>
        <item x="390"/>
        <item x="391"/>
        <item x="392"/>
        <item x="395"/>
        <item x="397"/>
        <item x="398"/>
        <item x="399"/>
        <item x="400"/>
        <item x="401"/>
        <item x="402"/>
        <item x="403"/>
        <item x="405"/>
        <item x="406"/>
        <item x="408"/>
        <item x="410"/>
        <item x="411"/>
        <item x="413"/>
        <item x="414"/>
        <item x="415"/>
        <item x="418"/>
        <item x="419"/>
        <item x="420"/>
        <item x="422"/>
        <item x="423"/>
        <item x="424"/>
        <item x="426"/>
        <item x="427"/>
        <item x="428"/>
        <item x="429"/>
        <item x="430"/>
        <item x="432"/>
        <item x="434"/>
        <item x="435"/>
        <item x="437"/>
        <item x="438"/>
        <item x="439"/>
        <item x="440"/>
        <item x="443"/>
        <item x="444"/>
        <item x="445"/>
        <item x="446"/>
        <item x="447"/>
        <item x="448"/>
        <item x="450"/>
        <item x="451"/>
        <item x="452"/>
        <item x="454"/>
        <item x="456"/>
        <item x="457"/>
        <item x="458"/>
        <item x="459"/>
        <item x="460"/>
        <item x="461"/>
        <item x="462"/>
        <item x="463"/>
        <item x="464"/>
        <item x="465"/>
        <item x="467"/>
        <item x="468"/>
        <item x="469"/>
        <item x="470"/>
        <item x="472"/>
        <item x="476"/>
        <item x="477"/>
        <item x="478"/>
        <item x="479"/>
        <item x="480"/>
        <item x="481"/>
        <item x="482"/>
        <item x="483"/>
        <item x="486"/>
        <item x="487"/>
        <item x="488"/>
        <item x="489"/>
        <item x="490"/>
        <item x="491"/>
        <item x="492"/>
        <item x="493"/>
        <item x="495"/>
        <item x="497"/>
        <item x="498"/>
        <item x="499"/>
        <item x="500"/>
        <item x="501"/>
        <item x="502"/>
        <item x="503"/>
        <item x="507"/>
        <item x="508"/>
        <item x="509"/>
        <item x="510"/>
        <item x="511"/>
        <item x="512"/>
        <item x="513"/>
        <item x="514"/>
        <item x="515"/>
        <item x="518"/>
        <item x="521"/>
        <item x="522"/>
        <item x="523"/>
        <item x="524"/>
        <item x="526"/>
        <item x="528"/>
        <item x="529"/>
        <item x="530"/>
        <item x="532"/>
        <item x="533"/>
        <item x="536"/>
        <item x="537"/>
        <item x="539"/>
        <item x="540"/>
        <item x="541"/>
        <item x="542"/>
        <item x="543"/>
        <item x="545"/>
        <item x="546"/>
        <item x="547"/>
        <item x="549"/>
        <item x="551"/>
        <item x="552"/>
        <item x="555"/>
        <item x="556"/>
        <item x="557"/>
        <item x="558"/>
        <item x="560"/>
        <item x="561"/>
        <item x="563"/>
        <item x="564"/>
        <item x="565"/>
        <item x="569"/>
        <item x="570"/>
        <item x="571"/>
        <item x="573"/>
        <item x="574"/>
        <item x="576"/>
        <item x="577"/>
        <item x="578"/>
        <item x="579"/>
        <item t="default"/>
      </items>
    </pivotField>
    <pivotField showAll="0"/>
    <pivotField numFmtId="164" showAll="0"/>
    <pivotField axis="axisRow" showAll="0">
      <items count="6">
        <item x="0"/>
        <item x="1"/>
        <item x="2"/>
        <item x="3"/>
        <item x="4"/>
        <item t="default"/>
      </items>
    </pivotField>
    <pivotField showAll="0"/>
    <pivotField showAll="0"/>
    <pivotField showAll="0">
      <items count="4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s>
  <rowFields count="1">
    <field x="11"/>
  </rowFields>
  <rowItems count="6">
    <i>
      <x/>
    </i>
    <i>
      <x v="1"/>
    </i>
    <i>
      <x v="2"/>
    </i>
    <i>
      <x v="3"/>
    </i>
    <i>
      <x v="4"/>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746946-4B0F-4604-BC9B-E430110A23B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Gender">
  <location ref="G3:H6" firstHeaderRow="1" firstDataRow="1" firstDataCol="1"/>
  <pivotFields count="15">
    <pivotField showAll="0"/>
    <pivotField showAll="0"/>
    <pivotField axis="axisRow" showAll="0">
      <items count="3">
        <item x="0"/>
        <item x="1"/>
        <item t="default"/>
      </items>
    </pivotField>
    <pivotField showAll="0"/>
    <pivotField showAll="0"/>
    <pivotField showAll="0"/>
    <pivotField showAll="0"/>
    <pivotField showAll="0"/>
    <pivotField showAll="0">
      <items count="996">
        <item m="1" x="759"/>
        <item m="1" x="981"/>
        <item m="1" x="646"/>
        <item m="1" x="650"/>
        <item m="1" x="802"/>
        <item m="1" x="706"/>
        <item m="1" x="905"/>
        <item m="1" x="638"/>
        <item m="1" x="781"/>
        <item m="1" x="818"/>
        <item m="1" x="869"/>
        <item m="1" x="591"/>
        <item m="1" x="649"/>
        <item m="1" x="948"/>
        <item m="1" x="605"/>
        <item m="1" x="589"/>
        <item m="1" x="898"/>
        <item m="1" x="840"/>
        <item m="1" x="663"/>
        <item m="1" x="696"/>
        <item m="1" x="803"/>
        <item m="1" x="867"/>
        <item m="1" x="797"/>
        <item m="1" x="831"/>
        <item m="1" x="873"/>
        <item m="1" x="590"/>
        <item m="1" x="710"/>
        <item m="1" x="690"/>
        <item m="1" x="843"/>
        <item m="1" x="870"/>
        <item m="1" x="893"/>
        <item m="1" x="956"/>
        <item m="1" x="719"/>
        <item m="1" x="962"/>
        <item m="1" x="875"/>
        <item m="1" x="878"/>
        <item m="1" x="912"/>
        <item m="1" x="830"/>
        <item m="1" x="990"/>
        <item m="1" x="760"/>
        <item m="1" x="750"/>
        <item m="1" x="909"/>
        <item m="1" x="673"/>
        <item m="1" x="603"/>
        <item m="1" x="889"/>
        <item m="1" x="667"/>
        <item m="1" x="951"/>
        <item m="1" x="728"/>
        <item m="1" x="946"/>
        <item m="1" x="825"/>
        <item m="1" x="635"/>
        <item m="1" x="619"/>
        <item m="1" x="965"/>
        <item m="1" x="680"/>
        <item m="1" x="952"/>
        <item m="1" x="816"/>
        <item m="1" x="890"/>
        <item m="1" x="888"/>
        <item m="1" x="862"/>
        <item m="1" x="691"/>
        <item m="1" x="613"/>
        <item m="1" x="610"/>
        <item m="1" x="949"/>
        <item m="1" x="682"/>
        <item m="1" x="833"/>
        <item m="1" x="609"/>
        <item m="1" x="758"/>
        <item m="1" x="653"/>
        <item m="1" x="895"/>
        <item m="1" x="958"/>
        <item m="1" x="592"/>
        <item m="1" x="950"/>
        <item m="1" x="602"/>
        <item m="1" x="910"/>
        <item m="1" x="837"/>
        <item m="1" x="677"/>
        <item m="1" x="729"/>
        <item m="1" x="881"/>
        <item m="1" x="741"/>
        <item m="1" x="598"/>
        <item m="1" x="847"/>
        <item m="1" x="773"/>
        <item m="1" x="763"/>
        <item m="1" x="684"/>
        <item m="1" x="985"/>
        <item m="1" x="707"/>
        <item m="1" x="987"/>
        <item m="1" x="715"/>
        <item m="1" x="751"/>
        <item m="1" x="919"/>
        <item m="1" x="614"/>
        <item m="1" x="661"/>
        <item m="1" x="823"/>
        <item m="1" x="727"/>
        <item m="1" x="730"/>
        <item m="1" x="720"/>
        <item m="1" x="879"/>
        <item m="1" x="621"/>
        <item m="1" x="620"/>
        <item m="1" x="583"/>
        <item m="1" x="581"/>
        <item m="1" x="775"/>
        <item m="1" x="627"/>
        <item m="1" x="737"/>
        <item m="1" x="836"/>
        <item m="1" x="695"/>
        <item m="1" x="622"/>
        <item m="1" x="783"/>
        <item m="1" x="779"/>
        <item m="1" x="607"/>
        <item m="1" x="599"/>
        <item m="1" x="940"/>
        <item m="1" x="742"/>
        <item m="1" x="709"/>
        <item m="1" x="700"/>
        <item m="1" x="908"/>
        <item m="1" x="969"/>
        <item m="1" x="853"/>
        <item m="1" x="632"/>
        <item m="1" x="754"/>
        <item m="1" x="674"/>
        <item m="1" x="665"/>
        <item m="1" x="584"/>
        <item m="1" x="801"/>
        <item m="1" x="641"/>
        <item m="1" x="970"/>
        <item m="1" x="586"/>
        <item m="1" x="702"/>
        <item m="1" x="644"/>
        <item m="1" x="954"/>
        <item m="1" x="721"/>
        <item m="1" x="629"/>
        <item m="1" x="907"/>
        <item m="1" x="659"/>
        <item m="1" x="793"/>
        <item m="1" x="955"/>
        <item m="1" x="795"/>
        <item m="1" x="841"/>
        <item m="1" x="973"/>
        <item m="1" x="656"/>
        <item m="1" x="931"/>
        <item m="1" x="882"/>
        <item m="1" x="886"/>
        <item m="1" x="642"/>
        <item m="1" x="630"/>
        <item m="1" x="764"/>
        <item m="1" x="626"/>
        <item m="1" x="798"/>
        <item m="1" x="921"/>
        <item m="1" x="639"/>
        <item m="1" x="988"/>
        <item m="1" x="725"/>
        <item m="1" x="807"/>
        <item m="1" x="685"/>
        <item m="1" x="945"/>
        <item m="1" x="804"/>
        <item m="1" x="770"/>
        <item m="1" x="864"/>
        <item m="1" x="828"/>
        <item m="1" x="902"/>
        <item m="1" x="788"/>
        <item m="1" x="778"/>
        <item m="1" x="980"/>
        <item m="1" x="986"/>
        <item m="1" x="901"/>
        <item m="1" x="963"/>
        <item m="1" x="637"/>
        <item m="1" x="809"/>
        <item m="1" x="785"/>
        <item m="1" x="877"/>
        <item m="1" x="880"/>
        <item m="1" x="894"/>
        <item m="1" x="732"/>
        <item m="1" x="913"/>
        <item m="1" x="687"/>
        <item m="1" x="658"/>
        <item m="1" x="903"/>
        <item m="1" x="868"/>
        <item m="1" x="799"/>
        <item m="1" x="855"/>
        <item m="1" x="762"/>
        <item m="1" x="784"/>
        <item m="1" x="672"/>
        <item m="1" x="885"/>
        <item m="1" x="814"/>
        <item m="1" x="866"/>
        <item m="1" x="676"/>
        <item m="1" x="712"/>
        <item m="1" x="791"/>
        <item m="1" x="857"/>
        <item m="1" x="900"/>
        <item m="1" x="863"/>
        <item m="1" x="957"/>
        <item m="1" x="942"/>
        <item m="1" x="811"/>
        <item m="1" x="872"/>
        <item m="1" x="834"/>
        <item m="1" x="664"/>
        <item m="1" x="585"/>
        <item m="1" x="615"/>
        <item m="1" x="922"/>
        <item m="1" x="790"/>
        <item m="1" x="914"/>
        <item m="1" x="600"/>
        <item m="1" x="935"/>
        <item m="1" x="678"/>
        <item m="1" x="765"/>
        <item m="1" x="943"/>
        <item m="1" x="657"/>
        <item m="1" x="892"/>
        <item m="1" x="883"/>
        <item m="1" x="693"/>
        <item m="1" x="705"/>
        <item m="1" x="752"/>
        <item m="1" x="966"/>
        <item m="1" x="733"/>
        <item m="1" x="806"/>
        <item m="1" x="936"/>
        <item m="1" x="587"/>
        <item m="1" x="669"/>
        <item m="1" x="601"/>
        <item m="1" x="679"/>
        <item m="1" x="718"/>
        <item m="1" x="735"/>
        <item m="1" x="722"/>
        <item m="1" x="959"/>
        <item m="1" x="651"/>
        <item m="1" x="689"/>
        <item m="1" x="618"/>
        <item m="1" x="906"/>
        <item m="1" x="849"/>
        <item m="1" x="616"/>
        <item m="1" x="628"/>
        <item m="1" x="891"/>
        <item m="1" x="810"/>
        <item m="1" x="865"/>
        <item m="1" x="612"/>
        <item m="1" x="714"/>
        <item m="1" x="947"/>
        <item m="1" x="756"/>
        <item m="1" x="782"/>
        <item m="1" x="944"/>
        <item m="1" x="767"/>
        <item m="1" x="854"/>
        <item m="1" x="941"/>
        <item m="1" x="848"/>
        <item m="1" x="670"/>
        <item m="1" x="871"/>
        <item m="1" x="978"/>
        <item m="1" x="911"/>
        <item m="1" x="787"/>
        <item m="1" x="699"/>
        <item m="1" x="899"/>
        <item m="1" x="625"/>
        <item m="1" x="608"/>
        <item m="1" x="595"/>
        <item m="1" x="636"/>
        <item m="1" x="964"/>
        <item m="1" x="631"/>
        <item m="1" x="708"/>
        <item m="1" x="786"/>
        <item m="1" x="766"/>
        <item m="1" x="731"/>
        <item m="1" x="846"/>
        <item m="1" x="887"/>
        <item m="1" x="974"/>
        <item m="1" x="703"/>
        <item m="1" x="813"/>
        <item m="1" x="588"/>
        <item m="1" x="827"/>
        <item m="1" x="819"/>
        <item m="1" x="977"/>
        <item m="1" x="597"/>
        <item m="1" x="874"/>
        <item m="1" x="772"/>
        <item m="1" x="975"/>
        <item m="1" x="989"/>
        <item m="1" x="755"/>
        <item m="1" x="923"/>
        <item m="1" x="777"/>
        <item m="1" x="920"/>
        <item m="1" x="960"/>
        <item m="1" x="723"/>
        <item m="1" x="734"/>
        <item m="1" x="842"/>
        <item m="1" x="924"/>
        <item m="1" x="739"/>
        <item m="1" x="640"/>
        <item m="1" x="896"/>
        <item m="1" x="835"/>
        <item m="1" x="934"/>
        <item m="1" x="961"/>
        <item m="1" x="745"/>
        <item m="1" x="647"/>
        <item m="1" x="624"/>
        <item m="1" x="844"/>
        <item m="1" x="611"/>
        <item m="1" x="859"/>
        <item m="1" x="915"/>
        <item m="1" x="769"/>
        <item m="1" x="850"/>
        <item m="1" x="654"/>
        <item m="1" x="851"/>
        <item m="1" x="932"/>
        <item m="1" x="776"/>
        <item m="1" x="701"/>
        <item m="1" x="861"/>
        <item m="1" x="820"/>
        <item m="1" x="876"/>
        <item m="1" x="812"/>
        <item m="1" x="645"/>
        <item m="1" x="617"/>
        <item m="1" x="668"/>
        <item m="1" x="884"/>
        <item m="1" x="688"/>
        <item m="1" x="805"/>
        <item m="1" x="829"/>
        <item m="1" x="747"/>
        <item m="1" x="660"/>
        <item m="1" x="822"/>
        <item m="1" x="856"/>
        <item m="1" x="738"/>
        <item m="1" x="623"/>
        <item m="1" x="927"/>
        <item m="1" x="736"/>
        <item m="1" x="796"/>
        <item m="1" x="938"/>
        <item m="1" x="800"/>
        <item m="1" x="717"/>
        <item m="1" x="648"/>
        <item m="1" x="832"/>
        <item m="1" x="933"/>
        <item m="1" x="697"/>
        <item m="1" x="655"/>
        <item m="1" x="983"/>
        <item m="1" x="953"/>
        <item m="1" x="815"/>
        <item m="1" x="666"/>
        <item m="1" x="606"/>
        <item m="1" x="789"/>
        <item m="1" x="771"/>
        <item m="1" x="704"/>
        <item m="1" x="740"/>
        <item m="1" x="928"/>
        <item m="1" x="926"/>
        <item m="1" x="817"/>
        <item m="1" x="633"/>
        <item m="1" x="808"/>
        <item m="1" x="596"/>
        <item x="176"/>
        <item x="566"/>
        <item x="26"/>
        <item x="394"/>
        <item x="293"/>
        <item m="1" x="904"/>
        <item x="37"/>
        <item m="1" x="698"/>
        <item m="1" x="971"/>
        <item x="453"/>
        <item x="338"/>
        <item x="197"/>
        <item x="436"/>
        <item m="1" x="671"/>
        <item x="252"/>
        <item x="520"/>
        <item x="291"/>
        <item x="517"/>
        <item x="484"/>
        <item m="1" x="692"/>
        <item x="575"/>
        <item m="1" x="593"/>
        <item x="29"/>
        <item x="108"/>
        <item x="183"/>
        <item x="171"/>
        <item m="1" x="652"/>
        <item x="312"/>
        <item x="54"/>
        <item x="553"/>
        <item x="35"/>
        <item x="431"/>
        <item x="228"/>
        <item x="234"/>
        <item m="1" x="662"/>
        <item x="131"/>
        <item x="279"/>
        <item x="158"/>
        <item x="168"/>
        <item x="166"/>
        <item m="1" x="675"/>
        <item x="346"/>
        <item x="396"/>
        <item x="74"/>
        <item m="1" x="824"/>
        <item x="416"/>
        <item x="506"/>
        <item m="1" x="748"/>
        <item x="25"/>
        <item x="473"/>
        <item m="1" x="686"/>
        <item x="404"/>
        <item x="407"/>
        <item x="417"/>
        <item x="28"/>
        <item x="72"/>
        <item m="1" x="897"/>
        <item x="307"/>
        <item x="242"/>
        <item x="86"/>
        <item x="61"/>
        <item m="1" x="780"/>
        <item x="285"/>
        <item x="289"/>
        <item x="177"/>
        <item x="471"/>
        <item x="85"/>
        <item x="383"/>
        <item x="330"/>
        <item x="433"/>
        <item x="275"/>
        <item x="474"/>
        <item x="159"/>
        <item x="60"/>
        <item x="39"/>
        <item m="1" x="826"/>
        <item x="188"/>
        <item x="538"/>
        <item x="201"/>
        <item x="45"/>
        <item m="1" x="713"/>
        <item m="1" x="852"/>
        <item x="442"/>
        <item m="1" x="746"/>
        <item x="531"/>
        <item x="238"/>
        <item m="1" x="594"/>
        <item x="121"/>
        <item x="562"/>
        <item x="152"/>
        <item x="295"/>
        <item x="494"/>
        <item x="75"/>
        <item x="115"/>
        <item x="378"/>
        <item x="151"/>
        <item x="77"/>
        <item x="355"/>
        <item x="76"/>
        <item x="449"/>
        <item m="1" x="768"/>
        <item x="199"/>
        <item m="1" x="634"/>
        <item x="326"/>
        <item x="266"/>
        <item x="318"/>
        <item m="1" x="604"/>
        <item m="1" x="984"/>
        <item x="516"/>
        <item x="375"/>
        <item x="567"/>
        <item x="331"/>
        <item x="82"/>
        <item x="351"/>
        <item m="1" x="929"/>
        <item x="348"/>
        <item x="425"/>
        <item x="352"/>
        <item x="393"/>
        <item x="292"/>
        <item x="544"/>
        <item x="256"/>
        <item x="554"/>
        <item m="1" x="916"/>
        <item x="298"/>
        <item m="1" x="982"/>
        <item x="409"/>
        <item x="236"/>
        <item x="412"/>
        <item x="267"/>
        <item x="34"/>
        <item m="1" x="979"/>
        <item x="138"/>
        <item m="1" x="925"/>
        <item x="505"/>
        <item m="1" x="860"/>
        <item x="126"/>
        <item x="112"/>
        <item x="340"/>
        <item x="303"/>
        <item x="156"/>
        <item x="55"/>
        <item x="62"/>
        <item m="1" x="711"/>
        <item x="535"/>
        <item x="525"/>
        <item x="343"/>
        <item m="1" x="930"/>
        <item m="1" x="774"/>
        <item m="1" x="761"/>
        <item x="70"/>
        <item m="1" x="724"/>
        <item x="191"/>
        <item x="58"/>
        <item x="466"/>
        <item x="297"/>
        <item x="333"/>
        <item x="548"/>
        <item x="527"/>
        <item x="550"/>
        <item x="51"/>
        <item x="52"/>
        <item x="504"/>
        <item x="572"/>
        <item x="568"/>
        <item x="14"/>
        <item m="1" x="839"/>
        <item x="196"/>
        <item x="89"/>
        <item x="311"/>
        <item m="1" x="939"/>
        <item x="97"/>
        <item x="249"/>
        <item x="496"/>
        <item x="47"/>
        <item x="359"/>
        <item m="1" x="968"/>
        <item x="276"/>
        <item x="165"/>
        <item x="519"/>
        <item x="441"/>
        <item x="559"/>
        <item m="1" x="792"/>
        <item x="73"/>
        <item m="1" x="580"/>
        <item m="1" x="821"/>
        <item x="475"/>
        <item x="15"/>
        <item x="200"/>
        <item x="259"/>
        <item x="534"/>
        <item m="1" x="749"/>
        <item m="1" x="794"/>
        <item x="106"/>
        <item x="226"/>
        <item x="59"/>
        <item x="206"/>
        <item x="246"/>
        <item x="174"/>
        <item x="78"/>
        <item m="1" x="694"/>
        <item m="1" x="726"/>
        <item m="1" x="937"/>
        <item m="1" x="753"/>
        <item x="258"/>
        <item x="5"/>
        <item x="485"/>
        <item x="314"/>
        <item x="455"/>
        <item x="3"/>
        <item m="1" x="838"/>
        <item x="368"/>
        <item x="192"/>
        <item x="421"/>
        <item x="148"/>
        <item x="272"/>
        <item m="1" x="757"/>
        <item m="1" x="845"/>
        <item m="1" x="582"/>
        <item m="1" x="972"/>
        <item m="1" x="976"/>
        <item m="1" x="681"/>
        <item m="1" x="716"/>
        <item m="1" x="744"/>
        <item m="1" x="967"/>
        <item m="1" x="683"/>
        <item m="1" x="858"/>
        <item m="1" x="743"/>
        <item m="1" x="918"/>
        <item m="1" x="643"/>
        <item m="1" x="917"/>
        <item f="1" x="991"/>
        <item f="1" x="992"/>
        <item f="1" x="993"/>
        <item f="1" x="994"/>
        <item x="0"/>
        <item x="1"/>
        <item x="2"/>
        <item x="4"/>
        <item x="6"/>
        <item x="7"/>
        <item x="8"/>
        <item x="9"/>
        <item x="10"/>
        <item x="11"/>
        <item x="12"/>
        <item x="13"/>
        <item x="16"/>
        <item x="17"/>
        <item x="18"/>
        <item x="19"/>
        <item x="20"/>
        <item x="21"/>
        <item x="22"/>
        <item x="23"/>
        <item x="24"/>
        <item x="27"/>
        <item x="30"/>
        <item x="31"/>
        <item x="32"/>
        <item x="33"/>
        <item x="36"/>
        <item x="38"/>
        <item x="40"/>
        <item x="41"/>
        <item x="42"/>
        <item x="43"/>
        <item x="44"/>
        <item x="46"/>
        <item x="48"/>
        <item x="49"/>
        <item x="50"/>
        <item x="53"/>
        <item x="56"/>
        <item x="57"/>
        <item x="63"/>
        <item x="64"/>
        <item x="65"/>
        <item x="66"/>
        <item x="67"/>
        <item x="68"/>
        <item x="69"/>
        <item x="71"/>
        <item x="79"/>
        <item x="80"/>
        <item x="81"/>
        <item x="83"/>
        <item x="84"/>
        <item x="87"/>
        <item x="88"/>
        <item x="90"/>
        <item x="91"/>
        <item x="92"/>
        <item x="93"/>
        <item x="94"/>
        <item x="95"/>
        <item x="96"/>
        <item x="98"/>
        <item x="99"/>
        <item x="100"/>
        <item x="101"/>
        <item x="102"/>
        <item x="103"/>
        <item x="104"/>
        <item x="105"/>
        <item x="107"/>
        <item x="109"/>
        <item x="110"/>
        <item x="111"/>
        <item x="113"/>
        <item x="114"/>
        <item x="116"/>
        <item x="117"/>
        <item x="118"/>
        <item x="119"/>
        <item x="120"/>
        <item x="122"/>
        <item x="123"/>
        <item x="124"/>
        <item x="125"/>
        <item x="127"/>
        <item x="128"/>
        <item x="129"/>
        <item x="130"/>
        <item x="132"/>
        <item x="133"/>
        <item x="134"/>
        <item x="135"/>
        <item x="136"/>
        <item x="137"/>
        <item x="139"/>
        <item x="140"/>
        <item x="141"/>
        <item x="142"/>
        <item x="143"/>
        <item x="144"/>
        <item x="145"/>
        <item x="146"/>
        <item x="147"/>
        <item x="149"/>
        <item x="150"/>
        <item x="153"/>
        <item x="154"/>
        <item x="155"/>
        <item x="157"/>
        <item x="160"/>
        <item x="161"/>
        <item x="162"/>
        <item x="163"/>
        <item x="164"/>
        <item x="167"/>
        <item x="169"/>
        <item x="170"/>
        <item x="172"/>
        <item x="173"/>
        <item x="175"/>
        <item x="178"/>
        <item x="179"/>
        <item x="180"/>
        <item x="181"/>
        <item x="182"/>
        <item x="184"/>
        <item x="185"/>
        <item x="186"/>
        <item x="187"/>
        <item x="189"/>
        <item x="190"/>
        <item x="193"/>
        <item x="194"/>
        <item x="195"/>
        <item x="198"/>
        <item x="202"/>
        <item x="203"/>
        <item x="204"/>
        <item x="205"/>
        <item x="207"/>
        <item x="208"/>
        <item x="209"/>
        <item x="210"/>
        <item x="211"/>
        <item x="212"/>
        <item x="213"/>
        <item x="214"/>
        <item x="215"/>
        <item x="216"/>
        <item x="217"/>
        <item x="218"/>
        <item x="219"/>
        <item x="220"/>
        <item x="221"/>
        <item x="222"/>
        <item x="223"/>
        <item x="224"/>
        <item x="225"/>
        <item x="227"/>
        <item x="229"/>
        <item x="230"/>
        <item x="231"/>
        <item x="232"/>
        <item x="233"/>
        <item x="235"/>
        <item x="237"/>
        <item x="239"/>
        <item x="240"/>
        <item x="241"/>
        <item x="243"/>
        <item x="244"/>
        <item x="245"/>
        <item x="247"/>
        <item x="248"/>
        <item x="250"/>
        <item x="251"/>
        <item x="253"/>
        <item x="254"/>
        <item x="255"/>
        <item x="257"/>
        <item x="260"/>
        <item x="261"/>
        <item x="262"/>
        <item x="263"/>
        <item x="264"/>
        <item x="265"/>
        <item x="268"/>
        <item x="269"/>
        <item x="270"/>
        <item x="271"/>
        <item x="273"/>
        <item x="274"/>
        <item x="277"/>
        <item x="278"/>
        <item x="280"/>
        <item x="281"/>
        <item x="282"/>
        <item x="283"/>
        <item x="284"/>
        <item x="286"/>
        <item x="287"/>
        <item x="288"/>
        <item x="290"/>
        <item x="294"/>
        <item x="296"/>
        <item x="299"/>
        <item x="300"/>
        <item x="301"/>
        <item x="302"/>
        <item x="304"/>
        <item x="305"/>
        <item x="306"/>
        <item x="308"/>
        <item x="309"/>
        <item x="310"/>
        <item x="313"/>
        <item x="315"/>
        <item x="316"/>
        <item x="317"/>
        <item x="319"/>
        <item x="320"/>
        <item x="321"/>
        <item x="322"/>
        <item x="323"/>
        <item x="324"/>
        <item x="325"/>
        <item x="327"/>
        <item x="328"/>
        <item x="329"/>
        <item x="332"/>
        <item x="334"/>
        <item x="335"/>
        <item x="336"/>
        <item x="337"/>
        <item x="339"/>
        <item x="341"/>
        <item x="342"/>
        <item x="344"/>
        <item x="345"/>
        <item x="347"/>
        <item x="349"/>
        <item x="350"/>
        <item x="353"/>
        <item x="354"/>
        <item x="356"/>
        <item x="357"/>
        <item x="358"/>
        <item x="360"/>
        <item x="361"/>
        <item x="362"/>
        <item x="363"/>
        <item x="364"/>
        <item x="365"/>
        <item x="366"/>
        <item x="367"/>
        <item x="369"/>
        <item x="370"/>
        <item x="371"/>
        <item x="372"/>
        <item x="373"/>
        <item x="374"/>
        <item x="376"/>
        <item x="377"/>
        <item x="379"/>
        <item x="380"/>
        <item x="381"/>
        <item x="382"/>
        <item x="384"/>
        <item x="385"/>
        <item x="386"/>
        <item x="387"/>
        <item x="388"/>
        <item x="389"/>
        <item x="390"/>
        <item x="391"/>
        <item x="392"/>
        <item x="395"/>
        <item x="397"/>
        <item x="398"/>
        <item x="399"/>
        <item x="400"/>
        <item x="401"/>
        <item x="402"/>
        <item x="403"/>
        <item x="405"/>
        <item x="406"/>
        <item x="408"/>
        <item x="410"/>
        <item x="411"/>
        <item x="413"/>
        <item x="414"/>
        <item x="415"/>
        <item x="418"/>
        <item x="419"/>
        <item x="420"/>
        <item x="422"/>
        <item x="423"/>
        <item x="424"/>
        <item x="426"/>
        <item x="427"/>
        <item x="428"/>
        <item x="429"/>
        <item x="430"/>
        <item x="432"/>
        <item x="434"/>
        <item x="435"/>
        <item x="437"/>
        <item x="438"/>
        <item x="439"/>
        <item x="440"/>
        <item x="443"/>
        <item x="444"/>
        <item x="445"/>
        <item x="446"/>
        <item x="447"/>
        <item x="448"/>
        <item x="450"/>
        <item x="451"/>
        <item x="452"/>
        <item x="454"/>
        <item x="456"/>
        <item x="457"/>
        <item x="458"/>
        <item x="459"/>
        <item x="460"/>
        <item x="461"/>
        <item x="462"/>
        <item x="463"/>
        <item x="464"/>
        <item x="465"/>
        <item x="467"/>
        <item x="468"/>
        <item x="469"/>
        <item x="470"/>
        <item x="472"/>
        <item x="476"/>
        <item x="477"/>
        <item x="478"/>
        <item x="479"/>
        <item x="480"/>
        <item x="481"/>
        <item x="482"/>
        <item x="483"/>
        <item x="486"/>
        <item x="487"/>
        <item x="488"/>
        <item x="489"/>
        <item x="490"/>
        <item x="491"/>
        <item x="492"/>
        <item x="493"/>
        <item x="495"/>
        <item x="497"/>
        <item x="498"/>
        <item x="499"/>
        <item x="500"/>
        <item x="501"/>
        <item x="502"/>
        <item x="503"/>
        <item x="507"/>
        <item x="508"/>
        <item x="509"/>
        <item x="510"/>
        <item x="511"/>
        <item x="512"/>
        <item x="513"/>
        <item x="514"/>
        <item x="515"/>
        <item x="518"/>
        <item x="521"/>
        <item x="522"/>
        <item x="523"/>
        <item x="524"/>
        <item x="526"/>
        <item x="528"/>
        <item x="529"/>
        <item x="530"/>
        <item x="532"/>
        <item x="533"/>
        <item x="536"/>
        <item x="537"/>
        <item x="539"/>
        <item x="540"/>
        <item x="541"/>
        <item x="542"/>
        <item x="543"/>
        <item x="545"/>
        <item x="546"/>
        <item x="547"/>
        <item x="549"/>
        <item x="551"/>
        <item x="552"/>
        <item x="555"/>
        <item x="556"/>
        <item x="557"/>
        <item x="558"/>
        <item x="560"/>
        <item x="561"/>
        <item x="563"/>
        <item x="564"/>
        <item x="565"/>
        <item x="569"/>
        <item x="570"/>
        <item x="571"/>
        <item x="573"/>
        <item x="574"/>
        <item x="576"/>
        <item x="577"/>
        <item x="578"/>
        <item x="579"/>
        <item t="default"/>
      </items>
    </pivotField>
    <pivotField showAll="0"/>
    <pivotField dataField="1" numFmtId="164" showAll="0"/>
    <pivotField showAll="0"/>
    <pivotField showAll="0"/>
    <pivotField showAll="0"/>
    <pivotField showAll="0">
      <items count="4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s>
  <rowFields count="1">
    <field x="2"/>
  </rowFields>
  <rowItems count="3">
    <i>
      <x/>
    </i>
    <i>
      <x v="1"/>
    </i>
    <i t="grand">
      <x/>
    </i>
  </rowItems>
  <colItems count="1">
    <i/>
  </colItems>
  <dataFields count="1">
    <dataField name="Sum of Revenue" fld="10" baseField="0" baseItem="0" numFmtId="165"/>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23AFEC-7FE0-4799-A521-CA447D9F44D4}"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Gender">
  <location ref="A3:B6" firstHeaderRow="1" firstDataRow="1" firstDataCol="1"/>
  <pivotFields count="15">
    <pivotField dataField="1" showAll="0"/>
    <pivotField showAll="0"/>
    <pivotField axis="axisRow" showAll="0">
      <items count="3">
        <item x="0"/>
        <item x="1"/>
        <item t="default"/>
      </items>
    </pivotField>
    <pivotField showAll="0"/>
    <pivotField showAll="0"/>
    <pivotField showAll="0"/>
    <pivotField showAll="0"/>
    <pivotField showAll="0"/>
    <pivotField showAll="0">
      <items count="996">
        <item m="1" x="759"/>
        <item m="1" x="981"/>
        <item m="1" x="646"/>
        <item m="1" x="650"/>
        <item m="1" x="802"/>
        <item m="1" x="706"/>
        <item m="1" x="905"/>
        <item m="1" x="638"/>
        <item m="1" x="781"/>
        <item m="1" x="818"/>
        <item m="1" x="869"/>
        <item m="1" x="591"/>
        <item m="1" x="649"/>
        <item m="1" x="948"/>
        <item m="1" x="605"/>
        <item m="1" x="589"/>
        <item m="1" x="898"/>
        <item m="1" x="840"/>
        <item m="1" x="663"/>
        <item m="1" x="696"/>
        <item m="1" x="803"/>
        <item m="1" x="867"/>
        <item m="1" x="797"/>
        <item m="1" x="831"/>
        <item m="1" x="873"/>
        <item m="1" x="590"/>
        <item m="1" x="710"/>
        <item m="1" x="690"/>
        <item m="1" x="843"/>
        <item m="1" x="870"/>
        <item m="1" x="893"/>
        <item m="1" x="956"/>
        <item m="1" x="719"/>
        <item m="1" x="962"/>
        <item m="1" x="875"/>
        <item m="1" x="878"/>
        <item m="1" x="912"/>
        <item m="1" x="830"/>
        <item m="1" x="990"/>
        <item m="1" x="760"/>
        <item m="1" x="750"/>
        <item m="1" x="909"/>
        <item m="1" x="673"/>
        <item m="1" x="603"/>
        <item m="1" x="889"/>
        <item m="1" x="667"/>
        <item m="1" x="951"/>
        <item m="1" x="728"/>
        <item m="1" x="946"/>
        <item m="1" x="825"/>
        <item m="1" x="635"/>
        <item m="1" x="619"/>
        <item m="1" x="965"/>
        <item m="1" x="680"/>
        <item m="1" x="952"/>
        <item m="1" x="816"/>
        <item m="1" x="890"/>
        <item m="1" x="888"/>
        <item m="1" x="862"/>
        <item m="1" x="691"/>
        <item m="1" x="613"/>
        <item m="1" x="610"/>
        <item m="1" x="949"/>
        <item m="1" x="682"/>
        <item m="1" x="833"/>
        <item m="1" x="609"/>
        <item m="1" x="758"/>
        <item m="1" x="653"/>
        <item m="1" x="895"/>
        <item m="1" x="958"/>
        <item m="1" x="592"/>
        <item m="1" x="950"/>
        <item m="1" x="602"/>
        <item m="1" x="910"/>
        <item m="1" x="837"/>
        <item m="1" x="677"/>
        <item m="1" x="729"/>
        <item m="1" x="881"/>
        <item m="1" x="741"/>
        <item m="1" x="598"/>
        <item m="1" x="847"/>
        <item m="1" x="773"/>
        <item m="1" x="763"/>
        <item m="1" x="684"/>
        <item m="1" x="985"/>
        <item m="1" x="707"/>
        <item m="1" x="987"/>
        <item m="1" x="715"/>
        <item m="1" x="751"/>
        <item m="1" x="919"/>
        <item m="1" x="614"/>
        <item m="1" x="661"/>
        <item m="1" x="823"/>
        <item m="1" x="727"/>
        <item m="1" x="730"/>
        <item m="1" x="720"/>
        <item m="1" x="879"/>
        <item m="1" x="621"/>
        <item m="1" x="620"/>
        <item m="1" x="583"/>
        <item m="1" x="581"/>
        <item m="1" x="775"/>
        <item m="1" x="627"/>
        <item m="1" x="737"/>
        <item m="1" x="836"/>
        <item m="1" x="695"/>
        <item m="1" x="622"/>
        <item m="1" x="783"/>
        <item m="1" x="779"/>
        <item m="1" x="607"/>
        <item m="1" x="599"/>
        <item m="1" x="940"/>
        <item m="1" x="742"/>
        <item m="1" x="709"/>
        <item m="1" x="700"/>
        <item m="1" x="908"/>
        <item m="1" x="969"/>
        <item m="1" x="853"/>
        <item m="1" x="632"/>
        <item m="1" x="754"/>
        <item m="1" x="674"/>
        <item m="1" x="665"/>
        <item m="1" x="584"/>
        <item m="1" x="801"/>
        <item m="1" x="641"/>
        <item m="1" x="970"/>
        <item m="1" x="586"/>
        <item m="1" x="702"/>
        <item m="1" x="644"/>
        <item m="1" x="954"/>
        <item m="1" x="721"/>
        <item m="1" x="629"/>
        <item m="1" x="907"/>
        <item m="1" x="659"/>
        <item m="1" x="793"/>
        <item m="1" x="955"/>
        <item m="1" x="795"/>
        <item m="1" x="841"/>
        <item m="1" x="973"/>
        <item m="1" x="656"/>
        <item m="1" x="931"/>
        <item m="1" x="882"/>
        <item m="1" x="886"/>
        <item m="1" x="642"/>
        <item m="1" x="630"/>
        <item m="1" x="764"/>
        <item m="1" x="626"/>
        <item m="1" x="798"/>
        <item m="1" x="921"/>
        <item m="1" x="639"/>
        <item m="1" x="988"/>
        <item m="1" x="725"/>
        <item m="1" x="807"/>
        <item m="1" x="685"/>
        <item m="1" x="945"/>
        <item m="1" x="804"/>
        <item m="1" x="770"/>
        <item m="1" x="864"/>
        <item m="1" x="828"/>
        <item m="1" x="902"/>
        <item m="1" x="788"/>
        <item m="1" x="778"/>
        <item m="1" x="980"/>
        <item m="1" x="986"/>
        <item m="1" x="901"/>
        <item m="1" x="963"/>
        <item m="1" x="637"/>
        <item m="1" x="809"/>
        <item m="1" x="785"/>
        <item m="1" x="877"/>
        <item m="1" x="880"/>
        <item m="1" x="894"/>
        <item m="1" x="732"/>
        <item m="1" x="913"/>
        <item m="1" x="687"/>
        <item m="1" x="658"/>
        <item m="1" x="903"/>
        <item m="1" x="868"/>
        <item m="1" x="799"/>
        <item m="1" x="855"/>
        <item m="1" x="762"/>
        <item m="1" x="784"/>
        <item m="1" x="672"/>
        <item m="1" x="885"/>
        <item m="1" x="814"/>
        <item m="1" x="866"/>
        <item m="1" x="676"/>
        <item m="1" x="712"/>
        <item m="1" x="791"/>
        <item m="1" x="857"/>
        <item m="1" x="900"/>
        <item m="1" x="863"/>
        <item m="1" x="957"/>
        <item m="1" x="942"/>
        <item m="1" x="811"/>
        <item m="1" x="872"/>
        <item m="1" x="834"/>
        <item m="1" x="664"/>
        <item m="1" x="585"/>
        <item m="1" x="615"/>
        <item m="1" x="922"/>
        <item m="1" x="790"/>
        <item m="1" x="914"/>
        <item m="1" x="600"/>
        <item m="1" x="935"/>
        <item m="1" x="678"/>
        <item m="1" x="765"/>
        <item m="1" x="943"/>
        <item m="1" x="657"/>
        <item m="1" x="892"/>
        <item m="1" x="883"/>
        <item m="1" x="693"/>
        <item m="1" x="705"/>
        <item m="1" x="752"/>
        <item m="1" x="966"/>
        <item m="1" x="733"/>
        <item m="1" x="806"/>
        <item m="1" x="936"/>
        <item m="1" x="587"/>
        <item m="1" x="669"/>
        <item m="1" x="601"/>
        <item m="1" x="679"/>
        <item m="1" x="718"/>
        <item m="1" x="735"/>
        <item m="1" x="722"/>
        <item m="1" x="959"/>
        <item m="1" x="651"/>
        <item m="1" x="689"/>
        <item m="1" x="618"/>
        <item m="1" x="906"/>
        <item m="1" x="849"/>
        <item m="1" x="616"/>
        <item m="1" x="628"/>
        <item m="1" x="891"/>
        <item m="1" x="810"/>
        <item m="1" x="865"/>
        <item m="1" x="612"/>
        <item m="1" x="714"/>
        <item m="1" x="947"/>
        <item m="1" x="756"/>
        <item m="1" x="782"/>
        <item m="1" x="944"/>
        <item m="1" x="767"/>
        <item m="1" x="854"/>
        <item m="1" x="941"/>
        <item m="1" x="848"/>
        <item m="1" x="670"/>
        <item m="1" x="871"/>
        <item m="1" x="978"/>
        <item m="1" x="911"/>
        <item m="1" x="787"/>
        <item m="1" x="699"/>
        <item m="1" x="899"/>
        <item m="1" x="625"/>
        <item m="1" x="608"/>
        <item m="1" x="595"/>
        <item m="1" x="636"/>
        <item m="1" x="964"/>
        <item m="1" x="631"/>
        <item m="1" x="708"/>
        <item m="1" x="786"/>
        <item m="1" x="766"/>
        <item m="1" x="731"/>
        <item m="1" x="846"/>
        <item m="1" x="887"/>
        <item m="1" x="974"/>
        <item m="1" x="703"/>
        <item m="1" x="813"/>
        <item m="1" x="588"/>
        <item m="1" x="827"/>
        <item m="1" x="819"/>
        <item m="1" x="977"/>
        <item m="1" x="597"/>
        <item m="1" x="874"/>
        <item m="1" x="772"/>
        <item m="1" x="975"/>
        <item m="1" x="989"/>
        <item m="1" x="755"/>
        <item m="1" x="923"/>
        <item m="1" x="777"/>
        <item m="1" x="920"/>
        <item m="1" x="960"/>
        <item m="1" x="723"/>
        <item m="1" x="734"/>
        <item m="1" x="842"/>
        <item m="1" x="924"/>
        <item m="1" x="739"/>
        <item m="1" x="640"/>
        <item m="1" x="896"/>
        <item m="1" x="835"/>
        <item m="1" x="934"/>
        <item m="1" x="961"/>
        <item m="1" x="745"/>
        <item m="1" x="647"/>
        <item m="1" x="624"/>
        <item m="1" x="844"/>
        <item m="1" x="611"/>
        <item m="1" x="859"/>
        <item m="1" x="915"/>
        <item m="1" x="769"/>
        <item m="1" x="850"/>
        <item m="1" x="654"/>
        <item m="1" x="851"/>
        <item m="1" x="932"/>
        <item m="1" x="776"/>
        <item m="1" x="701"/>
        <item m="1" x="861"/>
        <item m="1" x="820"/>
        <item m="1" x="876"/>
        <item m="1" x="812"/>
        <item m="1" x="645"/>
        <item m="1" x="617"/>
        <item m="1" x="668"/>
        <item m="1" x="884"/>
        <item m="1" x="688"/>
        <item m="1" x="805"/>
        <item m="1" x="829"/>
        <item m="1" x="747"/>
        <item m="1" x="660"/>
        <item m="1" x="822"/>
        <item m="1" x="856"/>
        <item m="1" x="738"/>
        <item m="1" x="623"/>
        <item m="1" x="927"/>
        <item m="1" x="736"/>
        <item m="1" x="796"/>
        <item m="1" x="938"/>
        <item m="1" x="800"/>
        <item m="1" x="717"/>
        <item m="1" x="648"/>
        <item m="1" x="832"/>
        <item m="1" x="933"/>
        <item m="1" x="697"/>
        <item m="1" x="655"/>
        <item m="1" x="983"/>
        <item m="1" x="953"/>
        <item m="1" x="815"/>
        <item m="1" x="666"/>
        <item m="1" x="606"/>
        <item m="1" x="789"/>
        <item m="1" x="771"/>
        <item m="1" x="704"/>
        <item m="1" x="740"/>
        <item m="1" x="928"/>
        <item m="1" x="926"/>
        <item m="1" x="817"/>
        <item m="1" x="633"/>
        <item m="1" x="808"/>
        <item m="1" x="596"/>
        <item x="176"/>
        <item x="566"/>
        <item x="26"/>
        <item x="394"/>
        <item x="293"/>
        <item m="1" x="904"/>
        <item x="37"/>
        <item m="1" x="698"/>
        <item m="1" x="971"/>
        <item x="453"/>
        <item x="338"/>
        <item x="197"/>
        <item x="436"/>
        <item m="1" x="671"/>
        <item x="252"/>
        <item x="520"/>
        <item x="291"/>
        <item x="517"/>
        <item x="484"/>
        <item m="1" x="692"/>
        <item x="575"/>
        <item m="1" x="593"/>
        <item x="29"/>
        <item x="108"/>
        <item x="183"/>
        <item x="171"/>
        <item m="1" x="652"/>
        <item x="312"/>
        <item x="54"/>
        <item x="553"/>
        <item x="35"/>
        <item x="431"/>
        <item x="228"/>
        <item x="234"/>
        <item m="1" x="662"/>
        <item x="131"/>
        <item x="279"/>
        <item x="158"/>
        <item x="168"/>
        <item x="166"/>
        <item m="1" x="675"/>
        <item x="346"/>
        <item x="396"/>
        <item x="74"/>
        <item m="1" x="824"/>
        <item x="416"/>
        <item x="506"/>
        <item m="1" x="748"/>
        <item x="25"/>
        <item x="473"/>
        <item m="1" x="686"/>
        <item x="404"/>
        <item x="407"/>
        <item x="417"/>
        <item x="28"/>
        <item x="72"/>
        <item m="1" x="897"/>
        <item x="307"/>
        <item x="242"/>
        <item x="86"/>
        <item x="61"/>
        <item m="1" x="780"/>
        <item x="285"/>
        <item x="289"/>
        <item x="177"/>
        <item x="471"/>
        <item x="85"/>
        <item x="383"/>
        <item x="330"/>
        <item x="433"/>
        <item x="275"/>
        <item x="474"/>
        <item x="159"/>
        <item x="60"/>
        <item x="39"/>
        <item m="1" x="826"/>
        <item x="188"/>
        <item x="538"/>
        <item x="201"/>
        <item x="45"/>
        <item m="1" x="713"/>
        <item m="1" x="852"/>
        <item x="442"/>
        <item m="1" x="746"/>
        <item x="531"/>
        <item x="238"/>
        <item m="1" x="594"/>
        <item x="121"/>
        <item x="562"/>
        <item x="152"/>
        <item x="295"/>
        <item x="494"/>
        <item x="75"/>
        <item x="115"/>
        <item x="378"/>
        <item x="151"/>
        <item x="77"/>
        <item x="355"/>
        <item x="76"/>
        <item x="449"/>
        <item m="1" x="768"/>
        <item x="199"/>
        <item m="1" x="634"/>
        <item x="326"/>
        <item x="266"/>
        <item x="318"/>
        <item m="1" x="604"/>
        <item m="1" x="984"/>
        <item x="516"/>
        <item x="375"/>
        <item x="567"/>
        <item x="331"/>
        <item x="82"/>
        <item x="351"/>
        <item m="1" x="929"/>
        <item x="348"/>
        <item x="425"/>
        <item x="352"/>
        <item x="393"/>
        <item x="292"/>
        <item x="544"/>
        <item x="256"/>
        <item x="554"/>
        <item m="1" x="916"/>
        <item x="298"/>
        <item m="1" x="982"/>
        <item x="409"/>
        <item x="236"/>
        <item x="412"/>
        <item x="267"/>
        <item x="34"/>
        <item m="1" x="979"/>
        <item x="138"/>
        <item m="1" x="925"/>
        <item x="505"/>
        <item m="1" x="860"/>
        <item x="126"/>
        <item x="112"/>
        <item x="340"/>
        <item x="303"/>
        <item x="156"/>
        <item x="55"/>
        <item x="62"/>
        <item m="1" x="711"/>
        <item x="535"/>
        <item x="525"/>
        <item x="343"/>
        <item m="1" x="930"/>
        <item m="1" x="774"/>
        <item m="1" x="761"/>
        <item x="70"/>
        <item m="1" x="724"/>
        <item x="191"/>
        <item x="58"/>
        <item x="466"/>
        <item x="297"/>
        <item x="333"/>
        <item x="548"/>
        <item x="527"/>
        <item x="550"/>
        <item x="51"/>
        <item x="52"/>
        <item x="504"/>
        <item x="572"/>
        <item x="568"/>
        <item x="14"/>
        <item m="1" x="839"/>
        <item x="196"/>
        <item x="89"/>
        <item x="311"/>
        <item m="1" x="939"/>
        <item x="97"/>
        <item x="249"/>
        <item x="496"/>
        <item x="47"/>
        <item x="359"/>
        <item m="1" x="968"/>
        <item x="276"/>
        <item x="165"/>
        <item x="519"/>
        <item x="441"/>
        <item x="559"/>
        <item m="1" x="792"/>
        <item x="73"/>
        <item m="1" x="580"/>
        <item m="1" x="821"/>
        <item x="475"/>
        <item x="15"/>
        <item x="200"/>
        <item x="259"/>
        <item x="534"/>
        <item m="1" x="749"/>
        <item m="1" x="794"/>
        <item x="106"/>
        <item x="226"/>
        <item x="59"/>
        <item x="206"/>
        <item x="246"/>
        <item x="174"/>
        <item x="78"/>
        <item m="1" x="694"/>
        <item m="1" x="726"/>
        <item m="1" x="937"/>
        <item m="1" x="753"/>
        <item x="258"/>
        <item x="5"/>
        <item x="485"/>
        <item x="314"/>
        <item x="455"/>
        <item x="3"/>
        <item m="1" x="838"/>
        <item x="368"/>
        <item x="192"/>
        <item x="421"/>
        <item x="148"/>
        <item x="272"/>
        <item m="1" x="757"/>
        <item m="1" x="845"/>
        <item m="1" x="582"/>
        <item m="1" x="972"/>
        <item m="1" x="976"/>
        <item m="1" x="681"/>
        <item m="1" x="716"/>
        <item m="1" x="744"/>
        <item m="1" x="967"/>
        <item m="1" x="683"/>
        <item m="1" x="858"/>
        <item m="1" x="743"/>
        <item m="1" x="918"/>
        <item m="1" x="643"/>
        <item m="1" x="917"/>
        <item f="1" x="991"/>
        <item f="1" x="992"/>
        <item f="1" x="993"/>
        <item f="1" x="994"/>
        <item x="0"/>
        <item x="1"/>
        <item x="2"/>
        <item x="4"/>
        <item x="6"/>
        <item x="7"/>
        <item x="8"/>
        <item x="9"/>
        <item x="10"/>
        <item x="11"/>
        <item x="12"/>
        <item x="13"/>
        <item x="16"/>
        <item x="17"/>
        <item x="18"/>
        <item x="19"/>
        <item x="20"/>
        <item x="21"/>
        <item x="22"/>
        <item x="23"/>
        <item x="24"/>
        <item x="27"/>
        <item x="30"/>
        <item x="31"/>
        <item x="32"/>
        <item x="33"/>
        <item x="36"/>
        <item x="38"/>
        <item x="40"/>
        <item x="41"/>
        <item x="42"/>
        <item x="43"/>
        <item x="44"/>
        <item x="46"/>
        <item x="48"/>
        <item x="49"/>
        <item x="50"/>
        <item x="53"/>
        <item x="56"/>
        <item x="57"/>
        <item x="63"/>
        <item x="64"/>
        <item x="65"/>
        <item x="66"/>
        <item x="67"/>
        <item x="68"/>
        <item x="69"/>
        <item x="71"/>
        <item x="79"/>
        <item x="80"/>
        <item x="81"/>
        <item x="83"/>
        <item x="84"/>
        <item x="87"/>
        <item x="88"/>
        <item x="90"/>
        <item x="91"/>
        <item x="92"/>
        <item x="93"/>
        <item x="94"/>
        <item x="95"/>
        <item x="96"/>
        <item x="98"/>
        <item x="99"/>
        <item x="100"/>
        <item x="101"/>
        <item x="102"/>
        <item x="103"/>
        <item x="104"/>
        <item x="105"/>
        <item x="107"/>
        <item x="109"/>
        <item x="110"/>
        <item x="111"/>
        <item x="113"/>
        <item x="114"/>
        <item x="116"/>
        <item x="117"/>
        <item x="118"/>
        <item x="119"/>
        <item x="120"/>
        <item x="122"/>
        <item x="123"/>
        <item x="124"/>
        <item x="125"/>
        <item x="127"/>
        <item x="128"/>
        <item x="129"/>
        <item x="130"/>
        <item x="132"/>
        <item x="133"/>
        <item x="134"/>
        <item x="135"/>
        <item x="136"/>
        <item x="137"/>
        <item x="139"/>
        <item x="140"/>
        <item x="141"/>
        <item x="142"/>
        <item x="143"/>
        <item x="144"/>
        <item x="145"/>
        <item x="146"/>
        <item x="147"/>
        <item x="149"/>
        <item x="150"/>
        <item x="153"/>
        <item x="154"/>
        <item x="155"/>
        <item x="157"/>
        <item x="160"/>
        <item x="161"/>
        <item x="162"/>
        <item x="163"/>
        <item x="164"/>
        <item x="167"/>
        <item x="169"/>
        <item x="170"/>
        <item x="172"/>
        <item x="173"/>
        <item x="175"/>
        <item x="178"/>
        <item x="179"/>
        <item x="180"/>
        <item x="181"/>
        <item x="182"/>
        <item x="184"/>
        <item x="185"/>
        <item x="186"/>
        <item x="187"/>
        <item x="189"/>
        <item x="190"/>
        <item x="193"/>
        <item x="194"/>
        <item x="195"/>
        <item x="198"/>
        <item x="202"/>
        <item x="203"/>
        <item x="204"/>
        <item x="205"/>
        <item x="207"/>
        <item x="208"/>
        <item x="209"/>
        <item x="210"/>
        <item x="211"/>
        <item x="212"/>
        <item x="213"/>
        <item x="214"/>
        <item x="215"/>
        <item x="216"/>
        <item x="217"/>
        <item x="218"/>
        <item x="219"/>
        <item x="220"/>
        <item x="221"/>
        <item x="222"/>
        <item x="223"/>
        <item x="224"/>
        <item x="225"/>
        <item x="227"/>
        <item x="229"/>
        <item x="230"/>
        <item x="231"/>
        <item x="232"/>
        <item x="233"/>
        <item x="235"/>
        <item x="237"/>
        <item x="239"/>
        <item x="240"/>
        <item x="241"/>
        <item x="243"/>
        <item x="244"/>
        <item x="245"/>
        <item x="247"/>
        <item x="248"/>
        <item x="250"/>
        <item x="251"/>
        <item x="253"/>
        <item x="254"/>
        <item x="255"/>
        <item x="257"/>
        <item x="260"/>
        <item x="261"/>
        <item x="262"/>
        <item x="263"/>
        <item x="264"/>
        <item x="265"/>
        <item x="268"/>
        <item x="269"/>
        <item x="270"/>
        <item x="271"/>
        <item x="273"/>
        <item x="274"/>
        <item x="277"/>
        <item x="278"/>
        <item x="280"/>
        <item x="281"/>
        <item x="282"/>
        <item x="283"/>
        <item x="284"/>
        <item x="286"/>
        <item x="287"/>
        <item x="288"/>
        <item x="290"/>
        <item x="294"/>
        <item x="296"/>
        <item x="299"/>
        <item x="300"/>
        <item x="301"/>
        <item x="302"/>
        <item x="304"/>
        <item x="305"/>
        <item x="306"/>
        <item x="308"/>
        <item x="309"/>
        <item x="310"/>
        <item x="313"/>
        <item x="315"/>
        <item x="316"/>
        <item x="317"/>
        <item x="319"/>
        <item x="320"/>
        <item x="321"/>
        <item x="322"/>
        <item x="323"/>
        <item x="324"/>
        <item x="325"/>
        <item x="327"/>
        <item x="328"/>
        <item x="329"/>
        <item x="332"/>
        <item x="334"/>
        <item x="335"/>
        <item x="336"/>
        <item x="337"/>
        <item x="339"/>
        <item x="341"/>
        <item x="342"/>
        <item x="344"/>
        <item x="345"/>
        <item x="347"/>
        <item x="349"/>
        <item x="350"/>
        <item x="353"/>
        <item x="354"/>
        <item x="356"/>
        <item x="357"/>
        <item x="358"/>
        <item x="360"/>
        <item x="361"/>
        <item x="362"/>
        <item x="363"/>
        <item x="364"/>
        <item x="365"/>
        <item x="366"/>
        <item x="367"/>
        <item x="369"/>
        <item x="370"/>
        <item x="371"/>
        <item x="372"/>
        <item x="373"/>
        <item x="374"/>
        <item x="376"/>
        <item x="377"/>
        <item x="379"/>
        <item x="380"/>
        <item x="381"/>
        <item x="382"/>
        <item x="384"/>
        <item x="385"/>
        <item x="386"/>
        <item x="387"/>
        <item x="388"/>
        <item x="389"/>
        <item x="390"/>
        <item x="391"/>
        <item x="392"/>
        <item x="395"/>
        <item x="397"/>
        <item x="398"/>
        <item x="399"/>
        <item x="400"/>
        <item x="401"/>
        <item x="402"/>
        <item x="403"/>
        <item x="405"/>
        <item x="406"/>
        <item x="408"/>
        <item x="410"/>
        <item x="411"/>
        <item x="413"/>
        <item x="414"/>
        <item x="415"/>
        <item x="418"/>
        <item x="419"/>
        <item x="420"/>
        <item x="422"/>
        <item x="423"/>
        <item x="424"/>
        <item x="426"/>
        <item x="427"/>
        <item x="428"/>
        <item x="429"/>
        <item x="430"/>
        <item x="432"/>
        <item x="434"/>
        <item x="435"/>
        <item x="437"/>
        <item x="438"/>
        <item x="439"/>
        <item x="440"/>
        <item x="443"/>
        <item x="444"/>
        <item x="445"/>
        <item x="446"/>
        <item x="447"/>
        <item x="448"/>
        <item x="450"/>
        <item x="451"/>
        <item x="452"/>
        <item x="454"/>
        <item x="456"/>
        <item x="457"/>
        <item x="458"/>
        <item x="459"/>
        <item x="460"/>
        <item x="461"/>
        <item x="462"/>
        <item x="463"/>
        <item x="464"/>
        <item x="465"/>
        <item x="467"/>
        <item x="468"/>
        <item x="469"/>
        <item x="470"/>
        <item x="472"/>
        <item x="476"/>
        <item x="477"/>
        <item x="478"/>
        <item x="479"/>
        <item x="480"/>
        <item x="481"/>
        <item x="482"/>
        <item x="483"/>
        <item x="486"/>
        <item x="487"/>
        <item x="488"/>
        <item x="489"/>
        <item x="490"/>
        <item x="491"/>
        <item x="492"/>
        <item x="493"/>
        <item x="495"/>
        <item x="497"/>
        <item x="498"/>
        <item x="499"/>
        <item x="500"/>
        <item x="501"/>
        <item x="502"/>
        <item x="503"/>
        <item x="507"/>
        <item x="508"/>
        <item x="509"/>
        <item x="510"/>
        <item x="511"/>
        <item x="512"/>
        <item x="513"/>
        <item x="514"/>
        <item x="515"/>
        <item x="518"/>
        <item x="521"/>
        <item x="522"/>
        <item x="523"/>
        <item x="524"/>
        <item x="526"/>
        <item x="528"/>
        <item x="529"/>
        <item x="530"/>
        <item x="532"/>
        <item x="533"/>
        <item x="536"/>
        <item x="537"/>
        <item x="539"/>
        <item x="540"/>
        <item x="541"/>
        <item x="542"/>
        <item x="543"/>
        <item x="545"/>
        <item x="546"/>
        <item x="547"/>
        <item x="549"/>
        <item x="551"/>
        <item x="552"/>
        <item x="555"/>
        <item x="556"/>
        <item x="557"/>
        <item x="558"/>
        <item x="560"/>
        <item x="561"/>
        <item x="563"/>
        <item x="564"/>
        <item x="565"/>
        <item x="569"/>
        <item x="570"/>
        <item x="571"/>
        <item x="573"/>
        <item x="574"/>
        <item x="576"/>
        <item x="577"/>
        <item x="578"/>
        <item x="579"/>
        <item t="default"/>
      </items>
    </pivotField>
    <pivotField showAll="0"/>
    <pivotField numFmtId="164" showAll="0"/>
    <pivotField showAll="0"/>
    <pivotField showAll="0"/>
    <pivotField showAll="0"/>
    <pivotField showAll="0">
      <items count="4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s>
  <rowFields count="1">
    <field x="2"/>
  </rowFields>
  <rowItems count="3">
    <i>
      <x/>
    </i>
    <i>
      <x v="1"/>
    </i>
    <i t="grand">
      <x/>
    </i>
  </rowItems>
  <colItems count="1">
    <i/>
  </colItems>
  <dataFields count="1">
    <dataField name="Count of Invoice_no" fld="0" subtotal="count" baseField="0" baseItem="0"/>
  </dataFields>
  <chartFormats count="1">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CAF320-75AB-4C2B-8136-3E4E1ADB705D}"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rowHeaderCaption="Shopping Mall">
  <location ref="A30:B41" firstHeaderRow="1" firstDataRow="1" firstDataCol="1"/>
  <pivotFields count="15">
    <pivotField dataField="1" showAll="0">
      <items count="1001">
        <item x="707"/>
        <item x="708"/>
        <item x="320"/>
        <item x="709"/>
        <item x="0"/>
        <item x="1"/>
        <item x="2"/>
        <item x="710"/>
        <item x="711"/>
        <item x="518"/>
        <item x="321"/>
        <item x="3"/>
        <item x="144"/>
        <item x="519"/>
        <item x="520"/>
        <item x="145"/>
        <item x="712"/>
        <item x="521"/>
        <item x="522"/>
        <item x="713"/>
        <item x="322"/>
        <item x="714"/>
        <item x="715"/>
        <item x="146"/>
        <item x="716"/>
        <item x="717"/>
        <item x="718"/>
        <item x="523"/>
        <item x="323"/>
        <item x="324"/>
        <item x="524"/>
        <item x="525"/>
        <item x="526"/>
        <item x="719"/>
        <item x="147"/>
        <item x="325"/>
        <item x="4"/>
        <item x="326"/>
        <item x="527"/>
        <item x="327"/>
        <item x="5"/>
        <item x="6"/>
        <item x="528"/>
        <item x="720"/>
        <item x="721"/>
        <item x="328"/>
        <item x="148"/>
        <item x="722"/>
        <item x="149"/>
        <item x="329"/>
        <item x="723"/>
        <item x="330"/>
        <item x="150"/>
        <item x="151"/>
        <item x="724"/>
        <item x="331"/>
        <item x="725"/>
        <item x="152"/>
        <item x="153"/>
        <item x="726"/>
        <item x="154"/>
        <item x="7"/>
        <item x="727"/>
        <item x="529"/>
        <item x="155"/>
        <item x="8"/>
        <item x="728"/>
        <item x="729"/>
        <item x="332"/>
        <item x="156"/>
        <item x="157"/>
        <item x="333"/>
        <item x="158"/>
        <item x="530"/>
        <item x="334"/>
        <item x="730"/>
        <item x="335"/>
        <item x="159"/>
        <item x="731"/>
        <item x="9"/>
        <item x="336"/>
        <item x="337"/>
        <item x="338"/>
        <item x="339"/>
        <item x="732"/>
        <item x="340"/>
        <item x="733"/>
        <item x="341"/>
        <item x="531"/>
        <item x="734"/>
        <item x="160"/>
        <item x="532"/>
        <item x="10"/>
        <item x="11"/>
        <item x="161"/>
        <item x="533"/>
        <item x="12"/>
        <item x="13"/>
        <item x="735"/>
        <item x="14"/>
        <item x="534"/>
        <item x="736"/>
        <item x="162"/>
        <item x="737"/>
        <item x="163"/>
        <item x="342"/>
        <item x="15"/>
        <item x="738"/>
        <item x="739"/>
        <item x="740"/>
        <item x="741"/>
        <item x="164"/>
        <item x="343"/>
        <item x="742"/>
        <item x="16"/>
        <item x="743"/>
        <item x="17"/>
        <item x="18"/>
        <item x="165"/>
        <item x="535"/>
        <item x="536"/>
        <item x="744"/>
        <item x="745"/>
        <item x="746"/>
        <item x="747"/>
        <item x="344"/>
        <item x="19"/>
        <item x="166"/>
        <item x="537"/>
        <item x="748"/>
        <item x="167"/>
        <item x="749"/>
        <item x="750"/>
        <item x="345"/>
        <item x="346"/>
        <item x="751"/>
        <item x="538"/>
        <item x="539"/>
        <item x="752"/>
        <item x="168"/>
        <item x="540"/>
        <item x="541"/>
        <item x="753"/>
        <item x="169"/>
        <item x="347"/>
        <item x="170"/>
        <item x="20"/>
        <item x="348"/>
        <item x="754"/>
        <item x="21"/>
        <item x="349"/>
        <item x="542"/>
        <item x="350"/>
        <item x="755"/>
        <item x="171"/>
        <item x="172"/>
        <item x="351"/>
        <item x="543"/>
        <item x="544"/>
        <item x="22"/>
        <item x="756"/>
        <item x="757"/>
        <item x="545"/>
        <item x="758"/>
        <item x="546"/>
        <item x="23"/>
        <item x="173"/>
        <item x="759"/>
        <item x="24"/>
        <item x="352"/>
        <item x="547"/>
        <item x="174"/>
        <item x="353"/>
        <item x="548"/>
        <item x="760"/>
        <item x="761"/>
        <item x="354"/>
        <item x="762"/>
        <item x="25"/>
        <item x="549"/>
        <item x="550"/>
        <item x="355"/>
        <item x="175"/>
        <item x="356"/>
        <item x="176"/>
        <item x="177"/>
        <item x="357"/>
        <item x="26"/>
        <item x="27"/>
        <item x="763"/>
        <item x="764"/>
        <item x="765"/>
        <item x="358"/>
        <item x="766"/>
        <item x="767"/>
        <item x="768"/>
        <item x="28"/>
        <item x="29"/>
        <item x="178"/>
        <item x="551"/>
        <item x="769"/>
        <item x="770"/>
        <item x="771"/>
        <item x="359"/>
        <item x="772"/>
        <item x="773"/>
        <item x="30"/>
        <item x="552"/>
        <item x="179"/>
        <item x="553"/>
        <item x="180"/>
        <item x="774"/>
        <item x="31"/>
        <item x="775"/>
        <item x="776"/>
        <item x="360"/>
        <item x="777"/>
        <item x="554"/>
        <item x="181"/>
        <item x="361"/>
        <item x="778"/>
        <item x="779"/>
        <item x="182"/>
        <item x="780"/>
        <item x="183"/>
        <item x="781"/>
        <item x="362"/>
        <item x="782"/>
        <item x="363"/>
        <item x="184"/>
        <item x="364"/>
        <item x="783"/>
        <item x="365"/>
        <item x="32"/>
        <item x="366"/>
        <item x="784"/>
        <item x="555"/>
        <item x="367"/>
        <item x="185"/>
        <item x="368"/>
        <item x="369"/>
        <item x="33"/>
        <item x="370"/>
        <item x="785"/>
        <item x="556"/>
        <item x="557"/>
        <item x="186"/>
        <item x="34"/>
        <item x="558"/>
        <item x="371"/>
        <item x="559"/>
        <item x="560"/>
        <item x="786"/>
        <item x="35"/>
        <item x="36"/>
        <item x="372"/>
        <item x="787"/>
        <item x="788"/>
        <item x="373"/>
        <item x="187"/>
        <item x="789"/>
        <item x="37"/>
        <item x="374"/>
        <item x="790"/>
        <item x="791"/>
        <item x="375"/>
        <item x="561"/>
        <item x="38"/>
        <item x="39"/>
        <item x="792"/>
        <item x="188"/>
        <item x="376"/>
        <item x="793"/>
        <item x="562"/>
        <item x="563"/>
        <item x="189"/>
        <item x="794"/>
        <item x="377"/>
        <item x="564"/>
        <item x="378"/>
        <item x="379"/>
        <item x="565"/>
        <item x="566"/>
        <item x="40"/>
        <item x="380"/>
        <item x="190"/>
        <item x="381"/>
        <item x="382"/>
        <item x="383"/>
        <item x="795"/>
        <item x="191"/>
        <item x="41"/>
        <item x="384"/>
        <item x="42"/>
        <item x="192"/>
        <item x="43"/>
        <item x="385"/>
        <item x="44"/>
        <item x="193"/>
        <item x="567"/>
        <item x="194"/>
        <item x="386"/>
        <item x="796"/>
        <item x="387"/>
        <item x="388"/>
        <item x="568"/>
        <item x="797"/>
        <item x="569"/>
        <item x="389"/>
        <item x="195"/>
        <item x="798"/>
        <item x="570"/>
        <item x="196"/>
        <item x="45"/>
        <item x="197"/>
        <item x="799"/>
        <item x="390"/>
        <item x="198"/>
        <item x="46"/>
        <item x="800"/>
        <item x="801"/>
        <item x="391"/>
        <item x="199"/>
        <item x="200"/>
        <item x="571"/>
        <item x="47"/>
        <item x="201"/>
        <item x="392"/>
        <item x="202"/>
        <item x="48"/>
        <item x="802"/>
        <item x="803"/>
        <item x="393"/>
        <item x="572"/>
        <item x="49"/>
        <item x="804"/>
        <item x="203"/>
        <item x="573"/>
        <item x="204"/>
        <item x="394"/>
        <item x="395"/>
        <item x="574"/>
        <item x="805"/>
        <item x="205"/>
        <item x="575"/>
        <item x="50"/>
        <item x="806"/>
        <item x="576"/>
        <item x="51"/>
        <item x="577"/>
        <item x="206"/>
        <item x="207"/>
        <item x="208"/>
        <item x="807"/>
        <item x="808"/>
        <item x="809"/>
        <item x="209"/>
        <item x="396"/>
        <item x="810"/>
        <item x="210"/>
        <item x="211"/>
        <item x="397"/>
        <item x="811"/>
        <item x="812"/>
        <item x="813"/>
        <item x="814"/>
        <item x="815"/>
        <item x="578"/>
        <item x="398"/>
        <item x="52"/>
        <item x="399"/>
        <item x="579"/>
        <item x="816"/>
        <item x="53"/>
        <item x="817"/>
        <item x="212"/>
        <item x="400"/>
        <item x="54"/>
        <item x="818"/>
        <item x="580"/>
        <item x="819"/>
        <item x="581"/>
        <item x="401"/>
        <item x="582"/>
        <item x="583"/>
        <item x="584"/>
        <item x="402"/>
        <item x="213"/>
        <item x="403"/>
        <item x="404"/>
        <item x="820"/>
        <item x="405"/>
        <item x="55"/>
        <item x="585"/>
        <item x="821"/>
        <item x="56"/>
        <item x="406"/>
        <item x="214"/>
        <item x="57"/>
        <item x="215"/>
        <item x="586"/>
        <item x="587"/>
        <item x="588"/>
        <item x="589"/>
        <item x="822"/>
        <item x="823"/>
        <item x="590"/>
        <item x="216"/>
        <item x="58"/>
        <item x="824"/>
        <item x="407"/>
        <item x="408"/>
        <item x="409"/>
        <item x="410"/>
        <item x="59"/>
        <item x="591"/>
        <item x="825"/>
        <item x="826"/>
        <item x="60"/>
        <item x="592"/>
        <item x="827"/>
        <item x="217"/>
        <item x="411"/>
        <item x="828"/>
        <item x="61"/>
        <item x="218"/>
        <item x="219"/>
        <item x="62"/>
        <item x="829"/>
        <item x="63"/>
        <item x="593"/>
        <item x="594"/>
        <item x="595"/>
        <item x="830"/>
        <item x="64"/>
        <item x="596"/>
        <item x="412"/>
        <item x="220"/>
        <item x="221"/>
        <item x="222"/>
        <item x="597"/>
        <item x="65"/>
        <item x="223"/>
        <item x="598"/>
        <item x="831"/>
        <item x="599"/>
        <item x="832"/>
        <item x="413"/>
        <item x="414"/>
        <item x="600"/>
        <item x="66"/>
        <item x="415"/>
        <item x="601"/>
        <item x="602"/>
        <item x="603"/>
        <item x="833"/>
        <item x="224"/>
        <item x="604"/>
        <item x="834"/>
        <item x="605"/>
        <item x="606"/>
        <item x="607"/>
        <item x="835"/>
        <item x="416"/>
        <item x="417"/>
        <item x="225"/>
        <item x="608"/>
        <item x="836"/>
        <item x="67"/>
        <item x="837"/>
        <item x="68"/>
        <item x="838"/>
        <item x="418"/>
        <item x="839"/>
        <item x="226"/>
        <item x="840"/>
        <item x="609"/>
        <item x="610"/>
        <item x="611"/>
        <item x="612"/>
        <item x="419"/>
        <item x="227"/>
        <item x="69"/>
        <item x="613"/>
        <item x="841"/>
        <item x="228"/>
        <item x="842"/>
        <item x="843"/>
        <item x="614"/>
        <item x="844"/>
        <item x="615"/>
        <item x="845"/>
        <item x="616"/>
        <item x="617"/>
        <item x="420"/>
        <item x="846"/>
        <item x="847"/>
        <item x="229"/>
        <item x="230"/>
        <item x="421"/>
        <item x="70"/>
        <item x="848"/>
        <item x="71"/>
        <item x="849"/>
        <item x="850"/>
        <item x="422"/>
        <item x="72"/>
        <item x="73"/>
        <item x="231"/>
        <item x="423"/>
        <item x="424"/>
        <item x="851"/>
        <item x="425"/>
        <item x="852"/>
        <item x="853"/>
        <item x="854"/>
        <item x="618"/>
        <item x="426"/>
        <item x="232"/>
        <item x="233"/>
        <item x="74"/>
        <item x="75"/>
        <item x="76"/>
        <item x="427"/>
        <item x="77"/>
        <item x="619"/>
        <item x="234"/>
        <item x="235"/>
        <item x="855"/>
        <item x="856"/>
        <item x="857"/>
        <item x="78"/>
        <item x="858"/>
        <item x="79"/>
        <item x="620"/>
        <item x="236"/>
        <item x="80"/>
        <item x="428"/>
        <item x="859"/>
        <item x="860"/>
        <item x="861"/>
        <item x="621"/>
        <item x="429"/>
        <item x="430"/>
        <item x="237"/>
        <item x="622"/>
        <item x="81"/>
        <item x="862"/>
        <item x="238"/>
        <item x="623"/>
        <item x="431"/>
        <item x="624"/>
        <item x="239"/>
        <item x="625"/>
        <item x="626"/>
        <item x="432"/>
        <item x="240"/>
        <item x="863"/>
        <item x="864"/>
        <item x="865"/>
        <item x="866"/>
        <item x="241"/>
        <item x="242"/>
        <item x="867"/>
        <item x="433"/>
        <item x="868"/>
        <item x="434"/>
        <item x="82"/>
        <item x="869"/>
        <item x="870"/>
        <item x="871"/>
        <item x="627"/>
        <item x="872"/>
        <item x="243"/>
        <item x="628"/>
        <item x="435"/>
        <item x="873"/>
        <item x="244"/>
        <item x="874"/>
        <item x="875"/>
        <item x="876"/>
        <item x="245"/>
        <item x="436"/>
        <item x="246"/>
        <item x="247"/>
        <item x="83"/>
        <item x="629"/>
        <item x="248"/>
        <item x="877"/>
        <item x="249"/>
        <item x="878"/>
        <item x="630"/>
        <item x="437"/>
        <item x="879"/>
        <item x="250"/>
        <item x="880"/>
        <item x="631"/>
        <item x="84"/>
        <item x="438"/>
        <item x="632"/>
        <item x="633"/>
        <item x="881"/>
        <item x="85"/>
        <item x="439"/>
        <item x="882"/>
        <item x="440"/>
        <item x="634"/>
        <item x="441"/>
        <item x="251"/>
        <item x="442"/>
        <item x="443"/>
        <item x="883"/>
        <item x="635"/>
        <item x="444"/>
        <item x="86"/>
        <item x="636"/>
        <item x="252"/>
        <item x="884"/>
        <item x="885"/>
        <item x="886"/>
        <item x="87"/>
        <item x="445"/>
        <item x="253"/>
        <item x="446"/>
        <item x="887"/>
        <item x="637"/>
        <item x="888"/>
        <item x="638"/>
        <item x="254"/>
        <item x="639"/>
        <item x="889"/>
        <item x="640"/>
        <item x="255"/>
        <item x="447"/>
        <item x="88"/>
        <item x="89"/>
        <item x="448"/>
        <item x="90"/>
        <item x="641"/>
        <item x="449"/>
        <item x="890"/>
        <item x="891"/>
        <item x="450"/>
        <item x="642"/>
        <item x="451"/>
        <item x="452"/>
        <item x="892"/>
        <item x="91"/>
        <item x="893"/>
        <item x="92"/>
        <item x="894"/>
        <item x="453"/>
        <item x="643"/>
        <item x="644"/>
        <item x="454"/>
        <item x="455"/>
        <item x="93"/>
        <item x="895"/>
        <item x="256"/>
        <item x="456"/>
        <item x="896"/>
        <item x="257"/>
        <item x="258"/>
        <item x="457"/>
        <item x="259"/>
        <item x="94"/>
        <item x="897"/>
        <item x="260"/>
        <item x="898"/>
        <item x="261"/>
        <item x="262"/>
        <item x="263"/>
        <item x="645"/>
        <item x="899"/>
        <item x="458"/>
        <item x="95"/>
        <item x="96"/>
        <item x="900"/>
        <item x="459"/>
        <item x="264"/>
        <item x="97"/>
        <item x="901"/>
        <item x="646"/>
        <item x="902"/>
        <item x="647"/>
        <item x="648"/>
        <item x="903"/>
        <item x="460"/>
        <item x="98"/>
        <item x="904"/>
        <item x="905"/>
        <item x="649"/>
        <item x="650"/>
        <item x="461"/>
        <item x="906"/>
        <item x="651"/>
        <item x="462"/>
        <item x="99"/>
        <item x="100"/>
        <item x="907"/>
        <item x="265"/>
        <item x="463"/>
        <item x="908"/>
        <item x="266"/>
        <item x="652"/>
        <item x="101"/>
        <item x="102"/>
        <item x="909"/>
        <item x="103"/>
        <item x="910"/>
        <item x="267"/>
        <item x="911"/>
        <item x="268"/>
        <item x="104"/>
        <item x="464"/>
        <item x="912"/>
        <item x="465"/>
        <item x="653"/>
        <item x="654"/>
        <item x="913"/>
        <item x="269"/>
        <item x="466"/>
        <item x="105"/>
        <item x="914"/>
        <item x="915"/>
        <item x="467"/>
        <item x="655"/>
        <item x="468"/>
        <item x="106"/>
        <item x="916"/>
        <item x="656"/>
        <item x="657"/>
        <item x="107"/>
        <item x="917"/>
        <item x="469"/>
        <item x="918"/>
        <item x="658"/>
        <item x="470"/>
        <item x="919"/>
        <item x="659"/>
        <item x="270"/>
        <item x="271"/>
        <item x="920"/>
        <item x="471"/>
        <item x="108"/>
        <item x="921"/>
        <item x="922"/>
        <item x="923"/>
        <item x="472"/>
        <item x="109"/>
        <item x="924"/>
        <item x="473"/>
        <item x="925"/>
        <item x="272"/>
        <item x="110"/>
        <item x="926"/>
        <item x="927"/>
        <item x="273"/>
        <item x="111"/>
        <item x="112"/>
        <item x="660"/>
        <item x="928"/>
        <item x="661"/>
        <item x="474"/>
        <item x="113"/>
        <item x="662"/>
        <item x="663"/>
        <item x="929"/>
        <item x="114"/>
        <item x="475"/>
        <item x="476"/>
        <item x="115"/>
        <item x="930"/>
        <item x="477"/>
        <item x="664"/>
        <item x="665"/>
        <item x="478"/>
        <item x="479"/>
        <item x="116"/>
        <item x="666"/>
        <item x="931"/>
        <item x="667"/>
        <item x="274"/>
        <item x="117"/>
        <item x="932"/>
        <item x="933"/>
        <item x="934"/>
        <item x="668"/>
        <item x="935"/>
        <item x="275"/>
        <item x="276"/>
        <item x="936"/>
        <item x="277"/>
        <item x="480"/>
        <item x="481"/>
        <item x="937"/>
        <item x="938"/>
        <item x="482"/>
        <item x="483"/>
        <item x="669"/>
        <item x="670"/>
        <item x="939"/>
        <item x="278"/>
        <item x="671"/>
        <item x="672"/>
        <item x="279"/>
        <item x="118"/>
        <item x="940"/>
        <item x="941"/>
        <item x="673"/>
        <item x="674"/>
        <item x="280"/>
        <item x="119"/>
        <item x="942"/>
        <item x="281"/>
        <item x="675"/>
        <item x="282"/>
        <item x="676"/>
        <item x="283"/>
        <item x="943"/>
        <item x="284"/>
        <item x="120"/>
        <item x="285"/>
        <item x="944"/>
        <item x="677"/>
        <item x="286"/>
        <item x="287"/>
        <item x="288"/>
        <item x="945"/>
        <item x="678"/>
        <item x="679"/>
        <item x="121"/>
        <item x="484"/>
        <item x="946"/>
        <item x="485"/>
        <item x="289"/>
        <item x="486"/>
        <item x="680"/>
        <item x="681"/>
        <item x="290"/>
        <item x="947"/>
        <item x="487"/>
        <item x="948"/>
        <item x="682"/>
        <item x="122"/>
        <item x="949"/>
        <item x="291"/>
        <item x="292"/>
        <item x="683"/>
        <item x="950"/>
        <item x="123"/>
        <item x="684"/>
        <item x="951"/>
        <item x="685"/>
        <item x="488"/>
        <item x="686"/>
        <item x="489"/>
        <item x="952"/>
        <item x="293"/>
        <item x="490"/>
        <item x="953"/>
        <item x="491"/>
        <item x="687"/>
        <item x="124"/>
        <item x="125"/>
        <item x="492"/>
        <item x="954"/>
        <item x="493"/>
        <item x="955"/>
        <item x="956"/>
        <item x="688"/>
        <item x="957"/>
        <item x="494"/>
        <item x="294"/>
        <item x="958"/>
        <item x="495"/>
        <item x="295"/>
        <item x="689"/>
        <item x="959"/>
        <item x="690"/>
        <item x="960"/>
        <item x="496"/>
        <item x="961"/>
        <item x="691"/>
        <item x="692"/>
        <item x="962"/>
        <item x="963"/>
        <item x="964"/>
        <item x="965"/>
        <item x="497"/>
        <item x="296"/>
        <item x="966"/>
        <item x="126"/>
        <item x="498"/>
        <item x="499"/>
        <item x="127"/>
        <item x="500"/>
        <item x="128"/>
        <item x="693"/>
        <item x="967"/>
        <item x="501"/>
        <item x="129"/>
        <item x="502"/>
        <item x="694"/>
        <item x="297"/>
        <item x="503"/>
        <item x="968"/>
        <item x="130"/>
        <item x="969"/>
        <item x="695"/>
        <item x="298"/>
        <item x="970"/>
        <item x="504"/>
        <item x="971"/>
        <item x="131"/>
        <item x="505"/>
        <item x="696"/>
        <item x="506"/>
        <item x="697"/>
        <item x="972"/>
        <item x="973"/>
        <item x="132"/>
        <item x="299"/>
        <item x="133"/>
        <item x="300"/>
        <item x="301"/>
        <item x="698"/>
        <item x="134"/>
        <item x="699"/>
        <item x="507"/>
        <item x="974"/>
        <item x="975"/>
        <item x="976"/>
        <item x="508"/>
        <item x="135"/>
        <item x="977"/>
        <item x="978"/>
        <item x="302"/>
        <item x="979"/>
        <item x="980"/>
        <item x="303"/>
        <item x="981"/>
        <item x="304"/>
        <item x="700"/>
        <item x="305"/>
        <item x="306"/>
        <item x="982"/>
        <item x="307"/>
        <item x="701"/>
        <item x="308"/>
        <item x="983"/>
        <item x="984"/>
        <item x="309"/>
        <item x="509"/>
        <item x="510"/>
        <item x="985"/>
        <item x="136"/>
        <item x="310"/>
        <item x="986"/>
        <item x="987"/>
        <item x="311"/>
        <item x="988"/>
        <item x="312"/>
        <item x="511"/>
        <item x="702"/>
        <item x="989"/>
        <item x="990"/>
        <item x="991"/>
        <item x="313"/>
        <item x="512"/>
        <item x="992"/>
        <item x="137"/>
        <item x="138"/>
        <item x="993"/>
        <item x="994"/>
        <item x="513"/>
        <item x="139"/>
        <item x="514"/>
        <item x="703"/>
        <item x="995"/>
        <item x="314"/>
        <item x="515"/>
        <item x="315"/>
        <item x="996"/>
        <item x="516"/>
        <item x="704"/>
        <item x="517"/>
        <item x="316"/>
        <item x="997"/>
        <item x="140"/>
        <item x="998"/>
        <item x="141"/>
        <item x="317"/>
        <item x="142"/>
        <item x="143"/>
        <item x="999"/>
        <item x="318"/>
        <item x="705"/>
        <item x="319"/>
        <item x="706"/>
        <item t="default"/>
      </items>
    </pivotField>
    <pivotField showAll="0"/>
    <pivotField showAll="0">
      <items count="3">
        <item x="0"/>
        <item x="1"/>
        <item t="default"/>
      </items>
    </pivotField>
    <pivotField showAll="0"/>
    <pivotField showAll="0">
      <items count="9">
        <item x="7"/>
        <item x="1"/>
        <item x="3"/>
        <item x="2"/>
        <item x="4"/>
        <item x="6"/>
        <item x="0"/>
        <item x="5"/>
        <item t="default"/>
      </items>
    </pivotField>
    <pivotField showAll="0"/>
    <pivotField showAll="0"/>
    <pivotField showAll="0"/>
    <pivotField showAll="0">
      <items count="996">
        <item m="1" x="759"/>
        <item m="1" x="981"/>
        <item m="1" x="646"/>
        <item m="1" x="650"/>
        <item m="1" x="802"/>
        <item m="1" x="706"/>
        <item m="1" x="905"/>
        <item m="1" x="638"/>
        <item m="1" x="781"/>
        <item m="1" x="818"/>
        <item m="1" x="869"/>
        <item m="1" x="591"/>
        <item m="1" x="649"/>
        <item m="1" x="948"/>
        <item m="1" x="605"/>
        <item m="1" x="589"/>
        <item m="1" x="898"/>
        <item m="1" x="840"/>
        <item m="1" x="663"/>
        <item m="1" x="696"/>
        <item m="1" x="803"/>
        <item m="1" x="867"/>
        <item m="1" x="797"/>
        <item m="1" x="831"/>
        <item m="1" x="873"/>
        <item m="1" x="590"/>
        <item m="1" x="710"/>
        <item m="1" x="690"/>
        <item m="1" x="843"/>
        <item m="1" x="870"/>
        <item m="1" x="893"/>
        <item m="1" x="956"/>
        <item m="1" x="719"/>
        <item m="1" x="962"/>
        <item m="1" x="875"/>
        <item m="1" x="878"/>
        <item m="1" x="912"/>
        <item m="1" x="830"/>
        <item m="1" x="990"/>
        <item m="1" x="760"/>
        <item m="1" x="750"/>
        <item m="1" x="909"/>
        <item m="1" x="673"/>
        <item m="1" x="603"/>
        <item m="1" x="889"/>
        <item m="1" x="667"/>
        <item m="1" x="951"/>
        <item m="1" x="728"/>
        <item m="1" x="946"/>
        <item m="1" x="825"/>
        <item m="1" x="635"/>
        <item m="1" x="619"/>
        <item m="1" x="965"/>
        <item m="1" x="680"/>
        <item m="1" x="952"/>
        <item m="1" x="816"/>
        <item m="1" x="890"/>
        <item m="1" x="888"/>
        <item m="1" x="862"/>
        <item m="1" x="691"/>
        <item m="1" x="613"/>
        <item m="1" x="610"/>
        <item m="1" x="949"/>
        <item m="1" x="682"/>
        <item m="1" x="833"/>
        <item m="1" x="609"/>
        <item m="1" x="758"/>
        <item m="1" x="653"/>
        <item m="1" x="895"/>
        <item m="1" x="958"/>
        <item m="1" x="592"/>
        <item m="1" x="950"/>
        <item m="1" x="602"/>
        <item m="1" x="910"/>
        <item m="1" x="837"/>
        <item m="1" x="677"/>
        <item m="1" x="729"/>
        <item m="1" x="881"/>
        <item m="1" x="741"/>
        <item m="1" x="598"/>
        <item m="1" x="847"/>
        <item m="1" x="773"/>
        <item m="1" x="763"/>
        <item m="1" x="684"/>
        <item m="1" x="985"/>
        <item m="1" x="707"/>
        <item m="1" x="987"/>
        <item m="1" x="715"/>
        <item m="1" x="751"/>
        <item m="1" x="919"/>
        <item m="1" x="614"/>
        <item m="1" x="661"/>
        <item m="1" x="823"/>
        <item m="1" x="727"/>
        <item m="1" x="730"/>
        <item m="1" x="720"/>
        <item m="1" x="879"/>
        <item m="1" x="621"/>
        <item m="1" x="620"/>
        <item m="1" x="583"/>
        <item m="1" x="581"/>
        <item m="1" x="775"/>
        <item m="1" x="627"/>
        <item m="1" x="737"/>
        <item m="1" x="836"/>
        <item m="1" x="695"/>
        <item m="1" x="622"/>
        <item m="1" x="783"/>
        <item m="1" x="779"/>
        <item m="1" x="607"/>
        <item m="1" x="599"/>
        <item m="1" x="940"/>
        <item m="1" x="742"/>
        <item m="1" x="709"/>
        <item m="1" x="700"/>
        <item m="1" x="908"/>
        <item m="1" x="969"/>
        <item m="1" x="853"/>
        <item m="1" x="632"/>
        <item m="1" x="754"/>
        <item m="1" x="674"/>
        <item m="1" x="665"/>
        <item m="1" x="584"/>
        <item m="1" x="801"/>
        <item m="1" x="641"/>
        <item m="1" x="970"/>
        <item m="1" x="586"/>
        <item m="1" x="702"/>
        <item m="1" x="644"/>
        <item m="1" x="954"/>
        <item m="1" x="721"/>
        <item m="1" x="629"/>
        <item m="1" x="907"/>
        <item m="1" x="659"/>
        <item m="1" x="793"/>
        <item m="1" x="955"/>
        <item m="1" x="795"/>
        <item m="1" x="841"/>
        <item m="1" x="973"/>
        <item m="1" x="656"/>
        <item m="1" x="931"/>
        <item m="1" x="882"/>
        <item m="1" x="886"/>
        <item m="1" x="642"/>
        <item m="1" x="630"/>
        <item m="1" x="764"/>
        <item m="1" x="626"/>
        <item m="1" x="798"/>
        <item m="1" x="921"/>
        <item m="1" x="639"/>
        <item m="1" x="988"/>
        <item m="1" x="725"/>
        <item m="1" x="807"/>
        <item m="1" x="685"/>
        <item m="1" x="945"/>
        <item m="1" x="804"/>
        <item m="1" x="770"/>
        <item m="1" x="864"/>
        <item m="1" x="828"/>
        <item m="1" x="902"/>
        <item m="1" x="788"/>
        <item m="1" x="778"/>
        <item m="1" x="980"/>
        <item m="1" x="986"/>
        <item m="1" x="901"/>
        <item m="1" x="963"/>
        <item m="1" x="637"/>
        <item m="1" x="809"/>
        <item m="1" x="785"/>
        <item m="1" x="877"/>
        <item m="1" x="880"/>
        <item m="1" x="894"/>
        <item m="1" x="732"/>
        <item m="1" x="913"/>
        <item m="1" x="687"/>
        <item m="1" x="658"/>
        <item m="1" x="903"/>
        <item m="1" x="868"/>
        <item m="1" x="799"/>
        <item m="1" x="855"/>
        <item m="1" x="762"/>
        <item m="1" x="784"/>
        <item m="1" x="672"/>
        <item m="1" x="885"/>
        <item m="1" x="814"/>
        <item m="1" x="866"/>
        <item m="1" x="676"/>
        <item m="1" x="712"/>
        <item m="1" x="791"/>
        <item m="1" x="857"/>
        <item m="1" x="900"/>
        <item m="1" x="863"/>
        <item m="1" x="957"/>
        <item m="1" x="942"/>
        <item m="1" x="811"/>
        <item m="1" x="872"/>
        <item m="1" x="834"/>
        <item m="1" x="664"/>
        <item m="1" x="585"/>
        <item m="1" x="615"/>
        <item m="1" x="922"/>
        <item m="1" x="790"/>
        <item m="1" x="914"/>
        <item m="1" x="600"/>
        <item m="1" x="935"/>
        <item m="1" x="678"/>
        <item m="1" x="765"/>
        <item m="1" x="943"/>
        <item m="1" x="657"/>
        <item m="1" x="892"/>
        <item m="1" x="883"/>
        <item m="1" x="693"/>
        <item m="1" x="705"/>
        <item m="1" x="752"/>
        <item m="1" x="966"/>
        <item m="1" x="733"/>
        <item m="1" x="806"/>
        <item m="1" x="936"/>
        <item m="1" x="587"/>
        <item m="1" x="669"/>
        <item m="1" x="601"/>
        <item m="1" x="679"/>
        <item m="1" x="718"/>
        <item m="1" x="735"/>
        <item m="1" x="722"/>
        <item m="1" x="959"/>
        <item m="1" x="651"/>
        <item m="1" x="689"/>
        <item m="1" x="618"/>
        <item m="1" x="906"/>
        <item m="1" x="849"/>
        <item m="1" x="616"/>
        <item m="1" x="628"/>
        <item m="1" x="891"/>
        <item m="1" x="810"/>
        <item m="1" x="865"/>
        <item m="1" x="612"/>
        <item m="1" x="714"/>
        <item m="1" x="947"/>
        <item m="1" x="756"/>
        <item m="1" x="782"/>
        <item m="1" x="944"/>
        <item m="1" x="767"/>
        <item m="1" x="854"/>
        <item m="1" x="941"/>
        <item m="1" x="848"/>
        <item m="1" x="670"/>
        <item m="1" x="871"/>
        <item m="1" x="978"/>
        <item m="1" x="911"/>
        <item m="1" x="787"/>
        <item m="1" x="699"/>
        <item m="1" x="899"/>
        <item m="1" x="625"/>
        <item m="1" x="608"/>
        <item m="1" x="595"/>
        <item m="1" x="636"/>
        <item m="1" x="964"/>
        <item m="1" x="631"/>
        <item m="1" x="708"/>
        <item m="1" x="786"/>
        <item m="1" x="766"/>
        <item m="1" x="731"/>
        <item m="1" x="846"/>
        <item m="1" x="887"/>
        <item m="1" x="974"/>
        <item m="1" x="703"/>
        <item m="1" x="813"/>
        <item m="1" x="588"/>
        <item m="1" x="827"/>
        <item m="1" x="819"/>
        <item m="1" x="977"/>
        <item m="1" x="597"/>
        <item m="1" x="874"/>
        <item m="1" x="772"/>
        <item m="1" x="975"/>
        <item m="1" x="989"/>
        <item m="1" x="755"/>
        <item m="1" x="923"/>
        <item m="1" x="777"/>
        <item m="1" x="920"/>
        <item m="1" x="960"/>
        <item m="1" x="723"/>
        <item m="1" x="734"/>
        <item m="1" x="842"/>
        <item m="1" x="924"/>
        <item m="1" x="739"/>
        <item m="1" x="640"/>
        <item m="1" x="896"/>
        <item m="1" x="835"/>
        <item m="1" x="934"/>
        <item m="1" x="961"/>
        <item m="1" x="745"/>
        <item m="1" x="647"/>
        <item m="1" x="624"/>
        <item m="1" x="844"/>
        <item m="1" x="611"/>
        <item m="1" x="859"/>
        <item m="1" x="915"/>
        <item m="1" x="769"/>
        <item m="1" x="850"/>
        <item m="1" x="654"/>
        <item m="1" x="851"/>
        <item m="1" x="932"/>
        <item m="1" x="776"/>
        <item m="1" x="701"/>
        <item m="1" x="861"/>
        <item m="1" x="820"/>
        <item m="1" x="876"/>
        <item m="1" x="812"/>
        <item m="1" x="645"/>
        <item m="1" x="617"/>
        <item m="1" x="668"/>
        <item m="1" x="884"/>
        <item m="1" x="688"/>
        <item m="1" x="805"/>
        <item m="1" x="829"/>
        <item m="1" x="747"/>
        <item m="1" x="660"/>
        <item m="1" x="822"/>
        <item m="1" x="856"/>
        <item m="1" x="738"/>
        <item m="1" x="623"/>
        <item m="1" x="927"/>
        <item m="1" x="736"/>
        <item m="1" x="796"/>
        <item m="1" x="938"/>
        <item m="1" x="800"/>
        <item m="1" x="717"/>
        <item m="1" x="648"/>
        <item m="1" x="832"/>
        <item m="1" x="933"/>
        <item m="1" x="697"/>
        <item m="1" x="655"/>
        <item m="1" x="983"/>
        <item m="1" x="953"/>
        <item m="1" x="815"/>
        <item m="1" x="666"/>
        <item m="1" x="606"/>
        <item m="1" x="789"/>
        <item m="1" x="771"/>
        <item m="1" x="704"/>
        <item m="1" x="740"/>
        <item m="1" x="928"/>
        <item m="1" x="926"/>
        <item m="1" x="817"/>
        <item m="1" x="633"/>
        <item m="1" x="808"/>
        <item m="1" x="596"/>
        <item x="176"/>
        <item x="566"/>
        <item x="26"/>
        <item x="394"/>
        <item x="293"/>
        <item m="1" x="904"/>
        <item x="37"/>
        <item m="1" x="698"/>
        <item m="1" x="971"/>
        <item x="453"/>
        <item x="338"/>
        <item x="197"/>
        <item x="436"/>
        <item m="1" x="671"/>
        <item x="252"/>
        <item x="520"/>
        <item x="291"/>
        <item x="517"/>
        <item x="484"/>
        <item m="1" x="692"/>
        <item x="575"/>
        <item m="1" x="593"/>
        <item x="29"/>
        <item x="108"/>
        <item x="183"/>
        <item x="171"/>
        <item m="1" x="652"/>
        <item x="312"/>
        <item x="54"/>
        <item x="553"/>
        <item x="35"/>
        <item x="431"/>
        <item x="228"/>
        <item x="234"/>
        <item m="1" x="662"/>
        <item x="131"/>
        <item x="279"/>
        <item x="158"/>
        <item x="168"/>
        <item x="166"/>
        <item m="1" x="675"/>
        <item x="346"/>
        <item x="396"/>
        <item x="74"/>
        <item m="1" x="824"/>
        <item x="416"/>
        <item x="506"/>
        <item m="1" x="748"/>
        <item x="25"/>
        <item x="473"/>
        <item m="1" x="686"/>
        <item x="404"/>
        <item x="407"/>
        <item x="417"/>
        <item x="28"/>
        <item x="72"/>
        <item m="1" x="897"/>
        <item x="307"/>
        <item x="242"/>
        <item x="86"/>
        <item x="61"/>
        <item m="1" x="780"/>
        <item x="285"/>
        <item x="289"/>
        <item x="177"/>
        <item x="471"/>
        <item x="85"/>
        <item x="383"/>
        <item x="330"/>
        <item x="433"/>
        <item x="275"/>
        <item x="474"/>
        <item x="159"/>
        <item x="60"/>
        <item x="39"/>
        <item m="1" x="826"/>
        <item x="188"/>
        <item x="538"/>
        <item x="201"/>
        <item x="45"/>
        <item m="1" x="713"/>
        <item m="1" x="852"/>
        <item x="442"/>
        <item m="1" x="746"/>
        <item x="531"/>
        <item x="238"/>
        <item m="1" x="594"/>
        <item x="121"/>
        <item x="562"/>
        <item x="152"/>
        <item x="295"/>
        <item x="494"/>
        <item x="75"/>
        <item x="115"/>
        <item x="378"/>
        <item x="151"/>
        <item x="77"/>
        <item x="355"/>
        <item x="76"/>
        <item x="449"/>
        <item m="1" x="768"/>
        <item x="199"/>
        <item m="1" x="634"/>
        <item x="326"/>
        <item x="266"/>
        <item x="318"/>
        <item m="1" x="604"/>
        <item m="1" x="984"/>
        <item x="516"/>
        <item x="375"/>
        <item x="567"/>
        <item x="331"/>
        <item x="82"/>
        <item x="351"/>
        <item m="1" x="929"/>
        <item x="348"/>
        <item x="425"/>
        <item x="352"/>
        <item x="393"/>
        <item x="292"/>
        <item x="544"/>
        <item x="256"/>
        <item x="554"/>
        <item m="1" x="916"/>
        <item x="298"/>
        <item m="1" x="982"/>
        <item x="409"/>
        <item x="236"/>
        <item x="412"/>
        <item x="267"/>
        <item x="34"/>
        <item m="1" x="979"/>
        <item x="138"/>
        <item m="1" x="925"/>
        <item x="505"/>
        <item m="1" x="860"/>
        <item x="126"/>
        <item x="112"/>
        <item x="340"/>
        <item x="303"/>
        <item x="156"/>
        <item x="55"/>
        <item x="62"/>
        <item m="1" x="711"/>
        <item x="535"/>
        <item x="525"/>
        <item x="343"/>
        <item m="1" x="930"/>
        <item m="1" x="774"/>
        <item m="1" x="761"/>
        <item x="70"/>
        <item m="1" x="724"/>
        <item x="191"/>
        <item x="58"/>
        <item x="466"/>
        <item x="297"/>
        <item x="333"/>
        <item x="548"/>
        <item x="527"/>
        <item x="550"/>
        <item x="51"/>
        <item x="52"/>
        <item x="504"/>
        <item x="572"/>
        <item x="568"/>
        <item x="14"/>
        <item m="1" x="839"/>
        <item x="196"/>
        <item x="89"/>
        <item x="311"/>
        <item m="1" x="939"/>
        <item x="97"/>
        <item x="249"/>
        <item x="496"/>
        <item x="47"/>
        <item x="359"/>
        <item m="1" x="968"/>
        <item x="276"/>
        <item x="165"/>
        <item x="519"/>
        <item x="441"/>
        <item x="559"/>
        <item m="1" x="792"/>
        <item x="73"/>
        <item m="1" x="580"/>
        <item m="1" x="821"/>
        <item x="475"/>
        <item x="15"/>
        <item x="200"/>
        <item x="259"/>
        <item x="534"/>
        <item m="1" x="749"/>
        <item m="1" x="794"/>
        <item x="106"/>
        <item x="226"/>
        <item x="59"/>
        <item x="206"/>
        <item x="246"/>
        <item x="174"/>
        <item x="78"/>
        <item m="1" x="694"/>
        <item m="1" x="726"/>
        <item m="1" x="937"/>
        <item m="1" x="753"/>
        <item x="258"/>
        <item x="5"/>
        <item x="485"/>
        <item x="314"/>
        <item x="455"/>
        <item x="3"/>
        <item m="1" x="838"/>
        <item x="368"/>
        <item x="192"/>
        <item x="421"/>
        <item x="148"/>
        <item x="272"/>
        <item m="1" x="757"/>
        <item m="1" x="845"/>
        <item m="1" x="582"/>
        <item m="1" x="972"/>
        <item m="1" x="976"/>
        <item m="1" x="681"/>
        <item m="1" x="716"/>
        <item m="1" x="744"/>
        <item m="1" x="967"/>
        <item m="1" x="683"/>
        <item m="1" x="858"/>
        <item m="1" x="743"/>
        <item m="1" x="918"/>
        <item m="1" x="643"/>
        <item m="1" x="917"/>
        <item f="1" x="991"/>
        <item f="1" x="992"/>
        <item f="1" x="993"/>
        <item f="1" x="994"/>
        <item x="0"/>
        <item x="1"/>
        <item x="2"/>
        <item x="4"/>
        <item x="6"/>
        <item x="7"/>
        <item x="8"/>
        <item x="9"/>
        <item x="10"/>
        <item x="11"/>
        <item x="12"/>
        <item x="13"/>
        <item x="16"/>
        <item x="17"/>
        <item x="18"/>
        <item x="19"/>
        <item x="20"/>
        <item x="21"/>
        <item x="22"/>
        <item x="23"/>
        <item x="24"/>
        <item x="27"/>
        <item x="30"/>
        <item x="31"/>
        <item x="32"/>
        <item x="33"/>
        <item x="36"/>
        <item x="38"/>
        <item x="40"/>
        <item x="41"/>
        <item x="42"/>
        <item x="43"/>
        <item x="44"/>
        <item x="46"/>
        <item x="48"/>
        <item x="49"/>
        <item x="50"/>
        <item x="53"/>
        <item x="56"/>
        <item x="57"/>
        <item x="63"/>
        <item x="64"/>
        <item x="65"/>
        <item x="66"/>
        <item x="67"/>
        <item x="68"/>
        <item x="69"/>
        <item x="71"/>
        <item x="79"/>
        <item x="80"/>
        <item x="81"/>
        <item x="83"/>
        <item x="84"/>
        <item x="87"/>
        <item x="88"/>
        <item x="90"/>
        <item x="91"/>
        <item x="92"/>
        <item x="93"/>
        <item x="94"/>
        <item x="95"/>
        <item x="96"/>
        <item x="98"/>
        <item x="99"/>
        <item x="100"/>
        <item x="101"/>
        <item x="102"/>
        <item x="103"/>
        <item x="104"/>
        <item x="105"/>
        <item x="107"/>
        <item x="109"/>
        <item x="110"/>
        <item x="111"/>
        <item x="113"/>
        <item x="114"/>
        <item x="116"/>
        <item x="117"/>
        <item x="118"/>
        <item x="119"/>
        <item x="120"/>
        <item x="122"/>
        <item x="123"/>
        <item x="124"/>
        <item x="125"/>
        <item x="127"/>
        <item x="128"/>
        <item x="129"/>
        <item x="130"/>
        <item x="132"/>
        <item x="133"/>
        <item x="134"/>
        <item x="135"/>
        <item x="136"/>
        <item x="137"/>
        <item x="139"/>
        <item x="140"/>
        <item x="141"/>
        <item x="142"/>
        <item x="143"/>
        <item x="144"/>
        <item x="145"/>
        <item x="146"/>
        <item x="147"/>
        <item x="149"/>
        <item x="150"/>
        <item x="153"/>
        <item x="154"/>
        <item x="155"/>
        <item x="157"/>
        <item x="160"/>
        <item x="161"/>
        <item x="162"/>
        <item x="163"/>
        <item x="164"/>
        <item x="167"/>
        <item x="169"/>
        <item x="170"/>
        <item x="172"/>
        <item x="173"/>
        <item x="175"/>
        <item x="178"/>
        <item x="179"/>
        <item x="180"/>
        <item x="181"/>
        <item x="182"/>
        <item x="184"/>
        <item x="185"/>
        <item x="186"/>
        <item x="187"/>
        <item x="189"/>
        <item x="190"/>
        <item x="193"/>
        <item x="194"/>
        <item x="195"/>
        <item x="198"/>
        <item x="202"/>
        <item x="203"/>
        <item x="204"/>
        <item x="205"/>
        <item x="207"/>
        <item x="208"/>
        <item x="209"/>
        <item x="210"/>
        <item x="211"/>
        <item x="212"/>
        <item x="213"/>
        <item x="214"/>
        <item x="215"/>
        <item x="216"/>
        <item x="217"/>
        <item x="218"/>
        <item x="219"/>
        <item x="220"/>
        <item x="221"/>
        <item x="222"/>
        <item x="223"/>
        <item x="224"/>
        <item x="225"/>
        <item x="227"/>
        <item x="229"/>
        <item x="230"/>
        <item x="231"/>
        <item x="232"/>
        <item x="233"/>
        <item x="235"/>
        <item x="237"/>
        <item x="239"/>
        <item x="240"/>
        <item x="241"/>
        <item x="243"/>
        <item x="244"/>
        <item x="245"/>
        <item x="247"/>
        <item x="248"/>
        <item x="250"/>
        <item x="251"/>
        <item x="253"/>
        <item x="254"/>
        <item x="255"/>
        <item x="257"/>
        <item x="260"/>
        <item x="261"/>
        <item x="262"/>
        <item x="263"/>
        <item x="264"/>
        <item x="265"/>
        <item x="268"/>
        <item x="269"/>
        <item x="270"/>
        <item x="271"/>
        <item x="273"/>
        <item x="274"/>
        <item x="277"/>
        <item x="278"/>
        <item x="280"/>
        <item x="281"/>
        <item x="282"/>
        <item x="283"/>
        <item x="284"/>
        <item x="286"/>
        <item x="287"/>
        <item x="288"/>
        <item x="290"/>
        <item x="294"/>
        <item x="296"/>
        <item x="299"/>
        <item x="300"/>
        <item x="301"/>
        <item x="302"/>
        <item x="304"/>
        <item x="305"/>
        <item x="306"/>
        <item x="308"/>
        <item x="309"/>
        <item x="310"/>
        <item x="313"/>
        <item x="315"/>
        <item x="316"/>
        <item x="317"/>
        <item x="319"/>
        <item x="320"/>
        <item x="321"/>
        <item x="322"/>
        <item x="323"/>
        <item x="324"/>
        <item x="325"/>
        <item x="327"/>
        <item x="328"/>
        <item x="329"/>
        <item x="332"/>
        <item x="334"/>
        <item x="335"/>
        <item x="336"/>
        <item x="337"/>
        <item x="339"/>
        <item x="341"/>
        <item x="342"/>
        <item x="344"/>
        <item x="345"/>
        <item x="347"/>
        <item x="349"/>
        <item x="350"/>
        <item x="353"/>
        <item x="354"/>
        <item x="356"/>
        <item x="357"/>
        <item x="358"/>
        <item x="360"/>
        <item x="361"/>
        <item x="362"/>
        <item x="363"/>
        <item x="364"/>
        <item x="365"/>
        <item x="366"/>
        <item x="367"/>
        <item x="369"/>
        <item x="370"/>
        <item x="371"/>
        <item x="372"/>
        <item x="373"/>
        <item x="374"/>
        <item x="376"/>
        <item x="377"/>
        <item x="379"/>
        <item x="380"/>
        <item x="381"/>
        <item x="382"/>
        <item x="384"/>
        <item x="385"/>
        <item x="386"/>
        <item x="387"/>
        <item x="388"/>
        <item x="389"/>
        <item x="390"/>
        <item x="391"/>
        <item x="392"/>
        <item x="395"/>
        <item x="397"/>
        <item x="398"/>
        <item x="399"/>
        <item x="400"/>
        <item x="401"/>
        <item x="402"/>
        <item x="403"/>
        <item x="405"/>
        <item x="406"/>
        <item x="408"/>
        <item x="410"/>
        <item x="411"/>
        <item x="413"/>
        <item x="414"/>
        <item x="415"/>
        <item x="418"/>
        <item x="419"/>
        <item x="420"/>
        <item x="422"/>
        <item x="423"/>
        <item x="424"/>
        <item x="426"/>
        <item x="427"/>
        <item x="428"/>
        <item x="429"/>
        <item x="430"/>
        <item x="432"/>
        <item x="434"/>
        <item x="435"/>
        <item x="437"/>
        <item x="438"/>
        <item x="439"/>
        <item x="440"/>
        <item x="443"/>
        <item x="444"/>
        <item x="445"/>
        <item x="446"/>
        <item x="447"/>
        <item x="448"/>
        <item x="450"/>
        <item x="451"/>
        <item x="452"/>
        <item x="454"/>
        <item x="456"/>
        <item x="457"/>
        <item x="458"/>
        <item x="459"/>
        <item x="460"/>
        <item x="461"/>
        <item x="462"/>
        <item x="463"/>
        <item x="464"/>
        <item x="465"/>
        <item x="467"/>
        <item x="468"/>
        <item x="469"/>
        <item x="470"/>
        <item x="472"/>
        <item x="476"/>
        <item x="477"/>
        <item x="478"/>
        <item x="479"/>
        <item x="480"/>
        <item x="481"/>
        <item x="482"/>
        <item x="483"/>
        <item x="486"/>
        <item x="487"/>
        <item x="488"/>
        <item x="489"/>
        <item x="490"/>
        <item x="491"/>
        <item x="492"/>
        <item x="493"/>
        <item x="495"/>
        <item x="497"/>
        <item x="498"/>
        <item x="499"/>
        <item x="500"/>
        <item x="501"/>
        <item x="502"/>
        <item x="503"/>
        <item x="507"/>
        <item x="508"/>
        <item x="509"/>
        <item x="510"/>
        <item x="511"/>
        <item x="512"/>
        <item x="513"/>
        <item x="514"/>
        <item x="515"/>
        <item x="518"/>
        <item x="521"/>
        <item x="522"/>
        <item x="523"/>
        <item x="524"/>
        <item x="526"/>
        <item x="528"/>
        <item x="529"/>
        <item x="530"/>
        <item x="532"/>
        <item x="533"/>
        <item x="536"/>
        <item x="537"/>
        <item x="539"/>
        <item x="540"/>
        <item x="541"/>
        <item x="542"/>
        <item x="543"/>
        <item x="545"/>
        <item x="546"/>
        <item x="547"/>
        <item x="549"/>
        <item x="551"/>
        <item x="552"/>
        <item x="555"/>
        <item x="556"/>
        <item x="557"/>
        <item x="558"/>
        <item x="560"/>
        <item x="561"/>
        <item x="563"/>
        <item x="564"/>
        <item x="565"/>
        <item x="569"/>
        <item x="570"/>
        <item x="571"/>
        <item x="573"/>
        <item x="574"/>
        <item x="576"/>
        <item x="577"/>
        <item x="578"/>
        <item x="579"/>
        <item t="default"/>
      </items>
    </pivotField>
    <pivotField axis="axisRow" showAll="0">
      <items count="11">
        <item x="5"/>
        <item x="2"/>
        <item x="7"/>
        <item x="3"/>
        <item x="4"/>
        <item x="0"/>
        <item x="1"/>
        <item x="6"/>
        <item x="8"/>
        <item x="9"/>
        <item t="default"/>
      </items>
    </pivotField>
    <pivotField numFmtId="164" showAll="0">
      <items count="41">
        <item x="10"/>
        <item x="31"/>
        <item x="27"/>
        <item x="13"/>
        <item x="18"/>
        <item x="29"/>
        <item x="36"/>
        <item x="2"/>
        <item x="20"/>
        <item x="33"/>
        <item x="16"/>
        <item x="22"/>
        <item x="25"/>
        <item x="14"/>
        <item x="26"/>
        <item x="28"/>
        <item x="21"/>
        <item x="32"/>
        <item x="1"/>
        <item x="23"/>
        <item x="3"/>
        <item x="30"/>
        <item x="7"/>
        <item x="38"/>
        <item x="15"/>
        <item x="17"/>
        <item x="12"/>
        <item x="11"/>
        <item x="9"/>
        <item x="24"/>
        <item x="4"/>
        <item x="19"/>
        <item x="8"/>
        <item x="37"/>
        <item x="5"/>
        <item x="39"/>
        <item x="6"/>
        <item x="34"/>
        <item x="0"/>
        <item x="35"/>
        <item t="default"/>
      </items>
    </pivotField>
    <pivotField showAll="0">
      <items count="6">
        <item x="0"/>
        <item x="1"/>
        <item x="2"/>
        <item x="3"/>
        <item x="4"/>
        <item t="default"/>
      </items>
    </pivotField>
    <pivotField showAll="0">
      <items count="13">
        <item x="2"/>
        <item x="10"/>
        <item x="11"/>
        <item x="5"/>
        <item x="0"/>
        <item x="1"/>
        <item x="3"/>
        <item x="7"/>
        <item x="8"/>
        <item x="6"/>
        <item x="9"/>
        <item x="4"/>
        <item t="default"/>
      </items>
    </pivotField>
    <pivotField showAll="0"/>
    <pivotField showAll="0">
      <items count="4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s>
  <rowFields count="1">
    <field x="9"/>
  </rowFields>
  <rowItems count="11">
    <i>
      <x/>
    </i>
    <i>
      <x v="1"/>
    </i>
    <i>
      <x v="2"/>
    </i>
    <i>
      <x v="3"/>
    </i>
    <i>
      <x v="4"/>
    </i>
    <i>
      <x v="5"/>
    </i>
    <i>
      <x v="6"/>
    </i>
    <i>
      <x v="7"/>
    </i>
    <i>
      <x v="8"/>
    </i>
    <i>
      <x v="9"/>
    </i>
    <i t="grand">
      <x/>
    </i>
  </rowItems>
  <colItems count="1">
    <i/>
  </colItems>
  <dataFields count="1">
    <dataField name="Count of Invoice_no" fld="0" subtotal="count" baseField="0" baseItem="0"/>
  </dataFields>
  <chartFormats count="2">
    <chartFormat chart="9" format="65" series="1">
      <pivotArea type="data" outline="0" fieldPosition="0"/>
    </chartFormat>
    <chartFormat chart="9" format="9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9F9A6E8-399D-476C-85AD-6C891524EBB9}" sourceName="Gender">
  <pivotTables>
    <pivotTable tabId="2" name="PivotTable5"/>
    <pivotTable tabId="2" name="PivotTable10"/>
    <pivotTable tabId="2" name="PivotTable13"/>
    <pivotTable tabId="2" name="PivotTable16"/>
    <pivotTable tabId="2" name="PivotTable17"/>
    <pivotTable tabId="2" name="PivotTable2"/>
    <pivotTable tabId="2" name="PivotTable3"/>
    <pivotTable tabId="2" name="PivotTable4"/>
    <pivotTable tabId="2" name="PivotTable6"/>
    <pivotTable tabId="2" name="PivotTable7"/>
    <pivotTable tabId="2" name="PivotTable8"/>
  </pivotTables>
  <data>
    <tabular pivotCacheId="61158522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DDFFA18-599A-42A9-A2CA-70F344D74649}" sourceName="Age Group">
  <pivotTables>
    <pivotTable tabId="2" name="PivotTable5"/>
  </pivotTables>
  <data>
    <tabular pivotCacheId="611585220">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Trend" xr10:uid="{2B765B58-A101-48CD-81EF-E03A83CC59E8}" sourceName="Monthly Trend">
  <pivotTables>
    <pivotTable tabId="2" name="PivotTable5"/>
  </pivotTables>
  <data>
    <tabular pivotCacheId="611585220">
      <items count="12">
        <i x="2" s="1"/>
        <i x="10"/>
        <i x="11"/>
        <i x="5"/>
        <i x="0"/>
        <i x="1"/>
        <i x="3"/>
        <i x="7"/>
        <i x="8"/>
        <i x="6"/>
        <i x="9"/>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DD39976-0256-458B-9F52-1205E7C44E69}" cache="Slicer_Gender" caption="Gender" rowHeight="257175"/>
  <slicer name="Age Group" xr10:uid="{21878426-4236-40A7-B45F-B5E0495C663F}" cache="Slicer_Age_Group" caption="Age Group" startItem="1" rowHeight="257175"/>
  <slicer name="Monthly Trend" xr10:uid="{63ACD310-E84F-4871-862C-F40B4B4B31B6}" cache="Slicer_Monthly_Trend" caption="Monthly Trend" startItem="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96B89E-3320-4B8B-AB37-5D384B7A44A4}" name="Table1" displayName="Table1" ref="A1:N1001" totalsRowShown="0" headerRowDxfId="5">
  <autoFilter ref="A1:N1001" xr:uid="{D896B89E-3320-4B8B-AB37-5D384B7A44A4}"/>
  <sortState xmlns:xlrd2="http://schemas.microsoft.com/office/spreadsheetml/2017/richdata2" ref="A2:L1001">
    <sortCondition ref="L1:L1001"/>
  </sortState>
  <tableColumns count="14">
    <tableColumn id="1" xr3:uid="{5F5C7394-07B1-4FB4-995E-482F3B2BF9C6}" name="Invoice_no"/>
    <tableColumn id="2" xr3:uid="{01244616-74C8-4AB1-9588-D220E5A66ED8}" name="Customer_id"/>
    <tableColumn id="3" xr3:uid="{2D00B07E-D4CF-4B64-98F6-30D10435087C}" name="Gender"/>
    <tableColumn id="4" xr3:uid="{4790774D-7C3F-46A0-9BD1-C47DF5ACE37E}" name="Age"/>
    <tableColumn id="5" xr3:uid="{D1E752A3-882A-44E2-BE12-5E1155E5C897}" name="Category"/>
    <tableColumn id="6" xr3:uid="{A484D42E-0186-4E2F-9927-7826C3CB3F0A}" name="Quantity"/>
    <tableColumn id="7" xr3:uid="{29A452A1-32A2-48C9-8007-F275DD29500C}" name="Price"/>
    <tableColumn id="8" xr3:uid="{0B9787FF-EC54-468E-A625-09E64FB8093D}" name="Payment_method"/>
    <tableColumn id="9" xr3:uid="{9983B94D-3633-4879-A277-1837518E481F}" name="Invoice_date" dataDxfId="4"/>
    <tableColumn id="10" xr3:uid="{22A70EEB-390A-481D-89FD-BCBA624B20A6}" name="Shopping_mall"/>
    <tableColumn id="11" xr3:uid="{504287A8-F0E6-4827-821C-6C3073D6B4C5}" name="Revenue" dataDxfId="3">
      <calculatedColumnFormula>Table1[[#This Row],[Quantity]]*Table1[[#This Row],[Price]]</calculatedColumnFormula>
    </tableColumn>
    <tableColumn id="12" xr3:uid="{060D8491-0F33-4AD2-A39E-0B074C1FF46A}" name="Age Group" dataDxfId="2">
      <calculatedColumnFormula>IF(Table1[[#This Row],[Age]]&lt;25,"18-24",IF(Table1[[#This Row],[Age]]&lt;35,"25-34",IF(Table1[[#This Row],[Age]]&lt;45,"35-44",IF(Table1[[#This Row],[Age]]&lt;55,"45-54","55+"))))</calculatedColumnFormula>
    </tableColumn>
    <tableColumn id="13" xr3:uid="{65C6AF21-D4ED-42BB-8A8C-078281A9011C}" name="Monthly Trend" dataDxfId="1">
      <calculatedColumnFormula>TEXT(Table1[[#This Row],[Invoice_date]],"mmm")</calculatedColumnFormula>
    </tableColumn>
    <tableColumn id="14" xr3:uid="{638BBCCD-A18F-4036-8F1F-C2F477785D85}" name="Yearly Trend" dataDxfId="0">
      <calculatedColumnFormula>YEAR(Table1[[#This Row],[Invoice_date]])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2061A-412E-4A0E-AAD2-B5EB4B226F05}">
  <dimension ref="A1:N1001"/>
  <sheetViews>
    <sheetView topLeftCell="D28" workbookViewId="0">
      <selection activeCell="K8" sqref="K8"/>
    </sheetView>
  </sheetViews>
  <sheetFormatPr defaultRowHeight="15" x14ac:dyDescent="0.25"/>
  <cols>
    <col min="1" max="1" width="12.85546875" customWidth="1"/>
    <col min="2" max="2" width="14.28515625" customWidth="1"/>
    <col min="3" max="3" width="9.42578125" customWidth="1"/>
    <col min="5" max="5" width="10.85546875" customWidth="1"/>
    <col min="6" max="6" width="10.5703125" customWidth="1"/>
    <col min="8" max="8" width="18.85546875" customWidth="1"/>
    <col min="9" max="9" width="29.140625" style="2" bestFit="1" customWidth="1"/>
    <col min="10" max="10" width="16.140625" customWidth="1"/>
    <col min="11" max="11" width="10.140625" style="4" bestFit="1" customWidth="1"/>
  </cols>
  <sheetData>
    <row r="1" spans="1:14" x14ac:dyDescent="0.25">
      <c r="A1" s="1" t="s">
        <v>2023</v>
      </c>
      <c r="B1" s="1" t="s">
        <v>2024</v>
      </c>
      <c r="C1" s="1" t="s">
        <v>2025</v>
      </c>
      <c r="D1" s="1" t="s">
        <v>2026</v>
      </c>
      <c r="E1" s="1" t="s">
        <v>2027</v>
      </c>
      <c r="F1" s="1" t="s">
        <v>2028</v>
      </c>
      <c r="G1" s="1" t="s">
        <v>2029</v>
      </c>
      <c r="H1" s="1" t="s">
        <v>2030</v>
      </c>
      <c r="I1" s="2" t="s">
        <v>2031</v>
      </c>
      <c r="J1" s="1" t="s">
        <v>2032</v>
      </c>
      <c r="K1" s="3" t="s">
        <v>2033</v>
      </c>
      <c r="L1" s="1" t="s">
        <v>2034</v>
      </c>
      <c r="M1" s="1" t="s">
        <v>2049</v>
      </c>
      <c r="N1" s="1" t="s">
        <v>2050</v>
      </c>
    </row>
    <row r="2" spans="1:14" x14ac:dyDescent="0.25">
      <c r="A2" t="s">
        <v>19</v>
      </c>
      <c r="B2" t="s">
        <v>20</v>
      </c>
      <c r="C2" t="s">
        <v>12</v>
      </c>
      <c r="D2">
        <v>19</v>
      </c>
      <c r="E2" t="s">
        <v>21</v>
      </c>
      <c r="F2">
        <v>4</v>
      </c>
      <c r="G2">
        <v>4200</v>
      </c>
      <c r="H2" t="s">
        <v>4</v>
      </c>
      <c r="I2" s="2">
        <v>44699</v>
      </c>
      <c r="J2" t="s">
        <v>14</v>
      </c>
      <c r="K2" s="4">
        <f>Table1[[#This Row],[Quantity]]*Table1[[#This Row],[Price]]</f>
        <v>16800</v>
      </c>
      <c r="L2" t="str">
        <f>IF(Table1[[#This Row],[Age]]&lt;25,"18-24",IF(Table1[[#This Row],[Age]]&lt;35,"25-34",IF(Table1[[#This Row],[Age]]&lt;45,"35-44",IF(Table1[[#This Row],[Age]]&lt;55,"45-54","55+"))))</f>
        <v>18-24</v>
      </c>
      <c r="M2" t="str">
        <f>TEXT(Table1[[#This Row],[Invoice_date]],"mmm")</f>
        <v>May</v>
      </c>
      <c r="N2">
        <f>YEAR(Table1[[#This Row],[Invoice_date]])</f>
        <v>2022</v>
      </c>
    </row>
    <row r="3" spans="1:14" x14ac:dyDescent="0.25">
      <c r="A3" t="s">
        <v>22</v>
      </c>
      <c r="B3" t="s">
        <v>23</v>
      </c>
      <c r="C3" t="s">
        <v>12</v>
      </c>
      <c r="D3">
        <v>18</v>
      </c>
      <c r="E3" t="s">
        <v>3</v>
      </c>
      <c r="F3">
        <v>1</v>
      </c>
      <c r="G3">
        <v>300.08</v>
      </c>
      <c r="H3" t="s">
        <v>18</v>
      </c>
      <c r="I3" s="2">
        <v>44366</v>
      </c>
      <c r="J3" t="s">
        <v>24</v>
      </c>
      <c r="K3" s="4">
        <f>Table1[[#This Row],[Quantity]]*Table1[[#This Row],[Price]]</f>
        <v>300.08</v>
      </c>
      <c r="L3" t="str">
        <f>IF(Table1[[#This Row],[Age]]&lt;25,"18-24",IF(Table1[[#This Row],[Age]]&lt;35,"25-34",IF(Table1[[#This Row],[Age]]&lt;45,"35-44",IF(Table1[[#This Row],[Age]]&lt;55,"45-54","55+"))))</f>
        <v>18-24</v>
      </c>
      <c r="M3" t="str">
        <f>TEXT(Table1[[#This Row],[Invoice_date]],"mmm")</f>
        <v>Jun</v>
      </c>
      <c r="N3">
        <f>YEAR(Table1[[#This Row],[Invoice_date]])</f>
        <v>2021</v>
      </c>
    </row>
    <row r="4" spans="1:14" x14ac:dyDescent="0.25">
      <c r="A4" t="s">
        <v>25</v>
      </c>
      <c r="B4" t="s">
        <v>26</v>
      </c>
      <c r="C4" t="s">
        <v>2</v>
      </c>
      <c r="D4">
        <v>18</v>
      </c>
      <c r="E4" t="s">
        <v>27</v>
      </c>
      <c r="F4">
        <v>3</v>
      </c>
      <c r="G4">
        <v>15.69</v>
      </c>
      <c r="H4" t="s">
        <v>18</v>
      </c>
      <c r="I4" s="2">
        <v>44735</v>
      </c>
      <c r="J4" t="s">
        <v>5</v>
      </c>
      <c r="K4" s="4">
        <f>Table1[[#This Row],[Quantity]]*Table1[[#This Row],[Price]]</f>
        <v>47.07</v>
      </c>
      <c r="L4" t="str">
        <f>IF(Table1[[#This Row],[Age]]&lt;25,"18-24",IF(Table1[[#This Row],[Age]]&lt;35,"25-34",IF(Table1[[#This Row],[Age]]&lt;45,"35-44",IF(Table1[[#This Row],[Age]]&lt;55,"45-54","55+"))))</f>
        <v>18-24</v>
      </c>
      <c r="M4" t="str">
        <f>TEXT(Table1[[#This Row],[Invoice_date]],"mmm")</f>
        <v>Jun</v>
      </c>
      <c r="N4">
        <f>YEAR(Table1[[#This Row],[Invoice_date]])</f>
        <v>2022</v>
      </c>
    </row>
    <row r="5" spans="1:14" x14ac:dyDescent="0.25">
      <c r="A5" t="s">
        <v>39</v>
      </c>
      <c r="B5" t="s">
        <v>40</v>
      </c>
      <c r="C5" t="s">
        <v>12</v>
      </c>
      <c r="D5">
        <v>21</v>
      </c>
      <c r="E5" t="s">
        <v>8</v>
      </c>
      <c r="F5">
        <v>3</v>
      </c>
      <c r="G5">
        <v>121.98</v>
      </c>
      <c r="H5" t="s">
        <v>18</v>
      </c>
      <c r="I5" s="2">
        <v>44928</v>
      </c>
      <c r="J5" t="s">
        <v>24</v>
      </c>
      <c r="K5" s="4">
        <f>Table1[[#This Row],[Quantity]]*Table1[[#This Row],[Price]]</f>
        <v>365.94</v>
      </c>
      <c r="L5" t="str">
        <f>IF(Table1[[#This Row],[Age]]&lt;25,"18-24",IF(Table1[[#This Row],[Age]]&lt;35,"25-34",IF(Table1[[#This Row],[Age]]&lt;45,"35-44",IF(Table1[[#This Row],[Age]]&lt;55,"45-54","55+"))))</f>
        <v>18-24</v>
      </c>
      <c r="M5" t="str">
        <f>TEXT(Table1[[#This Row],[Invoice_date]],"mmm")</f>
        <v>Jan</v>
      </c>
      <c r="N5">
        <f>YEAR(Table1[[#This Row],[Invoice_date]])</f>
        <v>2023</v>
      </c>
    </row>
    <row r="6" spans="1:14" x14ac:dyDescent="0.25">
      <c r="A6" t="s">
        <v>95</v>
      </c>
      <c r="B6" t="s">
        <v>96</v>
      </c>
      <c r="C6" t="s">
        <v>12</v>
      </c>
      <c r="D6">
        <v>23</v>
      </c>
      <c r="E6" t="s">
        <v>3</v>
      </c>
      <c r="F6">
        <v>3</v>
      </c>
      <c r="G6">
        <v>900.24</v>
      </c>
      <c r="H6" t="s">
        <v>18</v>
      </c>
      <c r="I6" s="2">
        <v>44758</v>
      </c>
      <c r="J6" t="s">
        <v>74</v>
      </c>
      <c r="K6" s="4">
        <f>Table1[[#This Row],[Quantity]]*Table1[[#This Row],[Price]]</f>
        <v>2700.7200000000003</v>
      </c>
      <c r="L6" t="str">
        <f>IF(Table1[[#This Row],[Age]]&lt;25,"18-24",IF(Table1[[#This Row],[Age]]&lt;35,"25-34",IF(Table1[[#This Row],[Age]]&lt;45,"35-44",IF(Table1[[#This Row],[Age]]&lt;55,"45-54","55+"))))</f>
        <v>18-24</v>
      </c>
      <c r="M6" t="str">
        <f>TEXT(Table1[[#This Row],[Invoice_date]],"mmm")</f>
        <v>Jul</v>
      </c>
      <c r="N6">
        <f>YEAR(Table1[[#This Row],[Invoice_date]])</f>
        <v>2022</v>
      </c>
    </row>
    <row r="7" spans="1:14" x14ac:dyDescent="0.25">
      <c r="A7" t="s">
        <v>103</v>
      </c>
      <c r="B7" t="s">
        <v>104</v>
      </c>
      <c r="C7" t="s">
        <v>12</v>
      </c>
      <c r="D7">
        <v>20</v>
      </c>
      <c r="E7" t="s">
        <v>3</v>
      </c>
      <c r="F7">
        <v>5</v>
      </c>
      <c r="G7">
        <v>1500.4</v>
      </c>
      <c r="H7" t="s">
        <v>13</v>
      </c>
      <c r="I7" s="2">
        <v>44905</v>
      </c>
      <c r="J7" t="s">
        <v>33</v>
      </c>
      <c r="K7" s="4">
        <f>Table1[[#This Row],[Quantity]]*Table1[[#This Row],[Price]]</f>
        <v>7502</v>
      </c>
      <c r="L7" t="str">
        <f>IF(Table1[[#This Row],[Age]]&lt;25,"18-24",IF(Table1[[#This Row],[Age]]&lt;35,"25-34",IF(Table1[[#This Row],[Age]]&lt;45,"35-44",IF(Table1[[#This Row],[Age]]&lt;55,"45-54","55+"))))</f>
        <v>18-24</v>
      </c>
      <c r="M7" t="str">
        <f>TEXT(Table1[[#This Row],[Invoice_date]],"mmm")</f>
        <v>Dec</v>
      </c>
      <c r="N7">
        <f>YEAR(Table1[[#This Row],[Invoice_date]])</f>
        <v>2022</v>
      </c>
    </row>
    <row r="8" spans="1:14" x14ac:dyDescent="0.25">
      <c r="A8" t="s">
        <v>105</v>
      </c>
      <c r="B8" t="s">
        <v>106</v>
      </c>
      <c r="C8" t="s">
        <v>12</v>
      </c>
      <c r="D8">
        <v>24</v>
      </c>
      <c r="E8" t="s">
        <v>38</v>
      </c>
      <c r="F8">
        <v>4</v>
      </c>
      <c r="G8">
        <v>2400.6799999999998</v>
      </c>
      <c r="H8" t="s">
        <v>18</v>
      </c>
      <c r="I8" s="2">
        <v>44676</v>
      </c>
      <c r="J8" t="s">
        <v>5</v>
      </c>
      <c r="K8" s="4">
        <f>Table1[[#This Row],[Quantity]]*Table1[[#This Row],[Price]]</f>
        <v>9602.7199999999993</v>
      </c>
      <c r="L8" t="str">
        <f>IF(Table1[[#This Row],[Age]]&lt;25,"18-24",IF(Table1[[#This Row],[Age]]&lt;35,"25-34",IF(Table1[[#This Row],[Age]]&lt;45,"35-44",IF(Table1[[#This Row],[Age]]&lt;55,"45-54","55+"))))</f>
        <v>18-24</v>
      </c>
      <c r="M8" t="str">
        <f>TEXT(Table1[[#This Row],[Invoice_date]],"mmm")</f>
        <v>Apr</v>
      </c>
      <c r="N8">
        <f>YEAR(Table1[[#This Row],[Invoice_date]])</f>
        <v>2022</v>
      </c>
    </row>
    <row r="9" spans="1:14" x14ac:dyDescent="0.25">
      <c r="A9" t="s">
        <v>145</v>
      </c>
      <c r="B9" t="s">
        <v>146</v>
      </c>
      <c r="C9" t="s">
        <v>2</v>
      </c>
      <c r="D9">
        <v>24</v>
      </c>
      <c r="E9" t="s">
        <v>49</v>
      </c>
      <c r="F9">
        <v>4</v>
      </c>
      <c r="G9">
        <v>143.36000000000001</v>
      </c>
      <c r="H9" t="s">
        <v>4</v>
      </c>
      <c r="I9" s="2">
        <v>44405</v>
      </c>
      <c r="J9" t="s">
        <v>24</v>
      </c>
      <c r="K9" s="4">
        <f>Table1[[#This Row],[Quantity]]*Table1[[#This Row],[Price]]</f>
        <v>573.44000000000005</v>
      </c>
      <c r="L9" t="str">
        <f>IF(Table1[[#This Row],[Age]]&lt;25,"18-24",IF(Table1[[#This Row],[Age]]&lt;35,"25-34",IF(Table1[[#This Row],[Age]]&lt;45,"35-44",IF(Table1[[#This Row],[Age]]&lt;55,"45-54","55+"))))</f>
        <v>18-24</v>
      </c>
      <c r="M9" t="str">
        <f>TEXT(Table1[[#This Row],[Invoice_date]],"mmm")</f>
        <v>Jul</v>
      </c>
      <c r="N9">
        <f>YEAR(Table1[[#This Row],[Invoice_date]])</f>
        <v>2021</v>
      </c>
    </row>
    <row r="10" spans="1:14" x14ac:dyDescent="0.25">
      <c r="A10" t="s">
        <v>153</v>
      </c>
      <c r="B10" t="s">
        <v>154</v>
      </c>
      <c r="C10" t="s">
        <v>2</v>
      </c>
      <c r="D10">
        <v>22</v>
      </c>
      <c r="E10" t="s">
        <v>3</v>
      </c>
      <c r="F10">
        <v>4</v>
      </c>
      <c r="G10">
        <v>1200.32</v>
      </c>
      <c r="H10" t="s">
        <v>18</v>
      </c>
      <c r="I10" s="2">
        <v>44305</v>
      </c>
      <c r="J10" t="s">
        <v>24</v>
      </c>
      <c r="K10" s="4">
        <f>Table1[[#This Row],[Quantity]]*Table1[[#This Row],[Price]]</f>
        <v>4801.28</v>
      </c>
      <c r="L10" t="str">
        <f>IF(Table1[[#This Row],[Age]]&lt;25,"18-24",IF(Table1[[#This Row],[Age]]&lt;35,"25-34",IF(Table1[[#This Row],[Age]]&lt;45,"35-44",IF(Table1[[#This Row],[Age]]&lt;55,"45-54","55+"))))</f>
        <v>18-24</v>
      </c>
      <c r="M10" t="str">
        <f>TEXT(Table1[[#This Row],[Invoice_date]],"mmm")</f>
        <v>Apr</v>
      </c>
      <c r="N10" s="8">
        <f>YEAR(Table1[[#This Row],[Invoice_date]])</f>
        <v>2021</v>
      </c>
    </row>
    <row r="11" spans="1:14" x14ac:dyDescent="0.25">
      <c r="A11" t="s">
        <v>181</v>
      </c>
      <c r="B11" t="s">
        <v>182</v>
      </c>
      <c r="C11" t="s">
        <v>12</v>
      </c>
      <c r="D11">
        <v>22</v>
      </c>
      <c r="E11" t="s">
        <v>8</v>
      </c>
      <c r="F11">
        <v>3</v>
      </c>
      <c r="G11">
        <v>121.98</v>
      </c>
      <c r="H11" t="s">
        <v>18</v>
      </c>
      <c r="I11" s="2">
        <v>44854</v>
      </c>
      <c r="J11" t="s">
        <v>63</v>
      </c>
      <c r="K11" s="4">
        <f>Table1[[#This Row],[Quantity]]*Table1[[#This Row],[Price]]</f>
        <v>365.94</v>
      </c>
      <c r="L11" t="str">
        <f>IF(Table1[[#This Row],[Age]]&lt;25,"18-24",IF(Table1[[#This Row],[Age]]&lt;35,"25-34",IF(Table1[[#This Row],[Age]]&lt;45,"35-44",IF(Table1[[#This Row],[Age]]&lt;55,"45-54","55+"))))</f>
        <v>18-24</v>
      </c>
      <c r="M11" t="str">
        <f>TEXT(Table1[[#This Row],[Invoice_date]],"mmm")</f>
        <v>Oct</v>
      </c>
      <c r="N11">
        <f>YEAR(Table1[[#This Row],[Invoice_date]])</f>
        <v>2022</v>
      </c>
    </row>
    <row r="12" spans="1:14" x14ac:dyDescent="0.25">
      <c r="A12" t="s">
        <v>207</v>
      </c>
      <c r="B12" t="s">
        <v>208</v>
      </c>
      <c r="C12" t="s">
        <v>2</v>
      </c>
      <c r="D12">
        <v>18</v>
      </c>
      <c r="E12" t="s">
        <v>3</v>
      </c>
      <c r="F12">
        <v>5</v>
      </c>
      <c r="G12">
        <v>1500.4</v>
      </c>
      <c r="H12" t="s">
        <v>13</v>
      </c>
      <c r="I12" s="2">
        <v>44411</v>
      </c>
      <c r="J12" t="s">
        <v>74</v>
      </c>
      <c r="K12" s="4">
        <f>Table1[[#This Row],[Quantity]]*Table1[[#This Row],[Price]]</f>
        <v>7502</v>
      </c>
      <c r="L12" t="str">
        <f>IF(Table1[[#This Row],[Age]]&lt;25,"18-24",IF(Table1[[#This Row],[Age]]&lt;35,"25-34",IF(Table1[[#This Row],[Age]]&lt;45,"35-44",IF(Table1[[#This Row],[Age]]&lt;55,"45-54","55+"))))</f>
        <v>18-24</v>
      </c>
      <c r="M12" t="str">
        <f>TEXT(Table1[[#This Row],[Invoice_date]],"mmm")</f>
        <v>Aug</v>
      </c>
      <c r="N12">
        <f>YEAR(Table1[[#This Row],[Invoice_date]])</f>
        <v>2021</v>
      </c>
    </row>
    <row r="13" spans="1:14" x14ac:dyDescent="0.25">
      <c r="A13" t="s">
        <v>209</v>
      </c>
      <c r="B13" t="s">
        <v>210</v>
      </c>
      <c r="C13" t="s">
        <v>12</v>
      </c>
      <c r="D13">
        <v>21</v>
      </c>
      <c r="E13" t="s">
        <v>3</v>
      </c>
      <c r="F13">
        <v>2</v>
      </c>
      <c r="G13">
        <v>600.16</v>
      </c>
      <c r="H13" t="s">
        <v>4</v>
      </c>
      <c r="I13" s="2">
        <v>44789</v>
      </c>
      <c r="J13" t="s">
        <v>14</v>
      </c>
      <c r="K13" s="4">
        <f>Table1[[#This Row],[Quantity]]*Table1[[#This Row],[Price]]</f>
        <v>1200.32</v>
      </c>
      <c r="L13" t="str">
        <f>IF(Table1[[#This Row],[Age]]&lt;25,"18-24",IF(Table1[[#This Row],[Age]]&lt;35,"25-34",IF(Table1[[#This Row],[Age]]&lt;45,"35-44",IF(Table1[[#This Row],[Age]]&lt;55,"45-54","55+"))))</f>
        <v>18-24</v>
      </c>
      <c r="M13" t="str">
        <f>TEXT(Table1[[#This Row],[Invoice_date]],"mmm")</f>
        <v>Aug</v>
      </c>
      <c r="N13">
        <f>YEAR(Table1[[#This Row],[Invoice_date]])</f>
        <v>2022</v>
      </c>
    </row>
    <row r="14" spans="1:14" x14ac:dyDescent="0.25">
      <c r="A14" t="s">
        <v>215</v>
      </c>
      <c r="B14" t="s">
        <v>216</v>
      </c>
      <c r="C14" t="s">
        <v>2</v>
      </c>
      <c r="D14">
        <v>19</v>
      </c>
      <c r="E14" t="s">
        <v>3</v>
      </c>
      <c r="F14">
        <v>5</v>
      </c>
      <c r="G14">
        <v>1500.4</v>
      </c>
      <c r="H14" t="s">
        <v>4</v>
      </c>
      <c r="I14" s="2">
        <v>44834</v>
      </c>
      <c r="J14" t="s">
        <v>14</v>
      </c>
      <c r="K14" s="4">
        <f>Table1[[#This Row],[Quantity]]*Table1[[#This Row],[Price]]</f>
        <v>7502</v>
      </c>
      <c r="L14" t="str">
        <f>IF(Table1[[#This Row],[Age]]&lt;25,"18-24",IF(Table1[[#This Row],[Age]]&lt;35,"25-34",IF(Table1[[#This Row],[Age]]&lt;45,"35-44",IF(Table1[[#This Row],[Age]]&lt;55,"45-54","55+"))))</f>
        <v>18-24</v>
      </c>
      <c r="M14" t="str">
        <f>TEXT(Table1[[#This Row],[Invoice_date]],"mmm")</f>
        <v>Sep</v>
      </c>
      <c r="N14">
        <f>YEAR(Table1[[#This Row],[Invoice_date]])</f>
        <v>2022</v>
      </c>
    </row>
    <row r="15" spans="1:14" x14ac:dyDescent="0.25">
      <c r="A15" t="s">
        <v>217</v>
      </c>
      <c r="B15" t="s">
        <v>218</v>
      </c>
      <c r="C15" t="s">
        <v>12</v>
      </c>
      <c r="D15">
        <v>20</v>
      </c>
      <c r="E15" t="s">
        <v>3</v>
      </c>
      <c r="F15">
        <v>4</v>
      </c>
      <c r="G15">
        <v>1200.32</v>
      </c>
      <c r="H15" t="s">
        <v>18</v>
      </c>
      <c r="I15" s="2">
        <v>44428</v>
      </c>
      <c r="J15" t="s">
        <v>14</v>
      </c>
      <c r="K15" s="4">
        <f>Table1[[#This Row],[Quantity]]*Table1[[#This Row],[Price]]</f>
        <v>4801.28</v>
      </c>
      <c r="L15" t="str">
        <f>IF(Table1[[#This Row],[Age]]&lt;25,"18-24",IF(Table1[[#This Row],[Age]]&lt;35,"25-34",IF(Table1[[#This Row],[Age]]&lt;45,"35-44",IF(Table1[[#This Row],[Age]]&lt;55,"45-54","55+"))))</f>
        <v>18-24</v>
      </c>
      <c r="M15" t="str">
        <f>TEXT(Table1[[#This Row],[Invoice_date]],"mmm")</f>
        <v>Aug</v>
      </c>
      <c r="N15">
        <f>YEAR(Table1[[#This Row],[Invoice_date]])</f>
        <v>2021</v>
      </c>
    </row>
    <row r="16" spans="1:14" x14ac:dyDescent="0.25">
      <c r="A16" t="s">
        <v>221</v>
      </c>
      <c r="B16" t="s">
        <v>222</v>
      </c>
      <c r="C16" t="s">
        <v>2</v>
      </c>
      <c r="D16">
        <v>18</v>
      </c>
      <c r="E16" t="s">
        <v>27</v>
      </c>
      <c r="F16">
        <v>1</v>
      </c>
      <c r="G16">
        <v>5.23</v>
      </c>
      <c r="H16" t="s">
        <v>4</v>
      </c>
      <c r="I16" s="2">
        <v>44753</v>
      </c>
      <c r="J16" t="s">
        <v>14</v>
      </c>
      <c r="K16" s="4">
        <f>Table1[[#This Row],[Quantity]]*Table1[[#This Row],[Price]]</f>
        <v>5.23</v>
      </c>
      <c r="L16" t="str">
        <f>IF(Table1[[#This Row],[Age]]&lt;25,"18-24",IF(Table1[[#This Row],[Age]]&lt;35,"25-34",IF(Table1[[#This Row],[Age]]&lt;45,"35-44",IF(Table1[[#This Row],[Age]]&lt;55,"45-54","55+"))))</f>
        <v>18-24</v>
      </c>
      <c r="M16" t="str">
        <f>TEXT(Table1[[#This Row],[Invoice_date]],"mmm")</f>
        <v>Jul</v>
      </c>
      <c r="N16">
        <f>YEAR(Table1[[#This Row],[Invoice_date]])</f>
        <v>2022</v>
      </c>
    </row>
    <row r="17" spans="1:14" x14ac:dyDescent="0.25">
      <c r="A17" t="s">
        <v>235</v>
      </c>
      <c r="B17" t="s">
        <v>236</v>
      </c>
      <c r="C17" t="s">
        <v>12</v>
      </c>
      <c r="D17">
        <v>21</v>
      </c>
      <c r="E17" t="s">
        <v>3</v>
      </c>
      <c r="F17">
        <v>2</v>
      </c>
      <c r="G17">
        <v>600.16</v>
      </c>
      <c r="H17" t="s">
        <v>4</v>
      </c>
      <c r="I17" s="2">
        <v>44844</v>
      </c>
      <c r="J17" t="s">
        <v>5</v>
      </c>
      <c r="K17" s="4">
        <f>Table1[[#This Row],[Quantity]]*Table1[[#This Row],[Price]]</f>
        <v>1200.32</v>
      </c>
      <c r="L17" t="str">
        <f>IF(Table1[[#This Row],[Age]]&lt;25,"18-24",IF(Table1[[#This Row],[Age]]&lt;35,"25-34",IF(Table1[[#This Row],[Age]]&lt;45,"35-44",IF(Table1[[#This Row],[Age]]&lt;55,"45-54","55+"))))</f>
        <v>18-24</v>
      </c>
      <c r="M17" t="str">
        <f>TEXT(Table1[[#This Row],[Invoice_date]],"mmm")</f>
        <v>Oct</v>
      </c>
      <c r="N17">
        <f>YEAR(Table1[[#This Row],[Invoice_date]])</f>
        <v>2022</v>
      </c>
    </row>
    <row r="18" spans="1:14" x14ac:dyDescent="0.25">
      <c r="A18" t="s">
        <v>251</v>
      </c>
      <c r="B18" t="s">
        <v>252</v>
      </c>
      <c r="C18" t="s">
        <v>2</v>
      </c>
      <c r="D18">
        <v>22</v>
      </c>
      <c r="E18" t="s">
        <v>21</v>
      </c>
      <c r="F18">
        <v>1</v>
      </c>
      <c r="G18">
        <v>1050</v>
      </c>
      <c r="H18" t="s">
        <v>18</v>
      </c>
      <c r="I18" s="2">
        <v>44432</v>
      </c>
      <c r="J18" t="s">
        <v>50</v>
      </c>
      <c r="K18" s="4">
        <f>Table1[[#This Row],[Quantity]]*Table1[[#This Row],[Price]]</f>
        <v>1050</v>
      </c>
      <c r="L18" t="str">
        <f>IF(Table1[[#This Row],[Age]]&lt;25,"18-24",IF(Table1[[#This Row],[Age]]&lt;35,"25-34",IF(Table1[[#This Row],[Age]]&lt;45,"35-44",IF(Table1[[#This Row],[Age]]&lt;55,"45-54","55+"))))</f>
        <v>18-24</v>
      </c>
      <c r="M18" t="str">
        <f>TEXT(Table1[[#This Row],[Invoice_date]],"mmm")</f>
        <v>Aug</v>
      </c>
      <c r="N18">
        <f>YEAR(Table1[[#This Row],[Invoice_date]])</f>
        <v>2021</v>
      </c>
    </row>
    <row r="19" spans="1:14" x14ac:dyDescent="0.25">
      <c r="A19" t="s">
        <v>255</v>
      </c>
      <c r="B19" t="s">
        <v>256</v>
      </c>
      <c r="C19" t="s">
        <v>12</v>
      </c>
      <c r="D19">
        <v>23</v>
      </c>
      <c r="E19" t="s">
        <v>8</v>
      </c>
      <c r="F19">
        <v>3</v>
      </c>
      <c r="G19">
        <v>121.98</v>
      </c>
      <c r="H19" t="s">
        <v>13</v>
      </c>
      <c r="I19" s="2">
        <v>44318</v>
      </c>
      <c r="J19" t="s">
        <v>43</v>
      </c>
      <c r="K19" s="4">
        <f>Table1[[#This Row],[Quantity]]*Table1[[#This Row],[Price]]</f>
        <v>365.94</v>
      </c>
      <c r="L19" t="str">
        <f>IF(Table1[[#This Row],[Age]]&lt;25,"18-24",IF(Table1[[#This Row],[Age]]&lt;35,"25-34",IF(Table1[[#This Row],[Age]]&lt;45,"35-44",IF(Table1[[#This Row],[Age]]&lt;55,"45-54","55+"))))</f>
        <v>18-24</v>
      </c>
      <c r="M19" t="str">
        <f>TEXT(Table1[[#This Row],[Invoice_date]],"mmm")</f>
        <v>May</v>
      </c>
      <c r="N19">
        <f>YEAR(Table1[[#This Row],[Invoice_date]])</f>
        <v>2021</v>
      </c>
    </row>
    <row r="20" spans="1:14" x14ac:dyDescent="0.25">
      <c r="A20" t="s">
        <v>257</v>
      </c>
      <c r="B20" t="s">
        <v>258</v>
      </c>
      <c r="C20" t="s">
        <v>12</v>
      </c>
      <c r="D20">
        <v>21</v>
      </c>
      <c r="E20" t="s">
        <v>8</v>
      </c>
      <c r="F20">
        <v>5</v>
      </c>
      <c r="G20">
        <v>203.3</v>
      </c>
      <c r="H20" t="s">
        <v>4</v>
      </c>
      <c r="I20" s="2">
        <v>44461</v>
      </c>
      <c r="J20" t="s">
        <v>24</v>
      </c>
      <c r="K20" s="4">
        <f>Table1[[#This Row],[Quantity]]*Table1[[#This Row],[Price]]</f>
        <v>1016.5</v>
      </c>
      <c r="L20" t="str">
        <f>IF(Table1[[#This Row],[Age]]&lt;25,"18-24",IF(Table1[[#This Row],[Age]]&lt;35,"25-34",IF(Table1[[#This Row],[Age]]&lt;45,"35-44",IF(Table1[[#This Row],[Age]]&lt;55,"45-54","55+"))))</f>
        <v>18-24</v>
      </c>
      <c r="M20" t="str">
        <f>TEXT(Table1[[#This Row],[Invoice_date]],"mmm")</f>
        <v>Sep</v>
      </c>
      <c r="N20">
        <f>YEAR(Table1[[#This Row],[Invoice_date]])</f>
        <v>2021</v>
      </c>
    </row>
    <row r="21" spans="1:14" x14ac:dyDescent="0.25">
      <c r="A21" t="s">
        <v>275</v>
      </c>
      <c r="B21" t="s">
        <v>276</v>
      </c>
      <c r="C21" t="s">
        <v>12</v>
      </c>
      <c r="D21">
        <v>21</v>
      </c>
      <c r="E21" t="s">
        <v>27</v>
      </c>
      <c r="F21">
        <v>2</v>
      </c>
      <c r="G21">
        <v>10.46</v>
      </c>
      <c r="H21" t="s">
        <v>4</v>
      </c>
      <c r="I21" s="2">
        <v>44332</v>
      </c>
      <c r="J21" t="s">
        <v>14</v>
      </c>
      <c r="K21" s="4">
        <f>Table1[[#This Row],[Quantity]]*Table1[[#This Row],[Price]]</f>
        <v>20.92</v>
      </c>
      <c r="L21" t="str">
        <f>IF(Table1[[#This Row],[Age]]&lt;25,"18-24",IF(Table1[[#This Row],[Age]]&lt;35,"25-34",IF(Table1[[#This Row],[Age]]&lt;45,"35-44",IF(Table1[[#This Row],[Age]]&lt;55,"45-54","55+"))))</f>
        <v>18-24</v>
      </c>
      <c r="M21" t="str">
        <f>TEXT(Table1[[#This Row],[Invoice_date]],"mmm")</f>
        <v>May</v>
      </c>
      <c r="N21">
        <f>YEAR(Table1[[#This Row],[Invoice_date]])</f>
        <v>2021</v>
      </c>
    </row>
    <row r="22" spans="1:14" x14ac:dyDescent="0.25">
      <c r="A22" t="s">
        <v>315</v>
      </c>
      <c r="B22" t="s">
        <v>316</v>
      </c>
      <c r="C22" t="s">
        <v>12</v>
      </c>
      <c r="D22">
        <v>18</v>
      </c>
      <c r="E22" t="s">
        <v>3</v>
      </c>
      <c r="F22">
        <v>1</v>
      </c>
      <c r="G22">
        <v>300.08</v>
      </c>
      <c r="H22" t="s">
        <v>13</v>
      </c>
      <c r="I22" s="2">
        <v>44502</v>
      </c>
      <c r="J22" t="s">
        <v>74</v>
      </c>
      <c r="K22" s="4">
        <f>Table1[[#This Row],[Quantity]]*Table1[[#This Row],[Price]]</f>
        <v>300.08</v>
      </c>
      <c r="L22" t="str">
        <f>IF(Table1[[#This Row],[Age]]&lt;25,"18-24",IF(Table1[[#This Row],[Age]]&lt;35,"25-34",IF(Table1[[#This Row],[Age]]&lt;45,"35-44",IF(Table1[[#This Row],[Age]]&lt;55,"45-54","55+"))))</f>
        <v>18-24</v>
      </c>
      <c r="M22" t="str">
        <f>TEXT(Table1[[#This Row],[Invoice_date]],"mmm")</f>
        <v>Nov</v>
      </c>
      <c r="N22">
        <f>YEAR(Table1[[#This Row],[Invoice_date]])</f>
        <v>2021</v>
      </c>
    </row>
    <row r="23" spans="1:14" x14ac:dyDescent="0.25">
      <c r="A23" t="s">
        <v>321</v>
      </c>
      <c r="B23" t="s">
        <v>322</v>
      </c>
      <c r="C23" t="s">
        <v>12</v>
      </c>
      <c r="D23">
        <v>19</v>
      </c>
      <c r="E23" t="s">
        <v>49</v>
      </c>
      <c r="F23">
        <v>2</v>
      </c>
      <c r="G23">
        <v>71.680000000000007</v>
      </c>
      <c r="H23" t="s">
        <v>18</v>
      </c>
      <c r="I23" s="2">
        <v>44663</v>
      </c>
      <c r="J23" t="s">
        <v>24</v>
      </c>
      <c r="K23" s="4">
        <f>Table1[[#This Row],[Quantity]]*Table1[[#This Row],[Price]]</f>
        <v>143.36000000000001</v>
      </c>
      <c r="L23" t="str">
        <f>IF(Table1[[#This Row],[Age]]&lt;25,"18-24",IF(Table1[[#This Row],[Age]]&lt;35,"25-34",IF(Table1[[#This Row],[Age]]&lt;45,"35-44",IF(Table1[[#This Row],[Age]]&lt;55,"45-54","55+"))))</f>
        <v>18-24</v>
      </c>
      <c r="M23" t="str">
        <f>TEXT(Table1[[#This Row],[Invoice_date]],"mmm")</f>
        <v>Apr</v>
      </c>
      <c r="N23">
        <f>YEAR(Table1[[#This Row],[Invoice_date]])</f>
        <v>2022</v>
      </c>
    </row>
    <row r="24" spans="1:14" x14ac:dyDescent="0.25">
      <c r="A24" t="s">
        <v>341</v>
      </c>
      <c r="B24" t="s">
        <v>342</v>
      </c>
      <c r="C24" t="s">
        <v>12</v>
      </c>
      <c r="D24">
        <v>22</v>
      </c>
      <c r="E24" t="s">
        <v>8</v>
      </c>
      <c r="F24">
        <v>4</v>
      </c>
      <c r="G24">
        <v>162.63999999999999</v>
      </c>
      <c r="H24" t="s">
        <v>4</v>
      </c>
      <c r="I24" s="2">
        <v>44246</v>
      </c>
      <c r="J24" t="s">
        <v>33</v>
      </c>
      <c r="K24" s="4">
        <f>Table1[[#This Row],[Quantity]]*Table1[[#This Row],[Price]]</f>
        <v>650.55999999999995</v>
      </c>
      <c r="L24" t="str">
        <f>IF(Table1[[#This Row],[Age]]&lt;25,"18-24",IF(Table1[[#This Row],[Age]]&lt;35,"25-34",IF(Table1[[#This Row],[Age]]&lt;45,"35-44",IF(Table1[[#This Row],[Age]]&lt;55,"45-54","55+"))))</f>
        <v>18-24</v>
      </c>
      <c r="M24" t="str">
        <f>TEXT(Table1[[#This Row],[Invoice_date]],"mmm")</f>
        <v>Feb</v>
      </c>
      <c r="N24">
        <f>YEAR(Table1[[#This Row],[Invoice_date]])</f>
        <v>2021</v>
      </c>
    </row>
    <row r="25" spans="1:14" x14ac:dyDescent="0.25">
      <c r="A25" t="s">
        <v>353</v>
      </c>
      <c r="B25" t="s">
        <v>354</v>
      </c>
      <c r="C25" t="s">
        <v>12</v>
      </c>
      <c r="D25">
        <v>18</v>
      </c>
      <c r="E25" t="s">
        <v>21</v>
      </c>
      <c r="F25">
        <v>1</v>
      </c>
      <c r="G25">
        <v>1050</v>
      </c>
      <c r="H25" t="s">
        <v>13</v>
      </c>
      <c r="I25" s="2">
        <v>44439</v>
      </c>
      <c r="J25" t="s">
        <v>24</v>
      </c>
      <c r="K25" s="4">
        <f>Table1[[#This Row],[Quantity]]*Table1[[#This Row],[Price]]</f>
        <v>1050</v>
      </c>
      <c r="L25" t="str">
        <f>IF(Table1[[#This Row],[Age]]&lt;25,"18-24",IF(Table1[[#This Row],[Age]]&lt;35,"25-34",IF(Table1[[#This Row],[Age]]&lt;45,"35-44",IF(Table1[[#This Row],[Age]]&lt;55,"45-54","55+"))))</f>
        <v>18-24</v>
      </c>
      <c r="M25" t="str">
        <f>TEXT(Table1[[#This Row],[Invoice_date]],"mmm")</f>
        <v>Aug</v>
      </c>
      <c r="N25">
        <f>YEAR(Table1[[#This Row],[Invoice_date]])</f>
        <v>2021</v>
      </c>
    </row>
    <row r="26" spans="1:14" x14ac:dyDescent="0.25">
      <c r="A26" t="s">
        <v>359</v>
      </c>
      <c r="B26" t="s">
        <v>360</v>
      </c>
      <c r="C26" t="s">
        <v>12</v>
      </c>
      <c r="D26">
        <v>20</v>
      </c>
      <c r="E26" t="s">
        <v>3</v>
      </c>
      <c r="F26">
        <v>3</v>
      </c>
      <c r="G26">
        <v>900.24</v>
      </c>
      <c r="H26" t="s">
        <v>13</v>
      </c>
      <c r="I26" s="2">
        <v>44279</v>
      </c>
      <c r="J26" t="s">
        <v>9</v>
      </c>
      <c r="K26" s="4">
        <f>Table1[[#This Row],[Quantity]]*Table1[[#This Row],[Price]]</f>
        <v>2700.7200000000003</v>
      </c>
      <c r="L26" t="str">
        <f>IF(Table1[[#This Row],[Age]]&lt;25,"18-24",IF(Table1[[#This Row],[Age]]&lt;35,"25-34",IF(Table1[[#This Row],[Age]]&lt;45,"35-44",IF(Table1[[#This Row],[Age]]&lt;55,"45-54","55+"))))</f>
        <v>18-24</v>
      </c>
      <c r="M26" t="str">
        <f>TEXT(Table1[[#This Row],[Invoice_date]],"mmm")</f>
        <v>Mar</v>
      </c>
      <c r="N26">
        <f>YEAR(Table1[[#This Row],[Invoice_date]])</f>
        <v>2021</v>
      </c>
    </row>
    <row r="27" spans="1:14" x14ac:dyDescent="0.25">
      <c r="A27" t="s">
        <v>379</v>
      </c>
      <c r="B27" t="s">
        <v>380</v>
      </c>
      <c r="C27" t="s">
        <v>2</v>
      </c>
      <c r="D27">
        <v>23</v>
      </c>
      <c r="E27" t="s">
        <v>46</v>
      </c>
      <c r="F27">
        <v>3</v>
      </c>
      <c r="G27">
        <v>35.19</v>
      </c>
      <c r="H27" t="s">
        <v>18</v>
      </c>
      <c r="I27" s="2">
        <v>44352</v>
      </c>
      <c r="J27" t="s">
        <v>74</v>
      </c>
      <c r="K27" s="4">
        <f>Table1[[#This Row],[Quantity]]*Table1[[#This Row],[Price]]</f>
        <v>105.57</v>
      </c>
      <c r="L27" t="str">
        <f>IF(Table1[[#This Row],[Age]]&lt;25,"18-24",IF(Table1[[#This Row],[Age]]&lt;35,"25-34",IF(Table1[[#This Row],[Age]]&lt;45,"35-44",IF(Table1[[#This Row],[Age]]&lt;55,"45-54","55+"))))</f>
        <v>18-24</v>
      </c>
      <c r="M27" t="str">
        <f>TEXT(Table1[[#This Row],[Invoice_date]],"mmm")</f>
        <v>Jun</v>
      </c>
      <c r="N27">
        <f>YEAR(Table1[[#This Row],[Invoice_date]])</f>
        <v>2021</v>
      </c>
    </row>
    <row r="28" spans="1:14" x14ac:dyDescent="0.25">
      <c r="A28" t="s">
        <v>397</v>
      </c>
      <c r="B28" t="s">
        <v>398</v>
      </c>
      <c r="C28" t="s">
        <v>2</v>
      </c>
      <c r="D28">
        <v>21</v>
      </c>
      <c r="E28" t="s">
        <v>3</v>
      </c>
      <c r="F28">
        <v>2</v>
      </c>
      <c r="G28">
        <v>600.16</v>
      </c>
      <c r="H28" t="s">
        <v>4</v>
      </c>
      <c r="I28" s="2">
        <v>44844</v>
      </c>
      <c r="J28" t="s">
        <v>24</v>
      </c>
      <c r="K28" s="4">
        <f>Table1[[#This Row],[Quantity]]*Table1[[#This Row],[Price]]</f>
        <v>1200.32</v>
      </c>
      <c r="L28" t="str">
        <f>IF(Table1[[#This Row],[Age]]&lt;25,"18-24",IF(Table1[[#This Row],[Age]]&lt;35,"25-34",IF(Table1[[#This Row],[Age]]&lt;45,"35-44",IF(Table1[[#This Row],[Age]]&lt;55,"45-54","55+"))))</f>
        <v>18-24</v>
      </c>
      <c r="M28" t="str">
        <f>TEXT(Table1[[#This Row],[Invoice_date]],"mmm")</f>
        <v>Oct</v>
      </c>
      <c r="N28">
        <f>YEAR(Table1[[#This Row],[Invoice_date]])</f>
        <v>2022</v>
      </c>
    </row>
    <row r="29" spans="1:14" x14ac:dyDescent="0.25">
      <c r="A29" t="s">
        <v>399</v>
      </c>
      <c r="B29" t="s">
        <v>400</v>
      </c>
      <c r="C29" t="s">
        <v>2</v>
      </c>
      <c r="D29">
        <v>18</v>
      </c>
      <c r="E29" t="s">
        <v>49</v>
      </c>
      <c r="F29">
        <v>5</v>
      </c>
      <c r="G29">
        <v>179.2</v>
      </c>
      <c r="H29" t="s">
        <v>18</v>
      </c>
      <c r="I29" s="2">
        <v>44199</v>
      </c>
      <c r="J29" t="s">
        <v>14</v>
      </c>
      <c r="K29" s="4">
        <f>Table1[[#This Row],[Quantity]]*Table1[[#This Row],[Price]]</f>
        <v>896</v>
      </c>
      <c r="L29" t="str">
        <f>IF(Table1[[#This Row],[Age]]&lt;25,"18-24",IF(Table1[[#This Row],[Age]]&lt;35,"25-34",IF(Table1[[#This Row],[Age]]&lt;45,"35-44",IF(Table1[[#This Row],[Age]]&lt;55,"45-54","55+"))))</f>
        <v>18-24</v>
      </c>
      <c r="M29" t="str">
        <f>TEXT(Table1[[#This Row],[Invoice_date]],"mmm")</f>
        <v>Jan</v>
      </c>
      <c r="N29">
        <f>YEAR(Table1[[#This Row],[Invoice_date]])</f>
        <v>2021</v>
      </c>
    </row>
    <row r="30" spans="1:14" x14ac:dyDescent="0.25">
      <c r="A30" t="s">
        <v>415</v>
      </c>
      <c r="B30" t="s">
        <v>416</v>
      </c>
      <c r="C30" t="s">
        <v>2</v>
      </c>
      <c r="D30">
        <v>23</v>
      </c>
      <c r="E30" t="s">
        <v>49</v>
      </c>
      <c r="F30">
        <v>1</v>
      </c>
      <c r="G30">
        <v>35.840000000000003</v>
      </c>
      <c r="H30" t="s">
        <v>18</v>
      </c>
      <c r="I30" s="2">
        <v>44612</v>
      </c>
      <c r="J30" t="s">
        <v>24</v>
      </c>
      <c r="K30" s="4">
        <f>Table1[[#This Row],[Quantity]]*Table1[[#This Row],[Price]]</f>
        <v>35.840000000000003</v>
      </c>
      <c r="L30" t="str">
        <f>IF(Table1[[#This Row],[Age]]&lt;25,"18-24",IF(Table1[[#This Row],[Age]]&lt;35,"25-34",IF(Table1[[#This Row],[Age]]&lt;45,"35-44",IF(Table1[[#This Row],[Age]]&lt;55,"45-54","55+"))))</f>
        <v>18-24</v>
      </c>
      <c r="M30" t="str">
        <f>TEXT(Table1[[#This Row],[Invoice_date]],"mmm")</f>
        <v>Feb</v>
      </c>
      <c r="N30">
        <f>YEAR(Table1[[#This Row],[Invoice_date]])</f>
        <v>2022</v>
      </c>
    </row>
    <row r="31" spans="1:14" x14ac:dyDescent="0.25">
      <c r="A31" t="s">
        <v>417</v>
      </c>
      <c r="B31" t="s">
        <v>418</v>
      </c>
      <c r="C31" t="s">
        <v>2</v>
      </c>
      <c r="D31">
        <v>23</v>
      </c>
      <c r="E31" t="s">
        <v>21</v>
      </c>
      <c r="F31">
        <v>2</v>
      </c>
      <c r="G31">
        <v>2100</v>
      </c>
      <c r="H31" t="s">
        <v>4</v>
      </c>
      <c r="I31" s="2">
        <v>44358</v>
      </c>
      <c r="J31" t="s">
        <v>14</v>
      </c>
      <c r="K31" s="4">
        <f>Table1[[#This Row],[Quantity]]*Table1[[#This Row],[Price]]</f>
        <v>4200</v>
      </c>
      <c r="L31" t="str">
        <f>IF(Table1[[#This Row],[Age]]&lt;25,"18-24",IF(Table1[[#This Row],[Age]]&lt;35,"25-34",IF(Table1[[#This Row],[Age]]&lt;45,"35-44",IF(Table1[[#This Row],[Age]]&lt;55,"45-54","55+"))))</f>
        <v>18-24</v>
      </c>
      <c r="M31" t="str">
        <f>TEXT(Table1[[#This Row],[Invoice_date]],"mmm")</f>
        <v>Jun</v>
      </c>
      <c r="N31">
        <f>YEAR(Table1[[#This Row],[Invoice_date]])</f>
        <v>2021</v>
      </c>
    </row>
    <row r="32" spans="1:14" x14ac:dyDescent="0.25">
      <c r="A32" t="s">
        <v>435</v>
      </c>
      <c r="B32" t="s">
        <v>436</v>
      </c>
      <c r="C32" t="s">
        <v>2</v>
      </c>
      <c r="D32">
        <v>23</v>
      </c>
      <c r="E32" t="s">
        <v>17</v>
      </c>
      <c r="F32">
        <v>2</v>
      </c>
      <c r="G32">
        <v>30.3</v>
      </c>
      <c r="H32" t="s">
        <v>18</v>
      </c>
      <c r="I32" s="2">
        <v>44259</v>
      </c>
      <c r="J32" t="s">
        <v>24</v>
      </c>
      <c r="K32" s="4">
        <f>Table1[[#This Row],[Quantity]]*Table1[[#This Row],[Price]]</f>
        <v>60.6</v>
      </c>
      <c r="L32" t="str">
        <f>IF(Table1[[#This Row],[Age]]&lt;25,"18-24",IF(Table1[[#This Row],[Age]]&lt;35,"25-34",IF(Table1[[#This Row],[Age]]&lt;45,"35-44",IF(Table1[[#This Row],[Age]]&lt;55,"45-54","55+"))))</f>
        <v>18-24</v>
      </c>
      <c r="M32" t="str">
        <f>TEXT(Table1[[#This Row],[Invoice_date]],"mmm")</f>
        <v>Mar</v>
      </c>
      <c r="N32">
        <f>YEAR(Table1[[#This Row],[Invoice_date]])</f>
        <v>2021</v>
      </c>
    </row>
    <row r="33" spans="1:14" x14ac:dyDescent="0.25">
      <c r="A33" t="s">
        <v>447</v>
      </c>
      <c r="B33" t="s">
        <v>448</v>
      </c>
      <c r="C33" t="s">
        <v>12</v>
      </c>
      <c r="D33">
        <v>22</v>
      </c>
      <c r="E33" t="s">
        <v>3</v>
      </c>
      <c r="F33">
        <v>5</v>
      </c>
      <c r="G33">
        <v>1500.4</v>
      </c>
      <c r="H33" t="s">
        <v>4</v>
      </c>
      <c r="I33" s="2">
        <v>44704</v>
      </c>
      <c r="J33" t="s">
        <v>33</v>
      </c>
      <c r="K33" s="4">
        <f>Table1[[#This Row],[Quantity]]*Table1[[#This Row],[Price]]</f>
        <v>7502</v>
      </c>
      <c r="L33" t="str">
        <f>IF(Table1[[#This Row],[Age]]&lt;25,"18-24",IF(Table1[[#This Row],[Age]]&lt;35,"25-34",IF(Table1[[#This Row],[Age]]&lt;45,"35-44",IF(Table1[[#This Row],[Age]]&lt;55,"45-54","55+"))))</f>
        <v>18-24</v>
      </c>
      <c r="M33" t="str">
        <f>TEXT(Table1[[#This Row],[Invoice_date]],"mmm")</f>
        <v>May</v>
      </c>
      <c r="N33">
        <f>YEAR(Table1[[#This Row],[Invoice_date]])</f>
        <v>2022</v>
      </c>
    </row>
    <row r="34" spans="1:14" x14ac:dyDescent="0.25">
      <c r="A34" t="s">
        <v>489</v>
      </c>
      <c r="B34" t="s">
        <v>490</v>
      </c>
      <c r="C34" t="s">
        <v>2</v>
      </c>
      <c r="D34">
        <v>24</v>
      </c>
      <c r="E34" t="s">
        <v>21</v>
      </c>
      <c r="F34">
        <v>2</v>
      </c>
      <c r="G34">
        <v>2100</v>
      </c>
      <c r="H34" t="s">
        <v>13</v>
      </c>
      <c r="I34" s="2">
        <v>44316</v>
      </c>
      <c r="J34" t="s">
        <v>14</v>
      </c>
      <c r="K34" s="4">
        <f>Table1[[#This Row],[Quantity]]*Table1[[#This Row],[Price]]</f>
        <v>4200</v>
      </c>
      <c r="L34" t="str">
        <f>IF(Table1[[#This Row],[Age]]&lt;25,"18-24",IF(Table1[[#This Row],[Age]]&lt;35,"25-34",IF(Table1[[#This Row],[Age]]&lt;45,"35-44",IF(Table1[[#This Row],[Age]]&lt;55,"45-54","55+"))))</f>
        <v>18-24</v>
      </c>
      <c r="M34" t="str">
        <f>TEXT(Table1[[#This Row],[Invoice_date]],"mmm")</f>
        <v>Apr</v>
      </c>
      <c r="N34">
        <f>YEAR(Table1[[#This Row],[Invoice_date]])</f>
        <v>2021</v>
      </c>
    </row>
    <row r="35" spans="1:14" x14ac:dyDescent="0.25">
      <c r="A35" t="s">
        <v>505</v>
      </c>
      <c r="B35" t="s">
        <v>506</v>
      </c>
      <c r="C35" t="s">
        <v>2</v>
      </c>
      <c r="D35">
        <v>20</v>
      </c>
      <c r="E35" t="s">
        <v>3</v>
      </c>
      <c r="F35">
        <v>2</v>
      </c>
      <c r="G35">
        <v>600.16</v>
      </c>
      <c r="H35" t="s">
        <v>13</v>
      </c>
      <c r="I35" s="2">
        <v>44651</v>
      </c>
      <c r="J35" t="s">
        <v>33</v>
      </c>
      <c r="K35" s="4">
        <f>Table1[[#This Row],[Quantity]]*Table1[[#This Row],[Price]]</f>
        <v>1200.32</v>
      </c>
      <c r="L35" t="str">
        <f>IF(Table1[[#This Row],[Age]]&lt;25,"18-24",IF(Table1[[#This Row],[Age]]&lt;35,"25-34",IF(Table1[[#This Row],[Age]]&lt;45,"35-44",IF(Table1[[#This Row],[Age]]&lt;55,"45-54","55+"))))</f>
        <v>18-24</v>
      </c>
      <c r="M35" t="str">
        <f>TEXT(Table1[[#This Row],[Invoice_date]],"mmm")</f>
        <v>Mar</v>
      </c>
      <c r="N35">
        <f>YEAR(Table1[[#This Row],[Invoice_date]])</f>
        <v>2022</v>
      </c>
    </row>
    <row r="36" spans="1:14" x14ac:dyDescent="0.25">
      <c r="A36" t="s">
        <v>517</v>
      </c>
      <c r="B36" t="s">
        <v>518</v>
      </c>
      <c r="C36" t="s">
        <v>12</v>
      </c>
      <c r="D36">
        <v>18</v>
      </c>
      <c r="E36" t="s">
        <v>17</v>
      </c>
      <c r="F36">
        <v>4</v>
      </c>
      <c r="G36">
        <v>60.6</v>
      </c>
      <c r="H36" t="s">
        <v>18</v>
      </c>
      <c r="I36" s="2">
        <v>44215</v>
      </c>
      <c r="J36" t="s">
        <v>14</v>
      </c>
      <c r="K36" s="4">
        <f>Table1[[#This Row],[Quantity]]*Table1[[#This Row],[Price]]</f>
        <v>242.4</v>
      </c>
      <c r="L36" t="str">
        <f>IF(Table1[[#This Row],[Age]]&lt;25,"18-24",IF(Table1[[#This Row],[Age]]&lt;35,"25-34",IF(Table1[[#This Row],[Age]]&lt;45,"35-44",IF(Table1[[#This Row],[Age]]&lt;55,"45-54","55+"))))</f>
        <v>18-24</v>
      </c>
      <c r="M36" t="str">
        <f>TEXT(Table1[[#This Row],[Invoice_date]],"mmm")</f>
        <v>Jan</v>
      </c>
      <c r="N36">
        <f>YEAR(Table1[[#This Row],[Invoice_date]])</f>
        <v>2021</v>
      </c>
    </row>
    <row r="37" spans="1:14" x14ac:dyDescent="0.25">
      <c r="A37" t="s">
        <v>529</v>
      </c>
      <c r="B37" t="s">
        <v>530</v>
      </c>
      <c r="C37" t="s">
        <v>12</v>
      </c>
      <c r="D37">
        <v>23</v>
      </c>
      <c r="E37" t="s">
        <v>27</v>
      </c>
      <c r="F37">
        <v>3</v>
      </c>
      <c r="G37">
        <v>15.69</v>
      </c>
      <c r="H37" t="s">
        <v>18</v>
      </c>
      <c r="I37" s="2">
        <v>44627</v>
      </c>
      <c r="J37" t="s">
        <v>74</v>
      </c>
      <c r="K37" s="4">
        <f>Table1[[#This Row],[Quantity]]*Table1[[#This Row],[Price]]</f>
        <v>47.07</v>
      </c>
      <c r="L37" t="str">
        <f>IF(Table1[[#This Row],[Age]]&lt;25,"18-24",IF(Table1[[#This Row],[Age]]&lt;35,"25-34",IF(Table1[[#This Row],[Age]]&lt;45,"35-44",IF(Table1[[#This Row],[Age]]&lt;55,"45-54","55+"))))</f>
        <v>18-24</v>
      </c>
      <c r="M37" t="str">
        <f>TEXT(Table1[[#This Row],[Invoice_date]],"mmm")</f>
        <v>Mar</v>
      </c>
      <c r="N37">
        <f>YEAR(Table1[[#This Row],[Invoice_date]])</f>
        <v>2022</v>
      </c>
    </row>
    <row r="38" spans="1:14" x14ac:dyDescent="0.25">
      <c r="A38" t="s">
        <v>531</v>
      </c>
      <c r="B38" t="s">
        <v>532</v>
      </c>
      <c r="C38" t="s">
        <v>2</v>
      </c>
      <c r="D38">
        <v>23</v>
      </c>
      <c r="E38" t="s">
        <v>8</v>
      </c>
      <c r="F38">
        <v>5</v>
      </c>
      <c r="G38">
        <v>203.3</v>
      </c>
      <c r="H38" t="s">
        <v>4</v>
      </c>
      <c r="I38" s="2">
        <v>44288</v>
      </c>
      <c r="J38" t="s">
        <v>50</v>
      </c>
      <c r="K38" s="4">
        <f>Table1[[#This Row],[Quantity]]*Table1[[#This Row],[Price]]</f>
        <v>1016.5</v>
      </c>
      <c r="L38" t="str">
        <f>IF(Table1[[#This Row],[Age]]&lt;25,"18-24",IF(Table1[[#This Row],[Age]]&lt;35,"25-34",IF(Table1[[#This Row],[Age]]&lt;45,"35-44",IF(Table1[[#This Row],[Age]]&lt;55,"45-54","55+"))))</f>
        <v>18-24</v>
      </c>
      <c r="M38" t="str">
        <f>TEXT(Table1[[#This Row],[Invoice_date]],"mmm")</f>
        <v>Apr</v>
      </c>
      <c r="N38">
        <f>YEAR(Table1[[#This Row],[Invoice_date]])</f>
        <v>2021</v>
      </c>
    </row>
    <row r="39" spans="1:14" x14ac:dyDescent="0.25">
      <c r="A39" t="s">
        <v>545</v>
      </c>
      <c r="B39" t="s">
        <v>546</v>
      </c>
      <c r="C39" t="s">
        <v>2</v>
      </c>
      <c r="D39">
        <v>23</v>
      </c>
      <c r="E39" t="s">
        <v>38</v>
      </c>
      <c r="F39">
        <v>4</v>
      </c>
      <c r="G39">
        <v>2400.6799999999998</v>
      </c>
      <c r="H39" t="s">
        <v>18</v>
      </c>
      <c r="I39" s="2">
        <v>44486</v>
      </c>
      <c r="J39" t="s">
        <v>50</v>
      </c>
      <c r="K39" s="4">
        <f>Table1[[#This Row],[Quantity]]*Table1[[#This Row],[Price]]</f>
        <v>9602.7199999999993</v>
      </c>
      <c r="L39" t="str">
        <f>IF(Table1[[#This Row],[Age]]&lt;25,"18-24",IF(Table1[[#This Row],[Age]]&lt;35,"25-34",IF(Table1[[#This Row],[Age]]&lt;45,"35-44",IF(Table1[[#This Row],[Age]]&lt;55,"45-54","55+"))))</f>
        <v>18-24</v>
      </c>
      <c r="M39" t="str">
        <f>TEXT(Table1[[#This Row],[Invoice_date]],"mmm")</f>
        <v>Oct</v>
      </c>
      <c r="N39">
        <f>YEAR(Table1[[#This Row],[Invoice_date]])</f>
        <v>2021</v>
      </c>
    </row>
    <row r="40" spans="1:14" x14ac:dyDescent="0.25">
      <c r="A40" t="s">
        <v>557</v>
      </c>
      <c r="B40" t="s">
        <v>558</v>
      </c>
      <c r="C40" t="s">
        <v>12</v>
      </c>
      <c r="D40">
        <v>21</v>
      </c>
      <c r="E40" t="s">
        <v>27</v>
      </c>
      <c r="F40">
        <v>3</v>
      </c>
      <c r="G40">
        <v>15.69</v>
      </c>
      <c r="H40" t="s">
        <v>4</v>
      </c>
      <c r="I40" s="2">
        <v>44204</v>
      </c>
      <c r="J40" t="s">
        <v>14</v>
      </c>
      <c r="K40" s="4">
        <f>Table1[[#This Row],[Quantity]]*Table1[[#This Row],[Price]]</f>
        <v>47.07</v>
      </c>
      <c r="L40" t="str">
        <f>IF(Table1[[#This Row],[Age]]&lt;25,"18-24",IF(Table1[[#This Row],[Age]]&lt;35,"25-34",IF(Table1[[#This Row],[Age]]&lt;45,"35-44",IF(Table1[[#This Row],[Age]]&lt;55,"45-54","55+"))))</f>
        <v>18-24</v>
      </c>
      <c r="M40" t="str">
        <f>TEXT(Table1[[#This Row],[Invoice_date]],"mmm")</f>
        <v>Jan</v>
      </c>
      <c r="N40">
        <f>YEAR(Table1[[#This Row],[Invoice_date]])</f>
        <v>2021</v>
      </c>
    </row>
    <row r="41" spans="1:14" x14ac:dyDescent="0.25">
      <c r="A41" t="s">
        <v>559</v>
      </c>
      <c r="B41" t="s">
        <v>560</v>
      </c>
      <c r="C41" t="s">
        <v>2</v>
      </c>
      <c r="D41">
        <v>20</v>
      </c>
      <c r="E41" t="s">
        <v>27</v>
      </c>
      <c r="F41">
        <v>2</v>
      </c>
      <c r="G41">
        <v>10.46</v>
      </c>
      <c r="H41" t="s">
        <v>4</v>
      </c>
      <c r="I41" s="2">
        <v>44556</v>
      </c>
      <c r="J41" t="s">
        <v>24</v>
      </c>
      <c r="K41" s="4">
        <f>Table1[[#This Row],[Quantity]]*Table1[[#This Row],[Price]]</f>
        <v>20.92</v>
      </c>
      <c r="L41" t="str">
        <f>IF(Table1[[#This Row],[Age]]&lt;25,"18-24",IF(Table1[[#This Row],[Age]]&lt;35,"25-34",IF(Table1[[#This Row],[Age]]&lt;45,"35-44",IF(Table1[[#This Row],[Age]]&lt;55,"45-54","55+"))))</f>
        <v>18-24</v>
      </c>
      <c r="M41" t="str">
        <f>TEXT(Table1[[#This Row],[Invoice_date]],"mmm")</f>
        <v>Dec</v>
      </c>
      <c r="N41">
        <f>YEAR(Table1[[#This Row],[Invoice_date]])</f>
        <v>2021</v>
      </c>
    </row>
    <row r="42" spans="1:14" x14ac:dyDescent="0.25">
      <c r="A42" t="s">
        <v>589</v>
      </c>
      <c r="B42" t="s">
        <v>590</v>
      </c>
      <c r="C42" t="s">
        <v>12</v>
      </c>
      <c r="D42">
        <v>20</v>
      </c>
      <c r="E42" t="s">
        <v>49</v>
      </c>
      <c r="F42">
        <v>2</v>
      </c>
      <c r="G42">
        <v>71.680000000000007</v>
      </c>
      <c r="H42" t="s">
        <v>4</v>
      </c>
      <c r="I42" s="2">
        <v>44441</v>
      </c>
      <c r="J42" t="s">
        <v>14</v>
      </c>
      <c r="K42" s="4">
        <f>Table1[[#This Row],[Quantity]]*Table1[[#This Row],[Price]]</f>
        <v>143.36000000000001</v>
      </c>
      <c r="L42" t="str">
        <f>IF(Table1[[#This Row],[Age]]&lt;25,"18-24",IF(Table1[[#This Row],[Age]]&lt;35,"25-34",IF(Table1[[#This Row],[Age]]&lt;45,"35-44",IF(Table1[[#This Row],[Age]]&lt;55,"45-54","55+"))))</f>
        <v>18-24</v>
      </c>
      <c r="M42" t="str">
        <f>TEXT(Table1[[#This Row],[Invoice_date]],"mmm")</f>
        <v>Sep</v>
      </c>
      <c r="N42">
        <f>YEAR(Table1[[#This Row],[Invoice_date]])</f>
        <v>2021</v>
      </c>
    </row>
    <row r="43" spans="1:14" x14ac:dyDescent="0.25">
      <c r="A43" t="s">
        <v>605</v>
      </c>
      <c r="B43" t="s">
        <v>606</v>
      </c>
      <c r="C43" t="s">
        <v>2</v>
      </c>
      <c r="D43">
        <v>20</v>
      </c>
      <c r="E43" t="s">
        <v>27</v>
      </c>
      <c r="F43">
        <v>5</v>
      </c>
      <c r="G43">
        <v>26.15</v>
      </c>
      <c r="H43" t="s">
        <v>4</v>
      </c>
      <c r="I43" s="2">
        <v>44430</v>
      </c>
      <c r="J43" t="s">
        <v>9</v>
      </c>
      <c r="K43" s="4">
        <f>Table1[[#This Row],[Quantity]]*Table1[[#This Row],[Price]]</f>
        <v>130.75</v>
      </c>
      <c r="L43" t="str">
        <f>IF(Table1[[#This Row],[Age]]&lt;25,"18-24",IF(Table1[[#This Row],[Age]]&lt;35,"25-34",IF(Table1[[#This Row],[Age]]&lt;45,"35-44",IF(Table1[[#This Row],[Age]]&lt;55,"45-54","55+"))))</f>
        <v>18-24</v>
      </c>
      <c r="M43" t="str">
        <f>TEXT(Table1[[#This Row],[Invoice_date]],"mmm")</f>
        <v>Aug</v>
      </c>
      <c r="N43">
        <f>YEAR(Table1[[#This Row],[Invoice_date]])</f>
        <v>2021</v>
      </c>
    </row>
    <row r="44" spans="1:14" x14ac:dyDescent="0.25">
      <c r="A44" t="s">
        <v>609</v>
      </c>
      <c r="B44" t="s">
        <v>610</v>
      </c>
      <c r="C44" t="s">
        <v>12</v>
      </c>
      <c r="D44">
        <v>21</v>
      </c>
      <c r="E44" t="s">
        <v>3</v>
      </c>
      <c r="F44">
        <v>3</v>
      </c>
      <c r="G44">
        <v>900.24</v>
      </c>
      <c r="H44" t="s">
        <v>13</v>
      </c>
      <c r="I44" s="2">
        <v>44550</v>
      </c>
      <c r="J44" t="s">
        <v>24</v>
      </c>
      <c r="K44" s="4">
        <f>Table1[[#This Row],[Quantity]]*Table1[[#This Row],[Price]]</f>
        <v>2700.7200000000003</v>
      </c>
      <c r="L44" t="str">
        <f>IF(Table1[[#This Row],[Age]]&lt;25,"18-24",IF(Table1[[#This Row],[Age]]&lt;35,"25-34",IF(Table1[[#This Row],[Age]]&lt;45,"35-44",IF(Table1[[#This Row],[Age]]&lt;55,"45-54","55+"))))</f>
        <v>18-24</v>
      </c>
      <c r="M44" t="str">
        <f>TEXT(Table1[[#This Row],[Invoice_date]],"mmm")</f>
        <v>Dec</v>
      </c>
      <c r="N44">
        <f>YEAR(Table1[[#This Row],[Invoice_date]])</f>
        <v>2021</v>
      </c>
    </row>
    <row r="45" spans="1:14" x14ac:dyDescent="0.25">
      <c r="A45" t="s">
        <v>613</v>
      </c>
      <c r="B45" t="s">
        <v>614</v>
      </c>
      <c r="C45" t="s">
        <v>12</v>
      </c>
      <c r="D45">
        <v>18</v>
      </c>
      <c r="E45" t="s">
        <v>21</v>
      </c>
      <c r="F45">
        <v>1</v>
      </c>
      <c r="G45">
        <v>1050</v>
      </c>
      <c r="H45" t="s">
        <v>18</v>
      </c>
      <c r="I45" s="2">
        <v>44437</v>
      </c>
      <c r="J45" t="s">
        <v>24</v>
      </c>
      <c r="K45" s="4">
        <f>Table1[[#This Row],[Quantity]]*Table1[[#This Row],[Price]]</f>
        <v>1050</v>
      </c>
      <c r="L45" t="str">
        <f>IF(Table1[[#This Row],[Age]]&lt;25,"18-24",IF(Table1[[#This Row],[Age]]&lt;35,"25-34",IF(Table1[[#This Row],[Age]]&lt;45,"35-44",IF(Table1[[#This Row],[Age]]&lt;55,"45-54","55+"))))</f>
        <v>18-24</v>
      </c>
      <c r="M45" t="str">
        <f>TEXT(Table1[[#This Row],[Invoice_date]],"mmm")</f>
        <v>Aug</v>
      </c>
      <c r="N45">
        <f>YEAR(Table1[[#This Row],[Invoice_date]])</f>
        <v>2021</v>
      </c>
    </row>
    <row r="46" spans="1:14" x14ac:dyDescent="0.25">
      <c r="A46" t="s">
        <v>617</v>
      </c>
      <c r="B46" t="s">
        <v>618</v>
      </c>
      <c r="C46" t="s">
        <v>12</v>
      </c>
      <c r="D46">
        <v>22</v>
      </c>
      <c r="E46" t="s">
        <v>27</v>
      </c>
      <c r="F46">
        <v>1</v>
      </c>
      <c r="G46">
        <v>5.23</v>
      </c>
      <c r="H46" t="s">
        <v>18</v>
      </c>
      <c r="I46" s="2">
        <v>44821</v>
      </c>
      <c r="J46" t="s">
        <v>33</v>
      </c>
      <c r="K46" s="4">
        <f>Table1[[#This Row],[Quantity]]*Table1[[#This Row],[Price]]</f>
        <v>5.23</v>
      </c>
      <c r="L46" t="str">
        <f>IF(Table1[[#This Row],[Age]]&lt;25,"18-24",IF(Table1[[#This Row],[Age]]&lt;35,"25-34",IF(Table1[[#This Row],[Age]]&lt;45,"35-44",IF(Table1[[#This Row],[Age]]&lt;55,"45-54","55+"))))</f>
        <v>18-24</v>
      </c>
      <c r="M46" t="str">
        <f>TEXT(Table1[[#This Row],[Invoice_date]],"mmm")</f>
        <v>Sep</v>
      </c>
      <c r="N46">
        <f>YEAR(Table1[[#This Row],[Invoice_date]])</f>
        <v>2022</v>
      </c>
    </row>
    <row r="47" spans="1:14" x14ac:dyDescent="0.25">
      <c r="A47" t="s">
        <v>649</v>
      </c>
      <c r="B47" t="s">
        <v>650</v>
      </c>
      <c r="C47" t="s">
        <v>12</v>
      </c>
      <c r="D47">
        <v>24</v>
      </c>
      <c r="E47" t="s">
        <v>8</v>
      </c>
      <c r="F47">
        <v>5</v>
      </c>
      <c r="G47">
        <v>203.3</v>
      </c>
      <c r="H47" t="s">
        <v>4</v>
      </c>
      <c r="I47" s="2">
        <v>44730</v>
      </c>
      <c r="J47" t="s">
        <v>24</v>
      </c>
      <c r="K47" s="4">
        <f>Table1[[#This Row],[Quantity]]*Table1[[#This Row],[Price]]</f>
        <v>1016.5</v>
      </c>
      <c r="L47" t="str">
        <f>IF(Table1[[#This Row],[Age]]&lt;25,"18-24",IF(Table1[[#This Row],[Age]]&lt;35,"25-34",IF(Table1[[#This Row],[Age]]&lt;45,"35-44",IF(Table1[[#This Row],[Age]]&lt;55,"45-54","55+"))))</f>
        <v>18-24</v>
      </c>
      <c r="M47" t="str">
        <f>TEXT(Table1[[#This Row],[Invoice_date]],"mmm")</f>
        <v>Jun</v>
      </c>
      <c r="N47">
        <f>YEAR(Table1[[#This Row],[Invoice_date]])</f>
        <v>2022</v>
      </c>
    </row>
    <row r="48" spans="1:14" x14ac:dyDescent="0.25">
      <c r="A48" t="s">
        <v>659</v>
      </c>
      <c r="B48" t="s">
        <v>660</v>
      </c>
      <c r="C48" t="s">
        <v>2</v>
      </c>
      <c r="D48">
        <v>24</v>
      </c>
      <c r="E48" t="s">
        <v>49</v>
      </c>
      <c r="F48">
        <v>3</v>
      </c>
      <c r="G48">
        <v>107.52</v>
      </c>
      <c r="H48" t="s">
        <v>13</v>
      </c>
      <c r="I48" s="2">
        <v>44449</v>
      </c>
      <c r="J48" t="s">
        <v>33</v>
      </c>
      <c r="K48" s="4">
        <f>Table1[[#This Row],[Quantity]]*Table1[[#This Row],[Price]]</f>
        <v>322.56</v>
      </c>
      <c r="L48" t="str">
        <f>IF(Table1[[#This Row],[Age]]&lt;25,"18-24",IF(Table1[[#This Row],[Age]]&lt;35,"25-34",IF(Table1[[#This Row],[Age]]&lt;45,"35-44",IF(Table1[[#This Row],[Age]]&lt;55,"45-54","55+"))))</f>
        <v>18-24</v>
      </c>
      <c r="M48" t="str">
        <f>TEXT(Table1[[#This Row],[Invoice_date]],"mmm")</f>
        <v>Sep</v>
      </c>
      <c r="N48">
        <f>YEAR(Table1[[#This Row],[Invoice_date]])</f>
        <v>2021</v>
      </c>
    </row>
    <row r="49" spans="1:14" x14ac:dyDescent="0.25">
      <c r="A49" t="s">
        <v>673</v>
      </c>
      <c r="B49" t="s">
        <v>674</v>
      </c>
      <c r="C49" t="s">
        <v>2</v>
      </c>
      <c r="D49">
        <v>19</v>
      </c>
      <c r="E49" t="s">
        <v>49</v>
      </c>
      <c r="F49">
        <v>5</v>
      </c>
      <c r="G49">
        <v>179.2</v>
      </c>
      <c r="H49" t="s">
        <v>4</v>
      </c>
      <c r="I49" s="2">
        <v>44618</v>
      </c>
      <c r="J49" t="s">
        <v>24</v>
      </c>
      <c r="K49" s="4">
        <f>Table1[[#This Row],[Quantity]]*Table1[[#This Row],[Price]]</f>
        <v>896</v>
      </c>
      <c r="L49" t="str">
        <f>IF(Table1[[#This Row],[Age]]&lt;25,"18-24",IF(Table1[[#This Row],[Age]]&lt;35,"25-34",IF(Table1[[#This Row],[Age]]&lt;45,"35-44",IF(Table1[[#This Row],[Age]]&lt;55,"45-54","55+"))))</f>
        <v>18-24</v>
      </c>
      <c r="M49" t="str">
        <f>TEXT(Table1[[#This Row],[Invoice_date]],"mmm")</f>
        <v>Feb</v>
      </c>
      <c r="N49">
        <f>YEAR(Table1[[#This Row],[Invoice_date]])</f>
        <v>2022</v>
      </c>
    </row>
    <row r="50" spans="1:14" x14ac:dyDescent="0.25">
      <c r="A50" t="s">
        <v>681</v>
      </c>
      <c r="B50" t="s">
        <v>682</v>
      </c>
      <c r="C50" t="s">
        <v>2</v>
      </c>
      <c r="D50">
        <v>19</v>
      </c>
      <c r="E50" t="s">
        <v>3</v>
      </c>
      <c r="F50">
        <v>2</v>
      </c>
      <c r="G50">
        <v>600.16</v>
      </c>
      <c r="H50" t="s">
        <v>4</v>
      </c>
      <c r="I50" s="2">
        <v>44810</v>
      </c>
      <c r="J50" t="s">
        <v>24</v>
      </c>
      <c r="K50" s="4">
        <f>Table1[[#This Row],[Quantity]]*Table1[[#This Row],[Price]]</f>
        <v>1200.32</v>
      </c>
      <c r="L50" t="str">
        <f>IF(Table1[[#This Row],[Age]]&lt;25,"18-24",IF(Table1[[#This Row],[Age]]&lt;35,"25-34",IF(Table1[[#This Row],[Age]]&lt;45,"35-44",IF(Table1[[#This Row],[Age]]&lt;55,"45-54","55+"))))</f>
        <v>18-24</v>
      </c>
      <c r="M50" t="str">
        <f>TEXT(Table1[[#This Row],[Invoice_date]],"mmm")</f>
        <v>Sep</v>
      </c>
      <c r="N50">
        <f>YEAR(Table1[[#This Row],[Invoice_date]])</f>
        <v>2022</v>
      </c>
    </row>
    <row r="51" spans="1:14" x14ac:dyDescent="0.25">
      <c r="A51" t="s">
        <v>691</v>
      </c>
      <c r="B51" t="s">
        <v>692</v>
      </c>
      <c r="C51" t="s">
        <v>12</v>
      </c>
      <c r="D51">
        <v>18</v>
      </c>
      <c r="E51" t="s">
        <v>21</v>
      </c>
      <c r="F51">
        <v>1</v>
      </c>
      <c r="G51">
        <v>1050</v>
      </c>
      <c r="H51" t="s">
        <v>18</v>
      </c>
      <c r="I51" s="2">
        <v>44672</v>
      </c>
      <c r="J51" t="s">
        <v>33</v>
      </c>
      <c r="K51" s="4">
        <f>Table1[[#This Row],[Quantity]]*Table1[[#This Row],[Price]]</f>
        <v>1050</v>
      </c>
      <c r="L51" t="str">
        <f>IF(Table1[[#This Row],[Age]]&lt;25,"18-24",IF(Table1[[#This Row],[Age]]&lt;35,"25-34",IF(Table1[[#This Row],[Age]]&lt;45,"35-44",IF(Table1[[#This Row],[Age]]&lt;55,"45-54","55+"))))</f>
        <v>18-24</v>
      </c>
      <c r="M51" t="str">
        <f>TEXT(Table1[[#This Row],[Invoice_date]],"mmm")</f>
        <v>Apr</v>
      </c>
      <c r="N51">
        <f>YEAR(Table1[[#This Row],[Invoice_date]])</f>
        <v>2022</v>
      </c>
    </row>
    <row r="52" spans="1:14" x14ac:dyDescent="0.25">
      <c r="A52" t="s">
        <v>713</v>
      </c>
      <c r="B52" t="s">
        <v>714</v>
      </c>
      <c r="C52" t="s">
        <v>12</v>
      </c>
      <c r="D52">
        <v>22</v>
      </c>
      <c r="E52" t="s">
        <v>8</v>
      </c>
      <c r="F52">
        <v>5</v>
      </c>
      <c r="G52">
        <v>203.3</v>
      </c>
      <c r="H52" t="s">
        <v>18</v>
      </c>
      <c r="I52" s="2">
        <v>44795</v>
      </c>
      <c r="J52" t="s">
        <v>50</v>
      </c>
      <c r="K52" s="4">
        <f>Table1[[#This Row],[Quantity]]*Table1[[#This Row],[Price]]</f>
        <v>1016.5</v>
      </c>
      <c r="L52" t="str">
        <f>IF(Table1[[#This Row],[Age]]&lt;25,"18-24",IF(Table1[[#This Row],[Age]]&lt;35,"25-34",IF(Table1[[#This Row],[Age]]&lt;45,"35-44",IF(Table1[[#This Row],[Age]]&lt;55,"45-54","55+"))))</f>
        <v>18-24</v>
      </c>
      <c r="M52" t="str">
        <f>TEXT(Table1[[#This Row],[Invoice_date]],"mmm")</f>
        <v>Aug</v>
      </c>
      <c r="N52">
        <f>YEAR(Table1[[#This Row],[Invoice_date]])</f>
        <v>2022</v>
      </c>
    </row>
    <row r="53" spans="1:14" x14ac:dyDescent="0.25">
      <c r="A53" t="s">
        <v>719</v>
      </c>
      <c r="B53" t="s">
        <v>720</v>
      </c>
      <c r="C53" t="s">
        <v>12</v>
      </c>
      <c r="D53">
        <v>20</v>
      </c>
      <c r="E53" t="s">
        <v>3</v>
      </c>
      <c r="F53">
        <v>5</v>
      </c>
      <c r="G53">
        <v>1500.4</v>
      </c>
      <c r="H53" t="s">
        <v>18</v>
      </c>
      <c r="I53" s="2">
        <v>44768</v>
      </c>
      <c r="J53" t="s">
        <v>43</v>
      </c>
      <c r="K53" s="4">
        <f>Table1[[#This Row],[Quantity]]*Table1[[#This Row],[Price]]</f>
        <v>7502</v>
      </c>
      <c r="L53" t="str">
        <f>IF(Table1[[#This Row],[Age]]&lt;25,"18-24",IF(Table1[[#This Row],[Age]]&lt;35,"25-34",IF(Table1[[#This Row],[Age]]&lt;45,"35-44",IF(Table1[[#This Row],[Age]]&lt;55,"45-54","55+"))))</f>
        <v>18-24</v>
      </c>
      <c r="M53" t="str">
        <f>TEXT(Table1[[#This Row],[Invoice_date]],"mmm")</f>
        <v>Jul</v>
      </c>
      <c r="N53">
        <f>YEAR(Table1[[#This Row],[Invoice_date]])</f>
        <v>2022</v>
      </c>
    </row>
    <row r="54" spans="1:14" x14ac:dyDescent="0.25">
      <c r="A54" t="s">
        <v>761</v>
      </c>
      <c r="B54" t="s">
        <v>762</v>
      </c>
      <c r="C54" t="s">
        <v>12</v>
      </c>
      <c r="D54">
        <v>20</v>
      </c>
      <c r="E54" t="s">
        <v>3</v>
      </c>
      <c r="F54">
        <v>5</v>
      </c>
      <c r="G54">
        <v>1500.4</v>
      </c>
      <c r="H54" t="s">
        <v>18</v>
      </c>
      <c r="I54" s="2">
        <v>44746</v>
      </c>
      <c r="J54" t="s">
        <v>30</v>
      </c>
      <c r="K54" s="4">
        <f>Table1[[#This Row],[Quantity]]*Table1[[#This Row],[Price]]</f>
        <v>7502</v>
      </c>
      <c r="L54" t="str">
        <f>IF(Table1[[#This Row],[Age]]&lt;25,"18-24",IF(Table1[[#This Row],[Age]]&lt;35,"25-34",IF(Table1[[#This Row],[Age]]&lt;45,"35-44",IF(Table1[[#This Row],[Age]]&lt;55,"45-54","55+"))))</f>
        <v>18-24</v>
      </c>
      <c r="M54" t="str">
        <f>TEXT(Table1[[#This Row],[Invoice_date]],"mmm")</f>
        <v>Jul</v>
      </c>
      <c r="N54">
        <f>YEAR(Table1[[#This Row],[Invoice_date]])</f>
        <v>2022</v>
      </c>
    </row>
    <row r="55" spans="1:14" x14ac:dyDescent="0.25">
      <c r="A55" t="s">
        <v>769</v>
      </c>
      <c r="B55" t="s">
        <v>770</v>
      </c>
      <c r="C55" t="s">
        <v>12</v>
      </c>
      <c r="D55">
        <v>19</v>
      </c>
      <c r="E55" t="s">
        <v>27</v>
      </c>
      <c r="F55">
        <v>3</v>
      </c>
      <c r="G55">
        <v>15.69</v>
      </c>
      <c r="H55" t="s">
        <v>4</v>
      </c>
      <c r="I55" s="2">
        <v>44747</v>
      </c>
      <c r="J55" t="s">
        <v>33</v>
      </c>
      <c r="K55" s="4">
        <f>Table1[[#This Row],[Quantity]]*Table1[[#This Row],[Price]]</f>
        <v>47.07</v>
      </c>
      <c r="L55" t="str">
        <f>IF(Table1[[#This Row],[Age]]&lt;25,"18-24",IF(Table1[[#This Row],[Age]]&lt;35,"25-34",IF(Table1[[#This Row],[Age]]&lt;45,"35-44",IF(Table1[[#This Row],[Age]]&lt;55,"45-54","55+"))))</f>
        <v>18-24</v>
      </c>
      <c r="M55" t="str">
        <f>TEXT(Table1[[#This Row],[Invoice_date]],"mmm")</f>
        <v>Jul</v>
      </c>
      <c r="N55">
        <f>YEAR(Table1[[#This Row],[Invoice_date]])</f>
        <v>2022</v>
      </c>
    </row>
    <row r="56" spans="1:14" x14ac:dyDescent="0.25">
      <c r="A56" t="s">
        <v>777</v>
      </c>
      <c r="B56" t="s">
        <v>778</v>
      </c>
      <c r="C56" t="s">
        <v>12</v>
      </c>
      <c r="D56">
        <v>23</v>
      </c>
      <c r="E56" t="s">
        <v>49</v>
      </c>
      <c r="F56">
        <v>2</v>
      </c>
      <c r="G56">
        <v>71.680000000000007</v>
      </c>
      <c r="H56" t="s">
        <v>18</v>
      </c>
      <c r="I56" s="2">
        <v>44217</v>
      </c>
      <c r="J56" t="s">
        <v>43</v>
      </c>
      <c r="K56" s="4">
        <f>Table1[[#This Row],[Quantity]]*Table1[[#This Row],[Price]]</f>
        <v>143.36000000000001</v>
      </c>
      <c r="L56" t="str">
        <f>IF(Table1[[#This Row],[Age]]&lt;25,"18-24",IF(Table1[[#This Row],[Age]]&lt;35,"25-34",IF(Table1[[#This Row],[Age]]&lt;45,"35-44",IF(Table1[[#This Row],[Age]]&lt;55,"45-54","55+"))))</f>
        <v>18-24</v>
      </c>
      <c r="M56" t="str">
        <f>TEXT(Table1[[#This Row],[Invoice_date]],"mmm")</f>
        <v>Jan</v>
      </c>
      <c r="N56">
        <f>YEAR(Table1[[#This Row],[Invoice_date]])</f>
        <v>2021</v>
      </c>
    </row>
    <row r="57" spans="1:14" x14ac:dyDescent="0.25">
      <c r="A57" t="s">
        <v>807</v>
      </c>
      <c r="B57" t="s">
        <v>808</v>
      </c>
      <c r="C57" t="s">
        <v>2</v>
      </c>
      <c r="D57">
        <v>18</v>
      </c>
      <c r="E57" t="s">
        <v>38</v>
      </c>
      <c r="F57">
        <v>2</v>
      </c>
      <c r="G57">
        <v>1200.3399999999999</v>
      </c>
      <c r="H57" t="s">
        <v>18</v>
      </c>
      <c r="I57" s="2">
        <v>44267</v>
      </c>
      <c r="J57" t="s">
        <v>14</v>
      </c>
      <c r="K57" s="4">
        <f>Table1[[#This Row],[Quantity]]*Table1[[#This Row],[Price]]</f>
        <v>2400.6799999999998</v>
      </c>
      <c r="L57" t="str">
        <f>IF(Table1[[#This Row],[Age]]&lt;25,"18-24",IF(Table1[[#This Row],[Age]]&lt;35,"25-34",IF(Table1[[#This Row],[Age]]&lt;45,"35-44",IF(Table1[[#This Row],[Age]]&lt;55,"45-54","55+"))))</f>
        <v>18-24</v>
      </c>
      <c r="M57" t="str">
        <f>TEXT(Table1[[#This Row],[Invoice_date]],"mmm")</f>
        <v>Mar</v>
      </c>
      <c r="N57">
        <f>YEAR(Table1[[#This Row],[Invoice_date]])</f>
        <v>2021</v>
      </c>
    </row>
    <row r="58" spans="1:14" x14ac:dyDescent="0.25">
      <c r="A58" t="s">
        <v>813</v>
      </c>
      <c r="B58" t="s">
        <v>814</v>
      </c>
      <c r="C58" t="s">
        <v>2</v>
      </c>
      <c r="D58">
        <v>20</v>
      </c>
      <c r="E58" t="s">
        <v>27</v>
      </c>
      <c r="F58">
        <v>3</v>
      </c>
      <c r="G58">
        <v>15.69</v>
      </c>
      <c r="H58" t="s">
        <v>4</v>
      </c>
      <c r="I58" s="2">
        <v>44682</v>
      </c>
      <c r="J58" t="s">
        <v>33</v>
      </c>
      <c r="K58" s="4">
        <f>Table1[[#This Row],[Quantity]]*Table1[[#This Row],[Price]]</f>
        <v>47.07</v>
      </c>
      <c r="L58" t="str">
        <f>IF(Table1[[#This Row],[Age]]&lt;25,"18-24",IF(Table1[[#This Row],[Age]]&lt;35,"25-34",IF(Table1[[#This Row],[Age]]&lt;45,"35-44",IF(Table1[[#This Row],[Age]]&lt;55,"45-54","55+"))))</f>
        <v>18-24</v>
      </c>
      <c r="M58" t="str">
        <f>TEXT(Table1[[#This Row],[Invoice_date]],"mmm")</f>
        <v>May</v>
      </c>
      <c r="N58">
        <f>YEAR(Table1[[#This Row],[Invoice_date]])</f>
        <v>2022</v>
      </c>
    </row>
    <row r="59" spans="1:14" x14ac:dyDescent="0.25">
      <c r="A59" t="s">
        <v>819</v>
      </c>
      <c r="B59" t="s">
        <v>820</v>
      </c>
      <c r="C59" t="s">
        <v>2</v>
      </c>
      <c r="D59">
        <v>18</v>
      </c>
      <c r="E59" t="s">
        <v>17</v>
      </c>
      <c r="F59">
        <v>3</v>
      </c>
      <c r="G59">
        <v>45.45</v>
      </c>
      <c r="H59" t="s">
        <v>4</v>
      </c>
      <c r="I59" s="2">
        <v>44663</v>
      </c>
      <c r="J59" t="s">
        <v>14</v>
      </c>
      <c r="K59" s="4">
        <f>Table1[[#This Row],[Quantity]]*Table1[[#This Row],[Price]]</f>
        <v>136.35000000000002</v>
      </c>
      <c r="L59" t="str">
        <f>IF(Table1[[#This Row],[Age]]&lt;25,"18-24",IF(Table1[[#This Row],[Age]]&lt;35,"25-34",IF(Table1[[#This Row],[Age]]&lt;45,"35-44",IF(Table1[[#This Row],[Age]]&lt;55,"45-54","55+"))))</f>
        <v>18-24</v>
      </c>
      <c r="M59" t="str">
        <f>TEXT(Table1[[#This Row],[Invoice_date]],"mmm")</f>
        <v>Apr</v>
      </c>
      <c r="N59">
        <f>YEAR(Table1[[#This Row],[Invoice_date]])</f>
        <v>2022</v>
      </c>
    </row>
    <row r="60" spans="1:14" x14ac:dyDescent="0.25">
      <c r="A60" t="s">
        <v>839</v>
      </c>
      <c r="B60" t="s">
        <v>840</v>
      </c>
      <c r="C60" t="s">
        <v>12</v>
      </c>
      <c r="D60">
        <v>24</v>
      </c>
      <c r="E60" t="s">
        <v>8</v>
      </c>
      <c r="F60">
        <v>2</v>
      </c>
      <c r="G60">
        <v>81.319999999999993</v>
      </c>
      <c r="H60" t="s">
        <v>13</v>
      </c>
      <c r="I60" s="2">
        <v>44645</v>
      </c>
      <c r="J60" t="s">
        <v>74</v>
      </c>
      <c r="K60" s="4">
        <f>Table1[[#This Row],[Quantity]]*Table1[[#This Row],[Price]]</f>
        <v>162.63999999999999</v>
      </c>
      <c r="L60" t="str">
        <f>IF(Table1[[#This Row],[Age]]&lt;25,"18-24",IF(Table1[[#This Row],[Age]]&lt;35,"25-34",IF(Table1[[#This Row],[Age]]&lt;45,"35-44",IF(Table1[[#This Row],[Age]]&lt;55,"45-54","55+"))))</f>
        <v>18-24</v>
      </c>
      <c r="M60" t="str">
        <f>TEXT(Table1[[#This Row],[Invoice_date]],"mmm")</f>
        <v>Mar</v>
      </c>
      <c r="N60">
        <f>YEAR(Table1[[#This Row],[Invoice_date]])</f>
        <v>2022</v>
      </c>
    </row>
    <row r="61" spans="1:14" x14ac:dyDescent="0.25">
      <c r="A61" t="s">
        <v>851</v>
      </c>
      <c r="B61" t="s">
        <v>852</v>
      </c>
      <c r="C61" t="s">
        <v>2</v>
      </c>
      <c r="D61">
        <v>18</v>
      </c>
      <c r="E61" t="s">
        <v>3</v>
      </c>
      <c r="F61">
        <v>2</v>
      </c>
      <c r="G61">
        <v>600.16</v>
      </c>
      <c r="H61" t="s">
        <v>18</v>
      </c>
      <c r="I61" s="2">
        <v>44891</v>
      </c>
      <c r="J61" t="s">
        <v>24</v>
      </c>
      <c r="K61" s="4">
        <f>Table1[[#This Row],[Quantity]]*Table1[[#This Row],[Price]]</f>
        <v>1200.32</v>
      </c>
      <c r="L61" t="str">
        <f>IF(Table1[[#This Row],[Age]]&lt;25,"18-24",IF(Table1[[#This Row],[Age]]&lt;35,"25-34",IF(Table1[[#This Row],[Age]]&lt;45,"35-44",IF(Table1[[#This Row],[Age]]&lt;55,"45-54","55+"))))</f>
        <v>18-24</v>
      </c>
      <c r="M61" t="str">
        <f>TEXT(Table1[[#This Row],[Invoice_date]],"mmm")</f>
        <v>Nov</v>
      </c>
      <c r="N61">
        <f>YEAR(Table1[[#This Row],[Invoice_date]])</f>
        <v>2022</v>
      </c>
    </row>
    <row r="62" spans="1:14" x14ac:dyDescent="0.25">
      <c r="A62" t="s">
        <v>859</v>
      </c>
      <c r="B62" t="s">
        <v>860</v>
      </c>
      <c r="C62" t="s">
        <v>12</v>
      </c>
      <c r="D62">
        <v>22</v>
      </c>
      <c r="E62" t="s">
        <v>49</v>
      </c>
      <c r="F62">
        <v>5</v>
      </c>
      <c r="G62">
        <v>179.2</v>
      </c>
      <c r="H62" t="s">
        <v>18</v>
      </c>
      <c r="I62" s="2">
        <v>44352</v>
      </c>
      <c r="J62" t="s">
        <v>43</v>
      </c>
      <c r="K62" s="4">
        <f>Table1[[#This Row],[Quantity]]*Table1[[#This Row],[Price]]</f>
        <v>896</v>
      </c>
      <c r="L62" t="str">
        <f>IF(Table1[[#This Row],[Age]]&lt;25,"18-24",IF(Table1[[#This Row],[Age]]&lt;35,"25-34",IF(Table1[[#This Row],[Age]]&lt;45,"35-44",IF(Table1[[#This Row],[Age]]&lt;55,"45-54","55+"))))</f>
        <v>18-24</v>
      </c>
      <c r="M62" t="str">
        <f>TEXT(Table1[[#This Row],[Invoice_date]],"mmm")</f>
        <v>Jun</v>
      </c>
      <c r="N62">
        <f>YEAR(Table1[[#This Row],[Invoice_date]])</f>
        <v>2021</v>
      </c>
    </row>
    <row r="63" spans="1:14" x14ac:dyDescent="0.25">
      <c r="A63" t="s">
        <v>871</v>
      </c>
      <c r="B63" t="s">
        <v>872</v>
      </c>
      <c r="C63" t="s">
        <v>12</v>
      </c>
      <c r="D63">
        <v>24</v>
      </c>
      <c r="E63" t="s">
        <v>17</v>
      </c>
      <c r="F63">
        <v>1</v>
      </c>
      <c r="G63">
        <v>15.15</v>
      </c>
      <c r="H63" t="s">
        <v>4</v>
      </c>
      <c r="I63" s="2">
        <v>44719</v>
      </c>
      <c r="J63" t="s">
        <v>50</v>
      </c>
      <c r="K63" s="4">
        <f>Table1[[#This Row],[Quantity]]*Table1[[#This Row],[Price]]</f>
        <v>15.15</v>
      </c>
      <c r="L63" t="str">
        <f>IF(Table1[[#This Row],[Age]]&lt;25,"18-24",IF(Table1[[#This Row],[Age]]&lt;35,"25-34",IF(Table1[[#This Row],[Age]]&lt;45,"35-44",IF(Table1[[#This Row],[Age]]&lt;55,"45-54","55+"))))</f>
        <v>18-24</v>
      </c>
      <c r="M63" t="str">
        <f>TEXT(Table1[[#This Row],[Invoice_date]],"mmm")</f>
        <v>Jun</v>
      </c>
      <c r="N63">
        <f>YEAR(Table1[[#This Row],[Invoice_date]])</f>
        <v>2022</v>
      </c>
    </row>
    <row r="64" spans="1:14" x14ac:dyDescent="0.25">
      <c r="A64" t="s">
        <v>877</v>
      </c>
      <c r="B64" t="s">
        <v>878</v>
      </c>
      <c r="C64" t="s">
        <v>12</v>
      </c>
      <c r="D64">
        <v>21</v>
      </c>
      <c r="E64" t="s">
        <v>3</v>
      </c>
      <c r="F64">
        <v>3</v>
      </c>
      <c r="G64">
        <v>900.24</v>
      </c>
      <c r="H64" t="s">
        <v>13</v>
      </c>
      <c r="I64" s="2">
        <v>44875</v>
      </c>
      <c r="J64" t="s">
        <v>33</v>
      </c>
      <c r="K64" s="4">
        <f>Table1[[#This Row],[Quantity]]*Table1[[#This Row],[Price]]</f>
        <v>2700.7200000000003</v>
      </c>
      <c r="L64" t="str">
        <f>IF(Table1[[#This Row],[Age]]&lt;25,"18-24",IF(Table1[[#This Row],[Age]]&lt;35,"25-34",IF(Table1[[#This Row],[Age]]&lt;45,"35-44",IF(Table1[[#This Row],[Age]]&lt;55,"45-54","55+"))))</f>
        <v>18-24</v>
      </c>
      <c r="M64" t="str">
        <f>TEXT(Table1[[#This Row],[Invoice_date]],"mmm")</f>
        <v>Nov</v>
      </c>
      <c r="N64">
        <f>YEAR(Table1[[#This Row],[Invoice_date]])</f>
        <v>2022</v>
      </c>
    </row>
    <row r="65" spans="1:14" x14ac:dyDescent="0.25">
      <c r="A65" t="s">
        <v>881</v>
      </c>
      <c r="B65" t="s">
        <v>882</v>
      </c>
      <c r="C65" t="s">
        <v>12</v>
      </c>
      <c r="D65">
        <v>20</v>
      </c>
      <c r="E65" t="s">
        <v>3</v>
      </c>
      <c r="F65">
        <v>4</v>
      </c>
      <c r="G65">
        <v>1200.32</v>
      </c>
      <c r="H65" t="s">
        <v>4</v>
      </c>
      <c r="I65" s="2">
        <v>44420</v>
      </c>
      <c r="J65" t="s">
        <v>24</v>
      </c>
      <c r="K65" s="4">
        <f>Table1[[#This Row],[Quantity]]*Table1[[#This Row],[Price]]</f>
        <v>4801.28</v>
      </c>
      <c r="L65" t="str">
        <f>IF(Table1[[#This Row],[Age]]&lt;25,"18-24",IF(Table1[[#This Row],[Age]]&lt;35,"25-34",IF(Table1[[#This Row],[Age]]&lt;45,"35-44",IF(Table1[[#This Row],[Age]]&lt;55,"45-54","55+"))))</f>
        <v>18-24</v>
      </c>
      <c r="M65" t="str">
        <f>TEXT(Table1[[#This Row],[Invoice_date]],"mmm")</f>
        <v>Aug</v>
      </c>
      <c r="N65">
        <f>YEAR(Table1[[#This Row],[Invoice_date]])</f>
        <v>2021</v>
      </c>
    </row>
    <row r="66" spans="1:14" x14ac:dyDescent="0.25">
      <c r="A66" t="s">
        <v>891</v>
      </c>
      <c r="B66" t="s">
        <v>892</v>
      </c>
      <c r="C66" t="s">
        <v>12</v>
      </c>
      <c r="D66">
        <v>21</v>
      </c>
      <c r="E66" t="s">
        <v>3</v>
      </c>
      <c r="F66">
        <v>5</v>
      </c>
      <c r="G66">
        <v>1500.4</v>
      </c>
      <c r="H66" t="s">
        <v>13</v>
      </c>
      <c r="I66" s="2">
        <v>44385</v>
      </c>
      <c r="J66" t="s">
        <v>14</v>
      </c>
      <c r="K66" s="4">
        <f>Table1[[#This Row],[Quantity]]*Table1[[#This Row],[Price]]</f>
        <v>7502</v>
      </c>
      <c r="L66" t="str">
        <f>IF(Table1[[#This Row],[Age]]&lt;25,"18-24",IF(Table1[[#This Row],[Age]]&lt;35,"25-34",IF(Table1[[#This Row],[Age]]&lt;45,"35-44",IF(Table1[[#This Row],[Age]]&lt;55,"45-54","55+"))))</f>
        <v>18-24</v>
      </c>
      <c r="M66" t="str">
        <f>TEXT(Table1[[#This Row],[Invoice_date]],"mmm")</f>
        <v>Jul</v>
      </c>
      <c r="N66">
        <f>YEAR(Table1[[#This Row],[Invoice_date]])</f>
        <v>2021</v>
      </c>
    </row>
    <row r="67" spans="1:14" x14ac:dyDescent="0.25">
      <c r="A67" t="s">
        <v>905</v>
      </c>
      <c r="B67" t="s">
        <v>906</v>
      </c>
      <c r="C67" t="s">
        <v>12</v>
      </c>
      <c r="D67">
        <v>18</v>
      </c>
      <c r="E67" t="s">
        <v>8</v>
      </c>
      <c r="F67">
        <v>4</v>
      </c>
      <c r="G67">
        <v>162.63999999999999</v>
      </c>
      <c r="H67" t="s">
        <v>18</v>
      </c>
      <c r="I67" s="2">
        <v>44683</v>
      </c>
      <c r="J67" t="s">
        <v>33</v>
      </c>
      <c r="K67" s="4">
        <f>Table1[[#This Row],[Quantity]]*Table1[[#This Row],[Price]]</f>
        <v>650.55999999999995</v>
      </c>
      <c r="L67" t="str">
        <f>IF(Table1[[#This Row],[Age]]&lt;25,"18-24",IF(Table1[[#This Row],[Age]]&lt;35,"25-34",IF(Table1[[#This Row],[Age]]&lt;45,"35-44",IF(Table1[[#This Row],[Age]]&lt;55,"45-54","55+"))))</f>
        <v>18-24</v>
      </c>
      <c r="M67" t="str">
        <f>TEXT(Table1[[#This Row],[Invoice_date]],"mmm")</f>
        <v>May</v>
      </c>
      <c r="N67">
        <f>YEAR(Table1[[#This Row],[Invoice_date]])</f>
        <v>2022</v>
      </c>
    </row>
    <row r="68" spans="1:14" x14ac:dyDescent="0.25">
      <c r="A68" t="s">
        <v>923</v>
      </c>
      <c r="B68" t="s">
        <v>924</v>
      </c>
      <c r="C68" t="s">
        <v>12</v>
      </c>
      <c r="D68">
        <v>23</v>
      </c>
      <c r="E68" t="s">
        <v>3</v>
      </c>
      <c r="F68">
        <v>2</v>
      </c>
      <c r="G68">
        <v>600.16</v>
      </c>
      <c r="H68" t="s">
        <v>18</v>
      </c>
      <c r="I68" s="2">
        <v>44363</v>
      </c>
      <c r="J68" t="s">
        <v>24</v>
      </c>
      <c r="K68" s="4">
        <f>Table1[[#This Row],[Quantity]]*Table1[[#This Row],[Price]]</f>
        <v>1200.32</v>
      </c>
      <c r="L68" t="str">
        <f>IF(Table1[[#This Row],[Age]]&lt;25,"18-24",IF(Table1[[#This Row],[Age]]&lt;35,"25-34",IF(Table1[[#This Row],[Age]]&lt;45,"35-44",IF(Table1[[#This Row],[Age]]&lt;55,"45-54","55+"))))</f>
        <v>18-24</v>
      </c>
      <c r="M68" t="str">
        <f>TEXT(Table1[[#This Row],[Invoice_date]],"mmm")</f>
        <v>Jun</v>
      </c>
      <c r="N68">
        <f>YEAR(Table1[[#This Row],[Invoice_date]])</f>
        <v>2021</v>
      </c>
    </row>
    <row r="69" spans="1:14" x14ac:dyDescent="0.25">
      <c r="A69" t="s">
        <v>959</v>
      </c>
      <c r="B69" t="s">
        <v>960</v>
      </c>
      <c r="C69" t="s">
        <v>12</v>
      </c>
      <c r="D69">
        <v>24</v>
      </c>
      <c r="E69" t="s">
        <v>3</v>
      </c>
      <c r="F69">
        <v>5</v>
      </c>
      <c r="G69">
        <v>1500.4</v>
      </c>
      <c r="H69" t="s">
        <v>4</v>
      </c>
      <c r="I69" s="2">
        <v>44791</v>
      </c>
      <c r="J69" t="s">
        <v>43</v>
      </c>
      <c r="K69" s="4">
        <f>Table1[[#This Row],[Quantity]]*Table1[[#This Row],[Price]]</f>
        <v>7502</v>
      </c>
      <c r="L69" t="str">
        <f>IF(Table1[[#This Row],[Age]]&lt;25,"18-24",IF(Table1[[#This Row],[Age]]&lt;35,"25-34",IF(Table1[[#This Row],[Age]]&lt;45,"35-44",IF(Table1[[#This Row],[Age]]&lt;55,"45-54","55+"))))</f>
        <v>18-24</v>
      </c>
      <c r="M69" t="str">
        <f>TEXT(Table1[[#This Row],[Invoice_date]],"mmm")</f>
        <v>Aug</v>
      </c>
      <c r="N69">
        <f>YEAR(Table1[[#This Row],[Invoice_date]])</f>
        <v>2022</v>
      </c>
    </row>
    <row r="70" spans="1:14" x14ac:dyDescent="0.25">
      <c r="A70" t="s">
        <v>963</v>
      </c>
      <c r="B70" t="s">
        <v>964</v>
      </c>
      <c r="C70" t="s">
        <v>12</v>
      </c>
      <c r="D70">
        <v>20</v>
      </c>
      <c r="E70" t="s">
        <v>49</v>
      </c>
      <c r="F70">
        <v>5</v>
      </c>
      <c r="G70">
        <v>179.2</v>
      </c>
      <c r="H70" t="s">
        <v>13</v>
      </c>
      <c r="I70" s="2">
        <v>44213</v>
      </c>
      <c r="J70" t="s">
        <v>24</v>
      </c>
      <c r="K70" s="4">
        <f>Table1[[#This Row],[Quantity]]*Table1[[#This Row],[Price]]</f>
        <v>896</v>
      </c>
      <c r="L70" t="str">
        <f>IF(Table1[[#This Row],[Age]]&lt;25,"18-24",IF(Table1[[#This Row],[Age]]&lt;35,"25-34",IF(Table1[[#This Row],[Age]]&lt;45,"35-44",IF(Table1[[#This Row],[Age]]&lt;55,"45-54","55+"))))</f>
        <v>18-24</v>
      </c>
      <c r="M70" t="str">
        <f>TEXT(Table1[[#This Row],[Invoice_date]],"mmm")</f>
        <v>Jan</v>
      </c>
      <c r="N70">
        <f>YEAR(Table1[[#This Row],[Invoice_date]])</f>
        <v>2021</v>
      </c>
    </row>
    <row r="71" spans="1:14" x14ac:dyDescent="0.25">
      <c r="A71" t="s">
        <v>987</v>
      </c>
      <c r="B71" t="s">
        <v>988</v>
      </c>
      <c r="C71" t="s">
        <v>2</v>
      </c>
      <c r="D71">
        <v>21</v>
      </c>
      <c r="E71" t="s">
        <v>49</v>
      </c>
      <c r="F71">
        <v>2</v>
      </c>
      <c r="G71">
        <v>71.680000000000007</v>
      </c>
      <c r="H71" t="s">
        <v>18</v>
      </c>
      <c r="I71" s="2">
        <v>44756</v>
      </c>
      <c r="J71" t="s">
        <v>5</v>
      </c>
      <c r="K71" s="4">
        <f>Table1[[#This Row],[Quantity]]*Table1[[#This Row],[Price]]</f>
        <v>143.36000000000001</v>
      </c>
      <c r="L71" t="str">
        <f>IF(Table1[[#This Row],[Age]]&lt;25,"18-24",IF(Table1[[#This Row],[Age]]&lt;35,"25-34",IF(Table1[[#This Row],[Age]]&lt;45,"35-44",IF(Table1[[#This Row],[Age]]&lt;55,"45-54","55+"))))</f>
        <v>18-24</v>
      </c>
      <c r="M71" t="str">
        <f>TEXT(Table1[[#This Row],[Invoice_date]],"mmm")</f>
        <v>Jul</v>
      </c>
      <c r="N71">
        <f>YEAR(Table1[[#This Row],[Invoice_date]])</f>
        <v>2022</v>
      </c>
    </row>
    <row r="72" spans="1:14" x14ac:dyDescent="0.25">
      <c r="A72" t="s">
        <v>1023</v>
      </c>
      <c r="B72" t="s">
        <v>1024</v>
      </c>
      <c r="C72" t="s">
        <v>2</v>
      </c>
      <c r="D72">
        <v>24</v>
      </c>
      <c r="E72" t="s">
        <v>3</v>
      </c>
      <c r="F72">
        <v>1</v>
      </c>
      <c r="G72">
        <v>300.08</v>
      </c>
      <c r="H72" t="s">
        <v>4</v>
      </c>
      <c r="I72" s="2">
        <v>44206</v>
      </c>
      <c r="J72" t="s">
        <v>33</v>
      </c>
      <c r="K72" s="4">
        <f>Table1[[#This Row],[Quantity]]*Table1[[#This Row],[Price]]</f>
        <v>300.08</v>
      </c>
      <c r="L72" t="str">
        <f>IF(Table1[[#This Row],[Age]]&lt;25,"18-24",IF(Table1[[#This Row],[Age]]&lt;35,"25-34",IF(Table1[[#This Row],[Age]]&lt;45,"35-44",IF(Table1[[#This Row],[Age]]&lt;55,"45-54","55+"))))</f>
        <v>18-24</v>
      </c>
      <c r="M72" t="str">
        <f>TEXT(Table1[[#This Row],[Invoice_date]],"mmm")</f>
        <v>Jan</v>
      </c>
      <c r="N72">
        <f>YEAR(Table1[[#This Row],[Invoice_date]])</f>
        <v>2021</v>
      </c>
    </row>
    <row r="73" spans="1:14" x14ac:dyDescent="0.25">
      <c r="A73" t="s">
        <v>1027</v>
      </c>
      <c r="B73" t="s">
        <v>1028</v>
      </c>
      <c r="C73" t="s">
        <v>12</v>
      </c>
      <c r="D73">
        <v>18</v>
      </c>
      <c r="E73" t="s">
        <v>46</v>
      </c>
      <c r="F73">
        <v>4</v>
      </c>
      <c r="G73">
        <v>46.92</v>
      </c>
      <c r="H73" t="s">
        <v>4</v>
      </c>
      <c r="I73" s="2">
        <v>44639</v>
      </c>
      <c r="J73" t="s">
        <v>33</v>
      </c>
      <c r="K73" s="4">
        <f>Table1[[#This Row],[Quantity]]*Table1[[#This Row],[Price]]</f>
        <v>187.68</v>
      </c>
      <c r="L73" t="str">
        <f>IF(Table1[[#This Row],[Age]]&lt;25,"18-24",IF(Table1[[#This Row],[Age]]&lt;35,"25-34",IF(Table1[[#This Row],[Age]]&lt;45,"35-44",IF(Table1[[#This Row],[Age]]&lt;55,"45-54","55+"))))</f>
        <v>18-24</v>
      </c>
      <c r="M73" t="str">
        <f>TEXT(Table1[[#This Row],[Invoice_date]],"mmm")</f>
        <v>Mar</v>
      </c>
      <c r="N73">
        <f>YEAR(Table1[[#This Row],[Invoice_date]])</f>
        <v>2022</v>
      </c>
    </row>
    <row r="74" spans="1:14" x14ac:dyDescent="0.25">
      <c r="A74" t="s">
        <v>1035</v>
      </c>
      <c r="B74" t="s">
        <v>1036</v>
      </c>
      <c r="C74" t="s">
        <v>12</v>
      </c>
      <c r="D74">
        <v>19</v>
      </c>
      <c r="E74" t="s">
        <v>3</v>
      </c>
      <c r="F74">
        <v>1</v>
      </c>
      <c r="G74">
        <v>300.08</v>
      </c>
      <c r="H74" t="s">
        <v>13</v>
      </c>
      <c r="I74" s="2">
        <v>44631</v>
      </c>
      <c r="J74" t="s">
        <v>24</v>
      </c>
      <c r="K74" s="4">
        <f>Table1[[#This Row],[Quantity]]*Table1[[#This Row],[Price]]</f>
        <v>300.08</v>
      </c>
      <c r="L74" t="str">
        <f>IF(Table1[[#This Row],[Age]]&lt;25,"18-24",IF(Table1[[#This Row],[Age]]&lt;35,"25-34",IF(Table1[[#This Row],[Age]]&lt;45,"35-44",IF(Table1[[#This Row],[Age]]&lt;55,"45-54","55+"))))</f>
        <v>18-24</v>
      </c>
      <c r="M74" t="str">
        <f>TEXT(Table1[[#This Row],[Invoice_date]],"mmm")</f>
        <v>Mar</v>
      </c>
      <c r="N74">
        <f>YEAR(Table1[[#This Row],[Invoice_date]])</f>
        <v>2022</v>
      </c>
    </row>
    <row r="75" spans="1:14" x14ac:dyDescent="0.25">
      <c r="A75" t="s">
        <v>1037</v>
      </c>
      <c r="B75" t="s">
        <v>1038</v>
      </c>
      <c r="C75" t="s">
        <v>12</v>
      </c>
      <c r="D75">
        <v>18</v>
      </c>
      <c r="E75" t="s">
        <v>49</v>
      </c>
      <c r="F75">
        <v>5</v>
      </c>
      <c r="G75">
        <v>179.2</v>
      </c>
      <c r="H75" t="s">
        <v>4</v>
      </c>
      <c r="I75" s="2">
        <v>44715</v>
      </c>
      <c r="J75" t="s">
        <v>43</v>
      </c>
      <c r="K75" s="4">
        <f>Table1[[#This Row],[Quantity]]*Table1[[#This Row],[Price]]</f>
        <v>896</v>
      </c>
      <c r="L75" t="str">
        <f>IF(Table1[[#This Row],[Age]]&lt;25,"18-24",IF(Table1[[#This Row],[Age]]&lt;35,"25-34",IF(Table1[[#This Row],[Age]]&lt;45,"35-44",IF(Table1[[#This Row],[Age]]&lt;55,"45-54","55+"))))</f>
        <v>18-24</v>
      </c>
      <c r="M75" t="str">
        <f>TEXT(Table1[[#This Row],[Invoice_date]],"mmm")</f>
        <v>Jun</v>
      </c>
      <c r="N75">
        <f>YEAR(Table1[[#This Row],[Invoice_date]])</f>
        <v>2022</v>
      </c>
    </row>
    <row r="76" spans="1:14" x14ac:dyDescent="0.25">
      <c r="A76" t="s">
        <v>1063</v>
      </c>
      <c r="B76" t="s">
        <v>1064</v>
      </c>
      <c r="C76" t="s">
        <v>2</v>
      </c>
      <c r="D76">
        <v>21</v>
      </c>
      <c r="E76" t="s">
        <v>17</v>
      </c>
      <c r="F76">
        <v>2</v>
      </c>
      <c r="G76">
        <v>30.3</v>
      </c>
      <c r="H76" t="s">
        <v>18</v>
      </c>
      <c r="I76" s="2">
        <v>44219</v>
      </c>
      <c r="J76" t="s">
        <v>24</v>
      </c>
      <c r="K76" s="4">
        <f>Table1[[#This Row],[Quantity]]*Table1[[#This Row],[Price]]</f>
        <v>60.6</v>
      </c>
      <c r="L76" t="str">
        <f>IF(Table1[[#This Row],[Age]]&lt;25,"18-24",IF(Table1[[#This Row],[Age]]&lt;35,"25-34",IF(Table1[[#This Row],[Age]]&lt;45,"35-44",IF(Table1[[#This Row],[Age]]&lt;55,"45-54","55+"))))</f>
        <v>18-24</v>
      </c>
      <c r="M76" t="str">
        <f>TEXT(Table1[[#This Row],[Invoice_date]],"mmm")</f>
        <v>Jan</v>
      </c>
      <c r="N76">
        <f>YEAR(Table1[[#This Row],[Invoice_date]])</f>
        <v>2021</v>
      </c>
    </row>
    <row r="77" spans="1:14" x14ac:dyDescent="0.25">
      <c r="A77" t="s">
        <v>1065</v>
      </c>
      <c r="B77" t="s">
        <v>1066</v>
      </c>
      <c r="C77" t="s">
        <v>2</v>
      </c>
      <c r="D77">
        <v>22</v>
      </c>
      <c r="E77" t="s">
        <v>8</v>
      </c>
      <c r="F77">
        <v>1</v>
      </c>
      <c r="G77">
        <v>40.659999999999997</v>
      </c>
      <c r="H77" t="s">
        <v>18</v>
      </c>
      <c r="I77" s="2">
        <v>44359</v>
      </c>
      <c r="J77" t="s">
        <v>9</v>
      </c>
      <c r="K77" s="4">
        <f>Table1[[#This Row],[Quantity]]*Table1[[#This Row],[Price]]</f>
        <v>40.659999999999997</v>
      </c>
      <c r="L77" t="str">
        <f>IF(Table1[[#This Row],[Age]]&lt;25,"18-24",IF(Table1[[#This Row],[Age]]&lt;35,"25-34",IF(Table1[[#This Row],[Age]]&lt;45,"35-44",IF(Table1[[#This Row],[Age]]&lt;55,"45-54","55+"))))</f>
        <v>18-24</v>
      </c>
      <c r="M77" t="str">
        <f>TEXT(Table1[[#This Row],[Invoice_date]],"mmm")</f>
        <v>Jun</v>
      </c>
      <c r="N77">
        <f>YEAR(Table1[[#This Row],[Invoice_date]])</f>
        <v>2021</v>
      </c>
    </row>
    <row r="78" spans="1:14" x14ac:dyDescent="0.25">
      <c r="A78" t="s">
        <v>1067</v>
      </c>
      <c r="B78" t="s">
        <v>1068</v>
      </c>
      <c r="C78" t="s">
        <v>12</v>
      </c>
      <c r="D78">
        <v>20</v>
      </c>
      <c r="E78" t="s">
        <v>8</v>
      </c>
      <c r="F78">
        <v>3</v>
      </c>
      <c r="G78">
        <v>121.98</v>
      </c>
      <c r="H78" t="s">
        <v>13</v>
      </c>
      <c r="I78" s="2">
        <v>44840</v>
      </c>
      <c r="J78" t="s">
        <v>24</v>
      </c>
      <c r="K78" s="4">
        <f>Table1[[#This Row],[Quantity]]*Table1[[#This Row],[Price]]</f>
        <v>365.94</v>
      </c>
      <c r="L78" t="str">
        <f>IF(Table1[[#This Row],[Age]]&lt;25,"18-24",IF(Table1[[#This Row],[Age]]&lt;35,"25-34",IF(Table1[[#This Row],[Age]]&lt;45,"35-44",IF(Table1[[#This Row],[Age]]&lt;55,"45-54","55+"))))</f>
        <v>18-24</v>
      </c>
      <c r="M78" t="str">
        <f>TEXT(Table1[[#This Row],[Invoice_date]],"mmm")</f>
        <v>Oct</v>
      </c>
      <c r="N78">
        <f>YEAR(Table1[[#This Row],[Invoice_date]])</f>
        <v>2022</v>
      </c>
    </row>
    <row r="79" spans="1:14" x14ac:dyDescent="0.25">
      <c r="A79" t="s">
        <v>1071</v>
      </c>
      <c r="B79" t="s">
        <v>1072</v>
      </c>
      <c r="C79" t="s">
        <v>12</v>
      </c>
      <c r="D79">
        <v>22</v>
      </c>
      <c r="E79" t="s">
        <v>17</v>
      </c>
      <c r="F79">
        <v>5</v>
      </c>
      <c r="G79">
        <v>75.75</v>
      </c>
      <c r="H79" t="s">
        <v>18</v>
      </c>
      <c r="I79" s="2">
        <v>44219</v>
      </c>
      <c r="J79" t="s">
        <v>63</v>
      </c>
      <c r="K79" s="4">
        <f>Table1[[#This Row],[Quantity]]*Table1[[#This Row],[Price]]</f>
        <v>378.75</v>
      </c>
      <c r="L79" t="str">
        <f>IF(Table1[[#This Row],[Age]]&lt;25,"18-24",IF(Table1[[#This Row],[Age]]&lt;35,"25-34",IF(Table1[[#This Row],[Age]]&lt;45,"35-44",IF(Table1[[#This Row],[Age]]&lt;55,"45-54","55+"))))</f>
        <v>18-24</v>
      </c>
      <c r="M79" t="str">
        <f>TEXT(Table1[[#This Row],[Invoice_date]],"mmm")</f>
        <v>Jan</v>
      </c>
      <c r="N79">
        <f>YEAR(Table1[[#This Row],[Invoice_date]])</f>
        <v>2021</v>
      </c>
    </row>
    <row r="80" spans="1:14" x14ac:dyDescent="0.25">
      <c r="A80" t="s">
        <v>1085</v>
      </c>
      <c r="B80" t="s">
        <v>1086</v>
      </c>
      <c r="C80" t="s">
        <v>12</v>
      </c>
      <c r="D80">
        <v>22</v>
      </c>
      <c r="E80" t="s">
        <v>49</v>
      </c>
      <c r="F80">
        <v>3</v>
      </c>
      <c r="G80">
        <v>107.52</v>
      </c>
      <c r="H80" t="s">
        <v>18</v>
      </c>
      <c r="I80" s="2">
        <v>44326</v>
      </c>
      <c r="J80" t="s">
        <v>33</v>
      </c>
      <c r="K80" s="4">
        <f>Table1[[#This Row],[Quantity]]*Table1[[#This Row],[Price]]</f>
        <v>322.56</v>
      </c>
      <c r="L80" t="str">
        <f>IF(Table1[[#This Row],[Age]]&lt;25,"18-24",IF(Table1[[#This Row],[Age]]&lt;35,"25-34",IF(Table1[[#This Row],[Age]]&lt;45,"35-44",IF(Table1[[#This Row],[Age]]&lt;55,"45-54","55+"))))</f>
        <v>18-24</v>
      </c>
      <c r="M80" t="str">
        <f>TEXT(Table1[[#This Row],[Invoice_date]],"mmm")</f>
        <v>May</v>
      </c>
      <c r="N80">
        <f>YEAR(Table1[[#This Row],[Invoice_date]])</f>
        <v>2021</v>
      </c>
    </row>
    <row r="81" spans="1:14" x14ac:dyDescent="0.25">
      <c r="A81" t="s">
        <v>1089</v>
      </c>
      <c r="B81" t="s">
        <v>1090</v>
      </c>
      <c r="C81" t="s">
        <v>12</v>
      </c>
      <c r="D81">
        <v>20</v>
      </c>
      <c r="E81" t="s">
        <v>3</v>
      </c>
      <c r="F81">
        <v>5</v>
      </c>
      <c r="G81">
        <v>1500.4</v>
      </c>
      <c r="H81" t="s">
        <v>13</v>
      </c>
      <c r="I81" s="2">
        <v>44441</v>
      </c>
      <c r="J81" t="s">
        <v>14</v>
      </c>
      <c r="K81" s="4">
        <f>Table1[[#This Row],[Quantity]]*Table1[[#This Row],[Price]]</f>
        <v>7502</v>
      </c>
      <c r="L81" t="str">
        <f>IF(Table1[[#This Row],[Age]]&lt;25,"18-24",IF(Table1[[#This Row],[Age]]&lt;35,"25-34",IF(Table1[[#This Row],[Age]]&lt;45,"35-44",IF(Table1[[#This Row],[Age]]&lt;55,"45-54","55+"))))</f>
        <v>18-24</v>
      </c>
      <c r="M81" t="str">
        <f>TEXT(Table1[[#This Row],[Invoice_date]],"mmm")</f>
        <v>Sep</v>
      </c>
      <c r="N81">
        <f>YEAR(Table1[[#This Row],[Invoice_date]])</f>
        <v>2021</v>
      </c>
    </row>
    <row r="82" spans="1:14" x14ac:dyDescent="0.25">
      <c r="A82" t="s">
        <v>1095</v>
      </c>
      <c r="B82" t="s">
        <v>1096</v>
      </c>
      <c r="C82" t="s">
        <v>12</v>
      </c>
      <c r="D82">
        <v>19</v>
      </c>
      <c r="E82" t="s">
        <v>3</v>
      </c>
      <c r="F82">
        <v>2</v>
      </c>
      <c r="G82">
        <v>600.16</v>
      </c>
      <c r="H82" t="s">
        <v>13</v>
      </c>
      <c r="I82" s="2">
        <v>44504</v>
      </c>
      <c r="J82" t="s">
        <v>74</v>
      </c>
      <c r="K82" s="4">
        <f>Table1[[#This Row],[Quantity]]*Table1[[#This Row],[Price]]</f>
        <v>1200.32</v>
      </c>
      <c r="L82" t="str">
        <f>IF(Table1[[#This Row],[Age]]&lt;25,"18-24",IF(Table1[[#This Row],[Age]]&lt;35,"25-34",IF(Table1[[#This Row],[Age]]&lt;45,"35-44",IF(Table1[[#This Row],[Age]]&lt;55,"45-54","55+"))))</f>
        <v>18-24</v>
      </c>
      <c r="M82" t="str">
        <f>TEXT(Table1[[#This Row],[Invoice_date]],"mmm")</f>
        <v>Nov</v>
      </c>
      <c r="N82">
        <f>YEAR(Table1[[#This Row],[Invoice_date]])</f>
        <v>2021</v>
      </c>
    </row>
    <row r="83" spans="1:14" x14ac:dyDescent="0.25">
      <c r="A83" t="s">
        <v>1115</v>
      </c>
      <c r="B83" t="s">
        <v>1116</v>
      </c>
      <c r="C83" t="s">
        <v>2</v>
      </c>
      <c r="D83">
        <v>22</v>
      </c>
      <c r="E83" t="s">
        <v>49</v>
      </c>
      <c r="F83">
        <v>1</v>
      </c>
      <c r="G83">
        <v>35.840000000000003</v>
      </c>
      <c r="H83" t="s">
        <v>13</v>
      </c>
      <c r="I83" s="2">
        <v>44512</v>
      </c>
      <c r="J83" t="s">
        <v>74</v>
      </c>
      <c r="K83" s="4">
        <f>Table1[[#This Row],[Quantity]]*Table1[[#This Row],[Price]]</f>
        <v>35.840000000000003</v>
      </c>
      <c r="L83" t="str">
        <f>IF(Table1[[#This Row],[Age]]&lt;25,"18-24",IF(Table1[[#This Row],[Age]]&lt;35,"25-34",IF(Table1[[#This Row],[Age]]&lt;45,"35-44",IF(Table1[[#This Row],[Age]]&lt;55,"45-54","55+"))))</f>
        <v>18-24</v>
      </c>
      <c r="M83" t="str">
        <f>TEXT(Table1[[#This Row],[Invoice_date]],"mmm")</f>
        <v>Nov</v>
      </c>
      <c r="N83">
        <f>YEAR(Table1[[#This Row],[Invoice_date]])</f>
        <v>2021</v>
      </c>
    </row>
    <row r="84" spans="1:14" x14ac:dyDescent="0.25">
      <c r="A84" t="s">
        <v>1157</v>
      </c>
      <c r="B84" t="s">
        <v>1158</v>
      </c>
      <c r="C84" t="s">
        <v>12</v>
      </c>
      <c r="D84">
        <v>21</v>
      </c>
      <c r="E84" t="s">
        <v>3</v>
      </c>
      <c r="F84">
        <v>5</v>
      </c>
      <c r="G84">
        <v>1500.4</v>
      </c>
      <c r="H84" t="s">
        <v>4</v>
      </c>
      <c r="I84" s="2">
        <v>44510</v>
      </c>
      <c r="J84" t="s">
        <v>14</v>
      </c>
      <c r="K84" s="4">
        <f>Table1[[#This Row],[Quantity]]*Table1[[#This Row],[Price]]</f>
        <v>7502</v>
      </c>
      <c r="L84" t="str">
        <f>IF(Table1[[#This Row],[Age]]&lt;25,"18-24",IF(Table1[[#This Row],[Age]]&lt;35,"25-34",IF(Table1[[#This Row],[Age]]&lt;45,"35-44",IF(Table1[[#This Row],[Age]]&lt;55,"45-54","55+"))))</f>
        <v>18-24</v>
      </c>
      <c r="M84" t="str">
        <f>TEXT(Table1[[#This Row],[Invoice_date]],"mmm")</f>
        <v>Nov</v>
      </c>
      <c r="N84">
        <f>YEAR(Table1[[#This Row],[Invoice_date]])</f>
        <v>2021</v>
      </c>
    </row>
    <row r="85" spans="1:14" x14ac:dyDescent="0.25">
      <c r="A85" t="s">
        <v>1193</v>
      </c>
      <c r="B85" t="s">
        <v>1194</v>
      </c>
      <c r="C85" t="s">
        <v>12</v>
      </c>
      <c r="D85">
        <v>24</v>
      </c>
      <c r="E85" t="s">
        <v>38</v>
      </c>
      <c r="F85">
        <v>2</v>
      </c>
      <c r="G85">
        <v>1200.3399999999999</v>
      </c>
      <c r="H85" t="s">
        <v>18</v>
      </c>
      <c r="I85" s="2">
        <v>44897</v>
      </c>
      <c r="J85" t="s">
        <v>9</v>
      </c>
      <c r="K85" s="4">
        <f>Table1[[#This Row],[Quantity]]*Table1[[#This Row],[Price]]</f>
        <v>2400.6799999999998</v>
      </c>
      <c r="L85" t="str">
        <f>IF(Table1[[#This Row],[Age]]&lt;25,"18-24",IF(Table1[[#This Row],[Age]]&lt;35,"25-34",IF(Table1[[#This Row],[Age]]&lt;45,"35-44",IF(Table1[[#This Row],[Age]]&lt;55,"45-54","55+"))))</f>
        <v>18-24</v>
      </c>
      <c r="M85" t="str">
        <f>TEXT(Table1[[#This Row],[Invoice_date]],"mmm")</f>
        <v>Dec</v>
      </c>
      <c r="N85">
        <f>YEAR(Table1[[#This Row],[Invoice_date]])</f>
        <v>2022</v>
      </c>
    </row>
    <row r="86" spans="1:14" x14ac:dyDescent="0.25">
      <c r="A86" t="s">
        <v>1217</v>
      </c>
      <c r="B86" t="s">
        <v>1218</v>
      </c>
      <c r="C86" t="s">
        <v>12</v>
      </c>
      <c r="D86">
        <v>21</v>
      </c>
      <c r="E86" t="s">
        <v>8</v>
      </c>
      <c r="F86">
        <v>2</v>
      </c>
      <c r="G86">
        <v>81.319999999999993</v>
      </c>
      <c r="H86" t="s">
        <v>13</v>
      </c>
      <c r="I86" s="2">
        <v>44824</v>
      </c>
      <c r="J86" t="s">
        <v>63</v>
      </c>
      <c r="K86" s="4">
        <f>Table1[[#This Row],[Quantity]]*Table1[[#This Row],[Price]]</f>
        <v>162.63999999999999</v>
      </c>
      <c r="L86" t="str">
        <f>IF(Table1[[#This Row],[Age]]&lt;25,"18-24",IF(Table1[[#This Row],[Age]]&lt;35,"25-34",IF(Table1[[#This Row],[Age]]&lt;45,"35-44",IF(Table1[[#This Row],[Age]]&lt;55,"45-54","55+"))))</f>
        <v>18-24</v>
      </c>
      <c r="M86" t="str">
        <f>TEXT(Table1[[#This Row],[Invoice_date]],"mmm")</f>
        <v>Sep</v>
      </c>
      <c r="N86">
        <f>YEAR(Table1[[#This Row],[Invoice_date]])</f>
        <v>2022</v>
      </c>
    </row>
    <row r="87" spans="1:14" x14ac:dyDescent="0.25">
      <c r="A87" t="s">
        <v>1227</v>
      </c>
      <c r="B87" t="s">
        <v>1228</v>
      </c>
      <c r="C87" t="s">
        <v>12</v>
      </c>
      <c r="D87">
        <v>23</v>
      </c>
      <c r="E87" t="s">
        <v>46</v>
      </c>
      <c r="F87">
        <v>1</v>
      </c>
      <c r="G87">
        <v>11.73</v>
      </c>
      <c r="H87" t="s">
        <v>18</v>
      </c>
      <c r="I87" s="2">
        <v>44249</v>
      </c>
      <c r="J87" t="s">
        <v>33</v>
      </c>
      <c r="K87" s="4">
        <f>Table1[[#This Row],[Quantity]]*Table1[[#This Row],[Price]]</f>
        <v>11.73</v>
      </c>
      <c r="L87" t="str">
        <f>IF(Table1[[#This Row],[Age]]&lt;25,"18-24",IF(Table1[[#This Row],[Age]]&lt;35,"25-34",IF(Table1[[#This Row],[Age]]&lt;45,"35-44",IF(Table1[[#This Row],[Age]]&lt;55,"45-54","55+"))))</f>
        <v>18-24</v>
      </c>
      <c r="M87" t="str">
        <f>TEXT(Table1[[#This Row],[Invoice_date]],"mmm")</f>
        <v>Feb</v>
      </c>
      <c r="N87">
        <f>YEAR(Table1[[#This Row],[Invoice_date]])</f>
        <v>2021</v>
      </c>
    </row>
    <row r="88" spans="1:14" x14ac:dyDescent="0.25">
      <c r="A88" t="s">
        <v>1251</v>
      </c>
      <c r="B88" t="s">
        <v>1252</v>
      </c>
      <c r="C88" t="s">
        <v>12</v>
      </c>
      <c r="D88">
        <v>18</v>
      </c>
      <c r="E88" t="s">
        <v>46</v>
      </c>
      <c r="F88">
        <v>5</v>
      </c>
      <c r="G88">
        <v>58.65</v>
      </c>
      <c r="H88" t="s">
        <v>4</v>
      </c>
      <c r="I88" s="2">
        <v>44920</v>
      </c>
      <c r="J88" t="s">
        <v>74</v>
      </c>
      <c r="K88" s="4">
        <f>Table1[[#This Row],[Quantity]]*Table1[[#This Row],[Price]]</f>
        <v>293.25</v>
      </c>
      <c r="L88" t="str">
        <f>IF(Table1[[#This Row],[Age]]&lt;25,"18-24",IF(Table1[[#This Row],[Age]]&lt;35,"25-34",IF(Table1[[#This Row],[Age]]&lt;45,"35-44",IF(Table1[[#This Row],[Age]]&lt;55,"45-54","55+"))))</f>
        <v>18-24</v>
      </c>
      <c r="M88" t="str">
        <f>TEXT(Table1[[#This Row],[Invoice_date]],"mmm")</f>
        <v>Dec</v>
      </c>
      <c r="N88">
        <f>YEAR(Table1[[#This Row],[Invoice_date]])</f>
        <v>2022</v>
      </c>
    </row>
    <row r="89" spans="1:14" x14ac:dyDescent="0.25">
      <c r="A89" t="s">
        <v>1263</v>
      </c>
      <c r="B89" t="s">
        <v>1264</v>
      </c>
      <c r="C89" t="s">
        <v>12</v>
      </c>
      <c r="D89">
        <v>22</v>
      </c>
      <c r="E89" t="s">
        <v>3</v>
      </c>
      <c r="F89">
        <v>2</v>
      </c>
      <c r="G89">
        <v>600.16</v>
      </c>
      <c r="H89" t="s">
        <v>4</v>
      </c>
      <c r="I89" s="2">
        <v>44568</v>
      </c>
      <c r="J89" t="s">
        <v>33</v>
      </c>
      <c r="K89" s="4">
        <f>Table1[[#This Row],[Quantity]]*Table1[[#This Row],[Price]]</f>
        <v>1200.32</v>
      </c>
      <c r="L89" t="str">
        <f>IF(Table1[[#This Row],[Age]]&lt;25,"18-24",IF(Table1[[#This Row],[Age]]&lt;35,"25-34",IF(Table1[[#This Row],[Age]]&lt;45,"35-44",IF(Table1[[#This Row],[Age]]&lt;55,"45-54","55+"))))</f>
        <v>18-24</v>
      </c>
      <c r="M89" t="str">
        <f>TEXT(Table1[[#This Row],[Invoice_date]],"mmm")</f>
        <v>Jan</v>
      </c>
      <c r="N89">
        <f>YEAR(Table1[[#This Row],[Invoice_date]])</f>
        <v>2022</v>
      </c>
    </row>
    <row r="90" spans="1:14" x14ac:dyDescent="0.25">
      <c r="A90" t="s">
        <v>1291</v>
      </c>
      <c r="B90" t="s">
        <v>1292</v>
      </c>
      <c r="C90" t="s">
        <v>12</v>
      </c>
      <c r="D90">
        <v>18</v>
      </c>
      <c r="E90" t="s">
        <v>3</v>
      </c>
      <c r="F90">
        <v>3</v>
      </c>
      <c r="G90">
        <v>900.24</v>
      </c>
      <c r="H90" t="s">
        <v>4</v>
      </c>
      <c r="I90" s="2">
        <v>44584</v>
      </c>
      <c r="J90" t="s">
        <v>9</v>
      </c>
      <c r="K90" s="4">
        <f>Table1[[#This Row],[Quantity]]*Table1[[#This Row],[Price]]</f>
        <v>2700.7200000000003</v>
      </c>
      <c r="L90" t="str">
        <f>IF(Table1[[#This Row],[Age]]&lt;25,"18-24",IF(Table1[[#This Row],[Age]]&lt;35,"25-34",IF(Table1[[#This Row],[Age]]&lt;45,"35-44",IF(Table1[[#This Row],[Age]]&lt;55,"45-54","55+"))))</f>
        <v>18-24</v>
      </c>
      <c r="M90" t="str">
        <f>TEXT(Table1[[#This Row],[Invoice_date]],"mmm")</f>
        <v>Jan</v>
      </c>
      <c r="N90">
        <f>YEAR(Table1[[#This Row],[Invoice_date]])</f>
        <v>2022</v>
      </c>
    </row>
    <row r="91" spans="1:14" x14ac:dyDescent="0.25">
      <c r="A91" t="s">
        <v>1293</v>
      </c>
      <c r="B91" t="s">
        <v>1294</v>
      </c>
      <c r="C91" t="s">
        <v>2</v>
      </c>
      <c r="D91">
        <v>20</v>
      </c>
      <c r="E91" t="s">
        <v>27</v>
      </c>
      <c r="F91">
        <v>4</v>
      </c>
      <c r="G91">
        <v>20.92</v>
      </c>
      <c r="H91" t="s">
        <v>13</v>
      </c>
      <c r="I91" s="2">
        <v>44783</v>
      </c>
      <c r="J91" t="s">
        <v>33</v>
      </c>
      <c r="K91" s="4">
        <f>Table1[[#This Row],[Quantity]]*Table1[[#This Row],[Price]]</f>
        <v>83.68</v>
      </c>
      <c r="L91" t="str">
        <f>IF(Table1[[#This Row],[Age]]&lt;25,"18-24",IF(Table1[[#This Row],[Age]]&lt;35,"25-34",IF(Table1[[#This Row],[Age]]&lt;45,"35-44",IF(Table1[[#This Row],[Age]]&lt;55,"45-54","55+"))))</f>
        <v>18-24</v>
      </c>
      <c r="M91" t="str">
        <f>TEXT(Table1[[#This Row],[Invoice_date]],"mmm")</f>
        <v>Aug</v>
      </c>
      <c r="N91">
        <f>YEAR(Table1[[#This Row],[Invoice_date]])</f>
        <v>2022</v>
      </c>
    </row>
    <row r="92" spans="1:14" x14ac:dyDescent="0.25">
      <c r="A92" t="s">
        <v>1297</v>
      </c>
      <c r="B92" t="s">
        <v>1298</v>
      </c>
      <c r="C92" t="s">
        <v>12</v>
      </c>
      <c r="D92">
        <v>19</v>
      </c>
      <c r="E92" t="s">
        <v>46</v>
      </c>
      <c r="F92">
        <v>5</v>
      </c>
      <c r="G92">
        <v>58.65</v>
      </c>
      <c r="H92" t="s">
        <v>18</v>
      </c>
      <c r="I92" s="2">
        <v>44875</v>
      </c>
      <c r="J92" t="s">
        <v>33</v>
      </c>
      <c r="K92" s="4">
        <f>Table1[[#This Row],[Quantity]]*Table1[[#This Row],[Price]]</f>
        <v>293.25</v>
      </c>
      <c r="L92" t="str">
        <f>IF(Table1[[#This Row],[Age]]&lt;25,"18-24",IF(Table1[[#This Row],[Age]]&lt;35,"25-34",IF(Table1[[#This Row],[Age]]&lt;45,"35-44",IF(Table1[[#This Row],[Age]]&lt;55,"45-54","55+"))))</f>
        <v>18-24</v>
      </c>
      <c r="M92" t="str">
        <f>TEXT(Table1[[#This Row],[Invoice_date]],"mmm")</f>
        <v>Nov</v>
      </c>
      <c r="N92">
        <f>YEAR(Table1[[#This Row],[Invoice_date]])</f>
        <v>2022</v>
      </c>
    </row>
    <row r="93" spans="1:14" x14ac:dyDescent="0.25">
      <c r="A93" t="s">
        <v>1317</v>
      </c>
      <c r="B93" t="s">
        <v>1318</v>
      </c>
      <c r="C93" t="s">
        <v>2</v>
      </c>
      <c r="D93">
        <v>23</v>
      </c>
      <c r="E93" t="s">
        <v>17</v>
      </c>
      <c r="F93">
        <v>1</v>
      </c>
      <c r="G93">
        <v>15.15</v>
      </c>
      <c r="H93" t="s">
        <v>13</v>
      </c>
      <c r="I93" s="2">
        <v>44413</v>
      </c>
      <c r="J93" t="s">
        <v>14</v>
      </c>
      <c r="K93" s="4">
        <f>Table1[[#This Row],[Quantity]]*Table1[[#This Row],[Price]]</f>
        <v>15.15</v>
      </c>
      <c r="L93" t="str">
        <f>IF(Table1[[#This Row],[Age]]&lt;25,"18-24",IF(Table1[[#This Row],[Age]]&lt;35,"25-34",IF(Table1[[#This Row],[Age]]&lt;45,"35-44",IF(Table1[[#This Row],[Age]]&lt;55,"45-54","55+"))))</f>
        <v>18-24</v>
      </c>
      <c r="M93" t="str">
        <f>TEXT(Table1[[#This Row],[Invoice_date]],"mmm")</f>
        <v>Aug</v>
      </c>
      <c r="N93">
        <f>YEAR(Table1[[#This Row],[Invoice_date]])</f>
        <v>2021</v>
      </c>
    </row>
    <row r="94" spans="1:14" x14ac:dyDescent="0.25">
      <c r="A94" t="s">
        <v>1321</v>
      </c>
      <c r="B94" t="s">
        <v>1322</v>
      </c>
      <c r="C94" t="s">
        <v>2</v>
      </c>
      <c r="D94">
        <v>20</v>
      </c>
      <c r="E94" t="s">
        <v>3</v>
      </c>
      <c r="F94">
        <v>2</v>
      </c>
      <c r="G94">
        <v>600.16</v>
      </c>
      <c r="H94" t="s">
        <v>18</v>
      </c>
      <c r="I94" s="2">
        <v>44768</v>
      </c>
      <c r="J94" t="s">
        <v>14</v>
      </c>
      <c r="K94" s="4">
        <f>Table1[[#This Row],[Quantity]]*Table1[[#This Row],[Price]]</f>
        <v>1200.32</v>
      </c>
      <c r="L94" t="str">
        <f>IF(Table1[[#This Row],[Age]]&lt;25,"18-24",IF(Table1[[#This Row],[Age]]&lt;35,"25-34",IF(Table1[[#This Row],[Age]]&lt;45,"35-44",IF(Table1[[#This Row],[Age]]&lt;55,"45-54","55+"))))</f>
        <v>18-24</v>
      </c>
      <c r="M94" t="str">
        <f>TEXT(Table1[[#This Row],[Invoice_date]],"mmm")</f>
        <v>Jul</v>
      </c>
      <c r="N94">
        <f>YEAR(Table1[[#This Row],[Invoice_date]])</f>
        <v>2022</v>
      </c>
    </row>
    <row r="95" spans="1:14" x14ac:dyDescent="0.25">
      <c r="A95" t="s">
        <v>1335</v>
      </c>
      <c r="B95" t="s">
        <v>1336</v>
      </c>
      <c r="C95" t="s">
        <v>12</v>
      </c>
      <c r="D95">
        <v>20</v>
      </c>
      <c r="E95" t="s">
        <v>46</v>
      </c>
      <c r="F95">
        <v>1</v>
      </c>
      <c r="G95">
        <v>11.73</v>
      </c>
      <c r="H95" t="s">
        <v>4</v>
      </c>
      <c r="I95" s="2">
        <v>44384</v>
      </c>
      <c r="J95" t="s">
        <v>24</v>
      </c>
      <c r="K95" s="4">
        <f>Table1[[#This Row],[Quantity]]*Table1[[#This Row],[Price]]</f>
        <v>11.73</v>
      </c>
      <c r="L95" t="str">
        <f>IF(Table1[[#This Row],[Age]]&lt;25,"18-24",IF(Table1[[#This Row],[Age]]&lt;35,"25-34",IF(Table1[[#This Row],[Age]]&lt;45,"35-44",IF(Table1[[#This Row],[Age]]&lt;55,"45-54","55+"))))</f>
        <v>18-24</v>
      </c>
      <c r="M95" t="str">
        <f>TEXT(Table1[[#This Row],[Invoice_date]],"mmm")</f>
        <v>Jul</v>
      </c>
      <c r="N95">
        <f>YEAR(Table1[[#This Row],[Invoice_date]])</f>
        <v>2021</v>
      </c>
    </row>
    <row r="96" spans="1:14" x14ac:dyDescent="0.25">
      <c r="A96" t="s">
        <v>1353</v>
      </c>
      <c r="B96" t="s">
        <v>1354</v>
      </c>
      <c r="C96" t="s">
        <v>12</v>
      </c>
      <c r="D96">
        <v>21</v>
      </c>
      <c r="E96" t="s">
        <v>38</v>
      </c>
      <c r="F96">
        <v>5</v>
      </c>
      <c r="G96">
        <v>3000.85</v>
      </c>
      <c r="H96" t="s">
        <v>4</v>
      </c>
      <c r="I96" s="2">
        <v>44881</v>
      </c>
      <c r="J96" t="s">
        <v>9</v>
      </c>
      <c r="K96" s="4">
        <f>Table1[[#This Row],[Quantity]]*Table1[[#This Row],[Price]]</f>
        <v>15004.25</v>
      </c>
      <c r="L96" t="str">
        <f>IF(Table1[[#This Row],[Age]]&lt;25,"18-24",IF(Table1[[#This Row],[Age]]&lt;35,"25-34",IF(Table1[[#This Row],[Age]]&lt;45,"35-44",IF(Table1[[#This Row],[Age]]&lt;55,"45-54","55+"))))</f>
        <v>18-24</v>
      </c>
      <c r="M96" t="str">
        <f>TEXT(Table1[[#This Row],[Invoice_date]],"mmm")</f>
        <v>Nov</v>
      </c>
      <c r="N96">
        <f>YEAR(Table1[[#This Row],[Invoice_date]])</f>
        <v>2022</v>
      </c>
    </row>
    <row r="97" spans="1:14" x14ac:dyDescent="0.25">
      <c r="A97" t="s">
        <v>1373</v>
      </c>
      <c r="B97" t="s">
        <v>1374</v>
      </c>
      <c r="C97" t="s">
        <v>12</v>
      </c>
      <c r="D97">
        <v>19</v>
      </c>
      <c r="E97" t="s">
        <v>3</v>
      </c>
      <c r="F97">
        <v>1</v>
      </c>
      <c r="G97">
        <v>300.08</v>
      </c>
      <c r="H97" t="s">
        <v>13</v>
      </c>
      <c r="I97" s="2">
        <v>44787</v>
      </c>
      <c r="J97" t="s">
        <v>43</v>
      </c>
      <c r="K97" s="4">
        <f>Table1[[#This Row],[Quantity]]*Table1[[#This Row],[Price]]</f>
        <v>300.08</v>
      </c>
      <c r="L97" t="str">
        <f>IF(Table1[[#This Row],[Age]]&lt;25,"18-24",IF(Table1[[#This Row],[Age]]&lt;35,"25-34",IF(Table1[[#This Row],[Age]]&lt;45,"35-44",IF(Table1[[#This Row],[Age]]&lt;55,"45-54","55+"))))</f>
        <v>18-24</v>
      </c>
      <c r="M97" t="str">
        <f>TEXT(Table1[[#This Row],[Invoice_date]],"mmm")</f>
        <v>Aug</v>
      </c>
      <c r="N97">
        <f>YEAR(Table1[[#This Row],[Invoice_date]])</f>
        <v>2022</v>
      </c>
    </row>
    <row r="98" spans="1:14" x14ac:dyDescent="0.25">
      <c r="A98" t="s">
        <v>1375</v>
      </c>
      <c r="B98" t="s">
        <v>1376</v>
      </c>
      <c r="C98" t="s">
        <v>2</v>
      </c>
      <c r="D98">
        <v>21</v>
      </c>
      <c r="E98" t="s">
        <v>3</v>
      </c>
      <c r="F98">
        <v>4</v>
      </c>
      <c r="G98">
        <v>1200.32</v>
      </c>
      <c r="H98" t="s">
        <v>18</v>
      </c>
      <c r="I98" s="2">
        <v>44777</v>
      </c>
      <c r="J98" t="s">
        <v>24</v>
      </c>
      <c r="K98" s="4">
        <f>Table1[[#This Row],[Quantity]]*Table1[[#This Row],[Price]]</f>
        <v>4801.28</v>
      </c>
      <c r="L98" t="str">
        <f>IF(Table1[[#This Row],[Age]]&lt;25,"18-24",IF(Table1[[#This Row],[Age]]&lt;35,"25-34",IF(Table1[[#This Row],[Age]]&lt;45,"35-44",IF(Table1[[#This Row],[Age]]&lt;55,"45-54","55+"))))</f>
        <v>18-24</v>
      </c>
      <c r="M98" t="str">
        <f>TEXT(Table1[[#This Row],[Invoice_date]],"mmm")</f>
        <v>Aug</v>
      </c>
      <c r="N98">
        <f>YEAR(Table1[[#This Row],[Invoice_date]])</f>
        <v>2022</v>
      </c>
    </row>
    <row r="99" spans="1:14" x14ac:dyDescent="0.25">
      <c r="A99" t="s">
        <v>1383</v>
      </c>
      <c r="B99" t="s">
        <v>1384</v>
      </c>
      <c r="C99" t="s">
        <v>12</v>
      </c>
      <c r="D99">
        <v>22</v>
      </c>
      <c r="E99" t="s">
        <v>38</v>
      </c>
      <c r="F99">
        <v>2</v>
      </c>
      <c r="G99">
        <v>1200.3399999999999</v>
      </c>
      <c r="H99" t="s">
        <v>13</v>
      </c>
      <c r="I99" s="2">
        <v>44919</v>
      </c>
      <c r="J99" t="s">
        <v>74</v>
      </c>
      <c r="K99" s="4">
        <f>Table1[[#This Row],[Quantity]]*Table1[[#This Row],[Price]]</f>
        <v>2400.6799999999998</v>
      </c>
      <c r="L99" t="str">
        <f>IF(Table1[[#This Row],[Age]]&lt;25,"18-24",IF(Table1[[#This Row],[Age]]&lt;35,"25-34",IF(Table1[[#This Row],[Age]]&lt;45,"35-44",IF(Table1[[#This Row],[Age]]&lt;55,"45-54","55+"))))</f>
        <v>18-24</v>
      </c>
      <c r="M99" t="str">
        <f>TEXT(Table1[[#This Row],[Invoice_date]],"mmm")</f>
        <v>Dec</v>
      </c>
      <c r="N99">
        <f>YEAR(Table1[[#This Row],[Invoice_date]])</f>
        <v>2022</v>
      </c>
    </row>
    <row r="100" spans="1:14" x14ac:dyDescent="0.25">
      <c r="A100" t="s">
        <v>1399</v>
      </c>
      <c r="B100" t="s">
        <v>1400</v>
      </c>
      <c r="C100" t="s">
        <v>12</v>
      </c>
      <c r="D100">
        <v>21</v>
      </c>
      <c r="E100" t="s">
        <v>27</v>
      </c>
      <c r="F100">
        <v>2</v>
      </c>
      <c r="G100">
        <v>10.46</v>
      </c>
      <c r="H100" t="s">
        <v>4</v>
      </c>
      <c r="I100" s="2">
        <v>44714</v>
      </c>
      <c r="J100" t="s">
        <v>30</v>
      </c>
      <c r="K100" s="4">
        <f>Table1[[#This Row],[Quantity]]*Table1[[#This Row],[Price]]</f>
        <v>20.92</v>
      </c>
      <c r="L100" t="str">
        <f>IF(Table1[[#This Row],[Age]]&lt;25,"18-24",IF(Table1[[#This Row],[Age]]&lt;35,"25-34",IF(Table1[[#This Row],[Age]]&lt;45,"35-44",IF(Table1[[#This Row],[Age]]&lt;55,"45-54","55+"))))</f>
        <v>18-24</v>
      </c>
      <c r="M100" t="str">
        <f>TEXT(Table1[[#This Row],[Invoice_date]],"mmm")</f>
        <v>Jun</v>
      </c>
      <c r="N100">
        <f>YEAR(Table1[[#This Row],[Invoice_date]])</f>
        <v>2022</v>
      </c>
    </row>
    <row r="101" spans="1:14" x14ac:dyDescent="0.25">
      <c r="A101" t="s">
        <v>1417</v>
      </c>
      <c r="B101" t="s">
        <v>1418</v>
      </c>
      <c r="C101" t="s">
        <v>12</v>
      </c>
      <c r="D101">
        <v>22</v>
      </c>
      <c r="E101" t="s">
        <v>46</v>
      </c>
      <c r="F101">
        <v>5</v>
      </c>
      <c r="G101">
        <v>58.65</v>
      </c>
      <c r="H101" t="s">
        <v>4</v>
      </c>
      <c r="I101" s="2">
        <v>44672</v>
      </c>
      <c r="J101" t="s">
        <v>74</v>
      </c>
      <c r="K101" s="4">
        <f>Table1[[#This Row],[Quantity]]*Table1[[#This Row],[Price]]</f>
        <v>293.25</v>
      </c>
      <c r="L101" t="str">
        <f>IF(Table1[[#This Row],[Age]]&lt;25,"18-24",IF(Table1[[#This Row],[Age]]&lt;35,"25-34",IF(Table1[[#This Row],[Age]]&lt;45,"35-44",IF(Table1[[#This Row],[Age]]&lt;55,"45-54","55+"))))</f>
        <v>18-24</v>
      </c>
      <c r="M101" t="str">
        <f>TEXT(Table1[[#This Row],[Invoice_date]],"mmm")</f>
        <v>Apr</v>
      </c>
      <c r="N101">
        <f>YEAR(Table1[[#This Row],[Invoice_date]])</f>
        <v>2022</v>
      </c>
    </row>
    <row r="102" spans="1:14" x14ac:dyDescent="0.25">
      <c r="A102" t="s">
        <v>1419</v>
      </c>
      <c r="B102" t="s">
        <v>1420</v>
      </c>
      <c r="C102" t="s">
        <v>12</v>
      </c>
      <c r="D102">
        <v>24</v>
      </c>
      <c r="E102" t="s">
        <v>8</v>
      </c>
      <c r="F102">
        <v>3</v>
      </c>
      <c r="G102">
        <v>121.98</v>
      </c>
      <c r="H102" t="s">
        <v>18</v>
      </c>
      <c r="I102" s="2">
        <v>44968</v>
      </c>
      <c r="J102" t="s">
        <v>24</v>
      </c>
      <c r="K102" s="4">
        <f>Table1[[#This Row],[Quantity]]*Table1[[#This Row],[Price]]</f>
        <v>365.94</v>
      </c>
      <c r="L102" t="str">
        <f>IF(Table1[[#This Row],[Age]]&lt;25,"18-24",IF(Table1[[#This Row],[Age]]&lt;35,"25-34",IF(Table1[[#This Row],[Age]]&lt;45,"35-44",IF(Table1[[#This Row],[Age]]&lt;55,"45-54","55+"))))</f>
        <v>18-24</v>
      </c>
      <c r="M102" t="str">
        <f>TEXT(Table1[[#This Row],[Invoice_date]],"mmm")</f>
        <v>Feb</v>
      </c>
      <c r="N102">
        <f>YEAR(Table1[[#This Row],[Invoice_date]])</f>
        <v>2023</v>
      </c>
    </row>
    <row r="103" spans="1:14" x14ac:dyDescent="0.25">
      <c r="A103" t="s">
        <v>1433</v>
      </c>
      <c r="B103" t="s">
        <v>1434</v>
      </c>
      <c r="C103" t="s">
        <v>12</v>
      </c>
      <c r="D103">
        <v>19</v>
      </c>
      <c r="E103" t="s">
        <v>3</v>
      </c>
      <c r="F103">
        <v>2</v>
      </c>
      <c r="G103">
        <v>600.16</v>
      </c>
      <c r="H103" t="s">
        <v>18</v>
      </c>
      <c r="I103" s="2">
        <v>44221</v>
      </c>
      <c r="J103" t="s">
        <v>50</v>
      </c>
      <c r="K103" s="4">
        <f>Table1[[#This Row],[Quantity]]*Table1[[#This Row],[Price]]</f>
        <v>1200.32</v>
      </c>
      <c r="L103" t="str">
        <f>IF(Table1[[#This Row],[Age]]&lt;25,"18-24",IF(Table1[[#This Row],[Age]]&lt;35,"25-34",IF(Table1[[#This Row],[Age]]&lt;45,"35-44",IF(Table1[[#This Row],[Age]]&lt;55,"45-54","55+"))))</f>
        <v>18-24</v>
      </c>
      <c r="M103" t="str">
        <f>TEXT(Table1[[#This Row],[Invoice_date]],"mmm")</f>
        <v>Jan</v>
      </c>
      <c r="N103">
        <f>YEAR(Table1[[#This Row],[Invoice_date]])</f>
        <v>2021</v>
      </c>
    </row>
    <row r="104" spans="1:14" x14ac:dyDescent="0.25">
      <c r="A104" t="s">
        <v>1435</v>
      </c>
      <c r="B104" t="s">
        <v>1436</v>
      </c>
      <c r="C104" t="s">
        <v>12</v>
      </c>
      <c r="D104">
        <v>21</v>
      </c>
      <c r="E104" t="s">
        <v>17</v>
      </c>
      <c r="F104">
        <v>1</v>
      </c>
      <c r="G104">
        <v>15.15</v>
      </c>
      <c r="H104" t="s">
        <v>13</v>
      </c>
      <c r="I104" s="2">
        <v>44930</v>
      </c>
      <c r="J104" t="s">
        <v>14</v>
      </c>
      <c r="K104" s="4">
        <f>Table1[[#This Row],[Quantity]]*Table1[[#This Row],[Price]]</f>
        <v>15.15</v>
      </c>
      <c r="L104" t="str">
        <f>IF(Table1[[#This Row],[Age]]&lt;25,"18-24",IF(Table1[[#This Row],[Age]]&lt;35,"25-34",IF(Table1[[#This Row],[Age]]&lt;45,"35-44",IF(Table1[[#This Row],[Age]]&lt;55,"45-54","55+"))))</f>
        <v>18-24</v>
      </c>
      <c r="M104" t="str">
        <f>TEXT(Table1[[#This Row],[Invoice_date]],"mmm")</f>
        <v>Jan</v>
      </c>
      <c r="N104">
        <f>YEAR(Table1[[#This Row],[Invoice_date]])</f>
        <v>2023</v>
      </c>
    </row>
    <row r="105" spans="1:14" x14ac:dyDescent="0.25">
      <c r="A105" t="s">
        <v>1439</v>
      </c>
      <c r="B105" t="s">
        <v>1440</v>
      </c>
      <c r="C105" t="s">
        <v>2</v>
      </c>
      <c r="D105">
        <v>23</v>
      </c>
      <c r="E105" t="s">
        <v>27</v>
      </c>
      <c r="F105">
        <v>2</v>
      </c>
      <c r="G105">
        <v>10.46</v>
      </c>
      <c r="H105" t="s">
        <v>18</v>
      </c>
      <c r="I105" s="2">
        <v>44752</v>
      </c>
      <c r="J105" t="s">
        <v>33</v>
      </c>
      <c r="K105" s="4">
        <f>Table1[[#This Row],[Quantity]]*Table1[[#This Row],[Price]]</f>
        <v>20.92</v>
      </c>
      <c r="L105" t="str">
        <f>IF(Table1[[#This Row],[Age]]&lt;25,"18-24",IF(Table1[[#This Row],[Age]]&lt;35,"25-34",IF(Table1[[#This Row],[Age]]&lt;45,"35-44",IF(Table1[[#This Row],[Age]]&lt;55,"45-54","55+"))))</f>
        <v>18-24</v>
      </c>
      <c r="M105" t="str">
        <f>TEXT(Table1[[#This Row],[Invoice_date]],"mmm")</f>
        <v>Jul</v>
      </c>
      <c r="N105">
        <f>YEAR(Table1[[#This Row],[Invoice_date]])</f>
        <v>2022</v>
      </c>
    </row>
    <row r="106" spans="1:14" x14ac:dyDescent="0.25">
      <c r="A106" t="s">
        <v>1449</v>
      </c>
      <c r="B106" t="s">
        <v>1450</v>
      </c>
      <c r="C106" t="s">
        <v>2</v>
      </c>
      <c r="D106">
        <v>24</v>
      </c>
      <c r="E106" t="s">
        <v>8</v>
      </c>
      <c r="F106">
        <v>3</v>
      </c>
      <c r="G106">
        <v>121.98</v>
      </c>
      <c r="H106" t="s">
        <v>18</v>
      </c>
      <c r="I106" s="2">
        <v>44589</v>
      </c>
      <c r="J106" t="s">
        <v>5</v>
      </c>
      <c r="K106" s="4">
        <f>Table1[[#This Row],[Quantity]]*Table1[[#This Row],[Price]]</f>
        <v>365.94</v>
      </c>
      <c r="L106" t="str">
        <f>IF(Table1[[#This Row],[Age]]&lt;25,"18-24",IF(Table1[[#This Row],[Age]]&lt;35,"25-34",IF(Table1[[#This Row],[Age]]&lt;45,"35-44",IF(Table1[[#This Row],[Age]]&lt;55,"45-54","55+"))))</f>
        <v>18-24</v>
      </c>
      <c r="M106" t="str">
        <f>TEXT(Table1[[#This Row],[Invoice_date]],"mmm")</f>
        <v>Jan</v>
      </c>
      <c r="N106">
        <f>YEAR(Table1[[#This Row],[Invoice_date]])</f>
        <v>2022</v>
      </c>
    </row>
    <row r="107" spans="1:14" x14ac:dyDescent="0.25">
      <c r="A107" t="s">
        <v>1467</v>
      </c>
      <c r="B107" t="s">
        <v>1468</v>
      </c>
      <c r="C107" t="s">
        <v>2</v>
      </c>
      <c r="D107">
        <v>18</v>
      </c>
      <c r="E107" t="s">
        <v>3</v>
      </c>
      <c r="F107">
        <v>5</v>
      </c>
      <c r="G107">
        <v>1500.4</v>
      </c>
      <c r="H107" t="s">
        <v>18</v>
      </c>
      <c r="I107" s="2">
        <v>44781</v>
      </c>
      <c r="J107" t="s">
        <v>9</v>
      </c>
      <c r="K107" s="4">
        <f>Table1[[#This Row],[Quantity]]*Table1[[#This Row],[Price]]</f>
        <v>7502</v>
      </c>
      <c r="L107" t="str">
        <f>IF(Table1[[#This Row],[Age]]&lt;25,"18-24",IF(Table1[[#This Row],[Age]]&lt;35,"25-34",IF(Table1[[#This Row],[Age]]&lt;45,"35-44",IF(Table1[[#This Row],[Age]]&lt;55,"45-54","55+"))))</f>
        <v>18-24</v>
      </c>
      <c r="M107" t="str">
        <f>TEXT(Table1[[#This Row],[Invoice_date]],"mmm")</f>
        <v>Aug</v>
      </c>
      <c r="N107">
        <f>YEAR(Table1[[#This Row],[Invoice_date]])</f>
        <v>2022</v>
      </c>
    </row>
    <row r="108" spans="1:14" x14ac:dyDescent="0.25">
      <c r="A108" t="s">
        <v>1479</v>
      </c>
      <c r="B108" t="s">
        <v>1480</v>
      </c>
      <c r="C108" t="s">
        <v>12</v>
      </c>
      <c r="D108">
        <v>23</v>
      </c>
      <c r="E108" t="s">
        <v>8</v>
      </c>
      <c r="F108">
        <v>4</v>
      </c>
      <c r="G108">
        <v>162.63999999999999</v>
      </c>
      <c r="H108" t="s">
        <v>4</v>
      </c>
      <c r="I108" s="2">
        <v>44730</v>
      </c>
      <c r="J108" t="s">
        <v>74</v>
      </c>
      <c r="K108" s="4">
        <f>Table1[[#This Row],[Quantity]]*Table1[[#This Row],[Price]]</f>
        <v>650.55999999999995</v>
      </c>
      <c r="L108" t="str">
        <f>IF(Table1[[#This Row],[Age]]&lt;25,"18-24",IF(Table1[[#This Row],[Age]]&lt;35,"25-34",IF(Table1[[#This Row],[Age]]&lt;45,"35-44",IF(Table1[[#This Row],[Age]]&lt;55,"45-54","55+"))))</f>
        <v>18-24</v>
      </c>
      <c r="M108" t="str">
        <f>TEXT(Table1[[#This Row],[Invoice_date]],"mmm")</f>
        <v>Jun</v>
      </c>
      <c r="N108">
        <f>YEAR(Table1[[#This Row],[Invoice_date]])</f>
        <v>2022</v>
      </c>
    </row>
    <row r="109" spans="1:14" x14ac:dyDescent="0.25">
      <c r="A109" t="s">
        <v>1487</v>
      </c>
      <c r="B109" t="s">
        <v>1488</v>
      </c>
      <c r="C109" t="s">
        <v>2</v>
      </c>
      <c r="D109">
        <v>24</v>
      </c>
      <c r="E109" t="s">
        <v>3</v>
      </c>
      <c r="F109">
        <v>2</v>
      </c>
      <c r="G109">
        <v>600.16</v>
      </c>
      <c r="H109" t="s">
        <v>4</v>
      </c>
      <c r="I109" s="2">
        <v>44712</v>
      </c>
      <c r="J109" t="s">
        <v>33</v>
      </c>
      <c r="K109" s="4">
        <f>Table1[[#This Row],[Quantity]]*Table1[[#This Row],[Price]]</f>
        <v>1200.32</v>
      </c>
      <c r="L109" t="str">
        <f>IF(Table1[[#This Row],[Age]]&lt;25,"18-24",IF(Table1[[#This Row],[Age]]&lt;35,"25-34",IF(Table1[[#This Row],[Age]]&lt;45,"35-44",IF(Table1[[#This Row],[Age]]&lt;55,"45-54","55+"))))</f>
        <v>18-24</v>
      </c>
      <c r="M109" t="str">
        <f>TEXT(Table1[[#This Row],[Invoice_date]],"mmm")</f>
        <v>May</v>
      </c>
      <c r="N109">
        <f>YEAR(Table1[[#This Row],[Invoice_date]])</f>
        <v>2022</v>
      </c>
    </row>
    <row r="110" spans="1:14" x14ac:dyDescent="0.25">
      <c r="A110" t="s">
        <v>1511</v>
      </c>
      <c r="B110" t="s">
        <v>1512</v>
      </c>
      <c r="C110" t="s">
        <v>12</v>
      </c>
      <c r="D110">
        <v>21</v>
      </c>
      <c r="E110" t="s">
        <v>3</v>
      </c>
      <c r="F110">
        <v>1</v>
      </c>
      <c r="G110">
        <v>300.08</v>
      </c>
      <c r="H110" t="s">
        <v>18</v>
      </c>
      <c r="I110" s="2">
        <v>44411</v>
      </c>
      <c r="J110" t="s">
        <v>33</v>
      </c>
      <c r="K110" s="4">
        <f>Table1[[#This Row],[Quantity]]*Table1[[#This Row],[Price]]</f>
        <v>300.08</v>
      </c>
      <c r="L110" t="str">
        <f>IF(Table1[[#This Row],[Age]]&lt;25,"18-24",IF(Table1[[#This Row],[Age]]&lt;35,"25-34",IF(Table1[[#This Row],[Age]]&lt;45,"35-44",IF(Table1[[#This Row],[Age]]&lt;55,"45-54","55+"))))</f>
        <v>18-24</v>
      </c>
      <c r="M110" t="str">
        <f>TEXT(Table1[[#This Row],[Invoice_date]],"mmm")</f>
        <v>Aug</v>
      </c>
      <c r="N110">
        <f>YEAR(Table1[[#This Row],[Invoice_date]])</f>
        <v>2021</v>
      </c>
    </row>
    <row r="111" spans="1:14" x14ac:dyDescent="0.25">
      <c r="A111" t="s">
        <v>1521</v>
      </c>
      <c r="B111" t="s">
        <v>1522</v>
      </c>
      <c r="C111" t="s">
        <v>2</v>
      </c>
      <c r="D111">
        <v>18</v>
      </c>
      <c r="E111" t="s">
        <v>3</v>
      </c>
      <c r="F111">
        <v>4</v>
      </c>
      <c r="G111">
        <v>1200.32</v>
      </c>
      <c r="H111" t="s">
        <v>4</v>
      </c>
      <c r="I111" s="2">
        <v>44851</v>
      </c>
      <c r="J111" t="s">
        <v>14</v>
      </c>
      <c r="K111" s="4">
        <f>Table1[[#This Row],[Quantity]]*Table1[[#This Row],[Price]]</f>
        <v>4801.28</v>
      </c>
      <c r="L111" t="str">
        <f>IF(Table1[[#This Row],[Age]]&lt;25,"18-24",IF(Table1[[#This Row],[Age]]&lt;35,"25-34",IF(Table1[[#This Row],[Age]]&lt;45,"35-44",IF(Table1[[#This Row],[Age]]&lt;55,"45-54","55+"))))</f>
        <v>18-24</v>
      </c>
      <c r="M111" t="str">
        <f>TEXT(Table1[[#This Row],[Invoice_date]],"mmm")</f>
        <v>Oct</v>
      </c>
      <c r="N111">
        <f>YEAR(Table1[[#This Row],[Invoice_date]])</f>
        <v>2022</v>
      </c>
    </row>
    <row r="112" spans="1:14" x14ac:dyDescent="0.25">
      <c r="A112" t="s">
        <v>1531</v>
      </c>
      <c r="B112" t="s">
        <v>1532</v>
      </c>
      <c r="C112" t="s">
        <v>2</v>
      </c>
      <c r="D112">
        <v>19</v>
      </c>
      <c r="E112" t="s">
        <v>3</v>
      </c>
      <c r="F112">
        <v>4</v>
      </c>
      <c r="G112">
        <v>1200.32</v>
      </c>
      <c r="H112" t="s">
        <v>18</v>
      </c>
      <c r="I112" s="2">
        <v>44803</v>
      </c>
      <c r="J112" t="s">
        <v>74</v>
      </c>
      <c r="K112" s="4">
        <f>Table1[[#This Row],[Quantity]]*Table1[[#This Row],[Price]]</f>
        <v>4801.28</v>
      </c>
      <c r="L112" t="str">
        <f>IF(Table1[[#This Row],[Age]]&lt;25,"18-24",IF(Table1[[#This Row],[Age]]&lt;35,"25-34",IF(Table1[[#This Row],[Age]]&lt;45,"35-44",IF(Table1[[#This Row],[Age]]&lt;55,"45-54","55+"))))</f>
        <v>18-24</v>
      </c>
      <c r="M112" t="str">
        <f>TEXT(Table1[[#This Row],[Invoice_date]],"mmm")</f>
        <v>Aug</v>
      </c>
      <c r="N112">
        <f>YEAR(Table1[[#This Row],[Invoice_date]])</f>
        <v>2022</v>
      </c>
    </row>
    <row r="113" spans="1:14" x14ac:dyDescent="0.25">
      <c r="A113" t="s">
        <v>1539</v>
      </c>
      <c r="B113" t="s">
        <v>1540</v>
      </c>
      <c r="C113" t="s">
        <v>2</v>
      </c>
      <c r="D113">
        <v>18</v>
      </c>
      <c r="E113" t="s">
        <v>3</v>
      </c>
      <c r="F113">
        <v>1</v>
      </c>
      <c r="G113">
        <v>300.08</v>
      </c>
      <c r="H113" t="s">
        <v>4</v>
      </c>
      <c r="I113" s="2">
        <v>44885</v>
      </c>
      <c r="J113" t="s">
        <v>24</v>
      </c>
      <c r="K113" s="4">
        <f>Table1[[#This Row],[Quantity]]*Table1[[#This Row],[Price]]</f>
        <v>300.08</v>
      </c>
      <c r="L113" t="str">
        <f>IF(Table1[[#This Row],[Age]]&lt;25,"18-24",IF(Table1[[#This Row],[Age]]&lt;35,"25-34",IF(Table1[[#This Row],[Age]]&lt;45,"35-44",IF(Table1[[#This Row],[Age]]&lt;55,"45-54","55+"))))</f>
        <v>18-24</v>
      </c>
      <c r="M113" t="str">
        <f>TEXT(Table1[[#This Row],[Invoice_date]],"mmm")</f>
        <v>Nov</v>
      </c>
      <c r="N113">
        <f>YEAR(Table1[[#This Row],[Invoice_date]])</f>
        <v>2022</v>
      </c>
    </row>
    <row r="114" spans="1:14" x14ac:dyDescent="0.25">
      <c r="A114" t="s">
        <v>1541</v>
      </c>
      <c r="B114" t="s">
        <v>1542</v>
      </c>
      <c r="C114" t="s">
        <v>2</v>
      </c>
      <c r="D114">
        <v>18</v>
      </c>
      <c r="E114" t="s">
        <v>3</v>
      </c>
      <c r="F114">
        <v>1</v>
      </c>
      <c r="G114">
        <v>300.08</v>
      </c>
      <c r="H114" t="s">
        <v>18</v>
      </c>
      <c r="I114" s="2">
        <v>44809</v>
      </c>
      <c r="J114" t="s">
        <v>74</v>
      </c>
      <c r="K114" s="4">
        <f>Table1[[#This Row],[Quantity]]*Table1[[#This Row],[Price]]</f>
        <v>300.08</v>
      </c>
      <c r="L114" t="str">
        <f>IF(Table1[[#This Row],[Age]]&lt;25,"18-24",IF(Table1[[#This Row],[Age]]&lt;35,"25-34",IF(Table1[[#This Row],[Age]]&lt;45,"35-44",IF(Table1[[#This Row],[Age]]&lt;55,"45-54","55+"))))</f>
        <v>18-24</v>
      </c>
      <c r="M114" t="str">
        <f>TEXT(Table1[[#This Row],[Invoice_date]],"mmm")</f>
        <v>Sep</v>
      </c>
      <c r="N114">
        <f>YEAR(Table1[[#This Row],[Invoice_date]])</f>
        <v>2022</v>
      </c>
    </row>
    <row r="115" spans="1:14" x14ac:dyDescent="0.25">
      <c r="A115" t="s">
        <v>1551</v>
      </c>
      <c r="B115" t="s">
        <v>1552</v>
      </c>
      <c r="C115" t="s">
        <v>2</v>
      </c>
      <c r="D115">
        <v>24</v>
      </c>
      <c r="E115" t="s">
        <v>8</v>
      </c>
      <c r="F115">
        <v>3</v>
      </c>
      <c r="G115">
        <v>121.98</v>
      </c>
      <c r="H115" t="s">
        <v>18</v>
      </c>
      <c r="I115" s="2">
        <v>44724</v>
      </c>
      <c r="J115" t="s">
        <v>14</v>
      </c>
      <c r="K115" s="4">
        <f>Table1[[#This Row],[Quantity]]*Table1[[#This Row],[Price]]</f>
        <v>365.94</v>
      </c>
      <c r="L115" t="str">
        <f>IF(Table1[[#This Row],[Age]]&lt;25,"18-24",IF(Table1[[#This Row],[Age]]&lt;35,"25-34",IF(Table1[[#This Row],[Age]]&lt;45,"35-44",IF(Table1[[#This Row],[Age]]&lt;55,"45-54","55+"))))</f>
        <v>18-24</v>
      </c>
      <c r="M115" t="str">
        <f>TEXT(Table1[[#This Row],[Invoice_date]],"mmm")</f>
        <v>Jun</v>
      </c>
      <c r="N115">
        <f>YEAR(Table1[[#This Row],[Invoice_date]])</f>
        <v>2022</v>
      </c>
    </row>
    <row r="116" spans="1:14" x14ac:dyDescent="0.25">
      <c r="A116" t="s">
        <v>1559</v>
      </c>
      <c r="B116" t="s">
        <v>1560</v>
      </c>
      <c r="C116" t="s">
        <v>2</v>
      </c>
      <c r="D116">
        <v>24</v>
      </c>
      <c r="E116" t="s">
        <v>17</v>
      </c>
      <c r="F116">
        <v>5</v>
      </c>
      <c r="G116">
        <v>75.75</v>
      </c>
      <c r="H116" t="s">
        <v>4</v>
      </c>
      <c r="I116" s="2">
        <v>44375</v>
      </c>
      <c r="J116" t="s">
        <v>74</v>
      </c>
      <c r="K116" s="4">
        <f>Table1[[#This Row],[Quantity]]*Table1[[#This Row],[Price]]</f>
        <v>378.75</v>
      </c>
      <c r="L116" t="str">
        <f>IF(Table1[[#This Row],[Age]]&lt;25,"18-24",IF(Table1[[#This Row],[Age]]&lt;35,"25-34",IF(Table1[[#This Row],[Age]]&lt;45,"35-44",IF(Table1[[#This Row],[Age]]&lt;55,"45-54","55+"))))</f>
        <v>18-24</v>
      </c>
      <c r="M116" t="str">
        <f>TEXT(Table1[[#This Row],[Invoice_date]],"mmm")</f>
        <v>Jun</v>
      </c>
      <c r="N116">
        <f>YEAR(Table1[[#This Row],[Invoice_date]])</f>
        <v>2021</v>
      </c>
    </row>
    <row r="117" spans="1:14" x14ac:dyDescent="0.25">
      <c r="A117" t="s">
        <v>1565</v>
      </c>
      <c r="B117" t="s">
        <v>1566</v>
      </c>
      <c r="C117" t="s">
        <v>2</v>
      </c>
      <c r="D117">
        <v>23</v>
      </c>
      <c r="E117" t="s">
        <v>21</v>
      </c>
      <c r="F117">
        <v>4</v>
      </c>
      <c r="G117">
        <v>4200</v>
      </c>
      <c r="H117" t="s">
        <v>18</v>
      </c>
      <c r="I117" s="2">
        <v>44821</v>
      </c>
      <c r="J117" t="s">
        <v>74</v>
      </c>
      <c r="K117" s="4">
        <f>Table1[[#This Row],[Quantity]]*Table1[[#This Row],[Price]]</f>
        <v>16800</v>
      </c>
      <c r="L117" t="str">
        <f>IF(Table1[[#This Row],[Age]]&lt;25,"18-24",IF(Table1[[#This Row],[Age]]&lt;35,"25-34",IF(Table1[[#This Row],[Age]]&lt;45,"35-44",IF(Table1[[#This Row],[Age]]&lt;55,"45-54","55+"))))</f>
        <v>18-24</v>
      </c>
      <c r="M117" t="str">
        <f>TEXT(Table1[[#This Row],[Invoice_date]],"mmm")</f>
        <v>Sep</v>
      </c>
      <c r="N117">
        <f>YEAR(Table1[[#This Row],[Invoice_date]])</f>
        <v>2022</v>
      </c>
    </row>
    <row r="118" spans="1:14" x14ac:dyDescent="0.25">
      <c r="A118" t="s">
        <v>1579</v>
      </c>
      <c r="B118" t="s">
        <v>1580</v>
      </c>
      <c r="C118" t="s">
        <v>12</v>
      </c>
      <c r="D118">
        <v>20</v>
      </c>
      <c r="E118" t="s">
        <v>49</v>
      </c>
      <c r="F118">
        <v>2</v>
      </c>
      <c r="G118">
        <v>71.680000000000007</v>
      </c>
      <c r="H118" t="s">
        <v>13</v>
      </c>
      <c r="I118" s="2">
        <v>44215</v>
      </c>
      <c r="J118" t="s">
        <v>14</v>
      </c>
      <c r="K118" s="4">
        <f>Table1[[#This Row],[Quantity]]*Table1[[#This Row],[Price]]</f>
        <v>143.36000000000001</v>
      </c>
      <c r="L118" t="str">
        <f>IF(Table1[[#This Row],[Age]]&lt;25,"18-24",IF(Table1[[#This Row],[Age]]&lt;35,"25-34",IF(Table1[[#This Row],[Age]]&lt;45,"35-44",IF(Table1[[#This Row],[Age]]&lt;55,"45-54","55+"))))</f>
        <v>18-24</v>
      </c>
      <c r="M118" t="str">
        <f>TEXT(Table1[[#This Row],[Invoice_date]],"mmm")</f>
        <v>Jan</v>
      </c>
      <c r="N118">
        <f>YEAR(Table1[[#This Row],[Invoice_date]])</f>
        <v>2021</v>
      </c>
    </row>
    <row r="119" spans="1:14" x14ac:dyDescent="0.25">
      <c r="A119" t="s">
        <v>1589</v>
      </c>
      <c r="B119" t="s">
        <v>1590</v>
      </c>
      <c r="C119" t="s">
        <v>12</v>
      </c>
      <c r="D119">
        <v>18</v>
      </c>
      <c r="E119" t="s">
        <v>8</v>
      </c>
      <c r="F119">
        <v>4</v>
      </c>
      <c r="G119">
        <v>162.63999999999999</v>
      </c>
      <c r="H119" t="s">
        <v>18</v>
      </c>
      <c r="I119" s="2">
        <v>44220</v>
      </c>
      <c r="J119" t="s">
        <v>74</v>
      </c>
      <c r="K119" s="4">
        <f>Table1[[#This Row],[Quantity]]*Table1[[#This Row],[Price]]</f>
        <v>650.55999999999995</v>
      </c>
      <c r="L119" t="str">
        <f>IF(Table1[[#This Row],[Age]]&lt;25,"18-24",IF(Table1[[#This Row],[Age]]&lt;35,"25-34",IF(Table1[[#This Row],[Age]]&lt;45,"35-44",IF(Table1[[#This Row],[Age]]&lt;55,"45-54","55+"))))</f>
        <v>18-24</v>
      </c>
      <c r="M119" t="str">
        <f>TEXT(Table1[[#This Row],[Invoice_date]],"mmm")</f>
        <v>Jan</v>
      </c>
      <c r="N119">
        <f>YEAR(Table1[[#This Row],[Invoice_date]])</f>
        <v>2021</v>
      </c>
    </row>
    <row r="120" spans="1:14" x14ac:dyDescent="0.25">
      <c r="A120" t="s">
        <v>1635</v>
      </c>
      <c r="B120" t="s">
        <v>1636</v>
      </c>
      <c r="C120" t="s">
        <v>12</v>
      </c>
      <c r="D120">
        <v>22</v>
      </c>
      <c r="E120" t="s">
        <v>21</v>
      </c>
      <c r="F120">
        <v>5</v>
      </c>
      <c r="G120">
        <v>5250</v>
      </c>
      <c r="H120" t="s">
        <v>13</v>
      </c>
      <c r="I120" s="2">
        <v>44871</v>
      </c>
      <c r="J120" t="s">
        <v>9</v>
      </c>
      <c r="K120" s="4">
        <f>Table1[[#This Row],[Quantity]]*Table1[[#This Row],[Price]]</f>
        <v>26250</v>
      </c>
      <c r="L120" t="str">
        <f>IF(Table1[[#This Row],[Age]]&lt;25,"18-24",IF(Table1[[#This Row],[Age]]&lt;35,"25-34",IF(Table1[[#This Row],[Age]]&lt;45,"35-44",IF(Table1[[#This Row],[Age]]&lt;55,"45-54","55+"))))</f>
        <v>18-24</v>
      </c>
      <c r="M120" t="str">
        <f>TEXT(Table1[[#This Row],[Invoice_date]],"mmm")</f>
        <v>Nov</v>
      </c>
      <c r="N120">
        <f>YEAR(Table1[[#This Row],[Invoice_date]])</f>
        <v>2022</v>
      </c>
    </row>
    <row r="121" spans="1:14" x14ac:dyDescent="0.25">
      <c r="A121" t="s">
        <v>1647</v>
      </c>
      <c r="B121" t="s">
        <v>1648</v>
      </c>
      <c r="C121" t="s">
        <v>12</v>
      </c>
      <c r="D121">
        <v>23</v>
      </c>
      <c r="E121" t="s">
        <v>27</v>
      </c>
      <c r="F121">
        <v>2</v>
      </c>
      <c r="G121">
        <v>10.46</v>
      </c>
      <c r="H121" t="s">
        <v>18</v>
      </c>
      <c r="I121" s="2">
        <v>44423</v>
      </c>
      <c r="J121" t="s">
        <v>5</v>
      </c>
      <c r="K121" s="4">
        <f>Table1[[#This Row],[Quantity]]*Table1[[#This Row],[Price]]</f>
        <v>20.92</v>
      </c>
      <c r="L121" t="str">
        <f>IF(Table1[[#This Row],[Age]]&lt;25,"18-24",IF(Table1[[#This Row],[Age]]&lt;35,"25-34",IF(Table1[[#This Row],[Age]]&lt;45,"35-44",IF(Table1[[#This Row],[Age]]&lt;55,"45-54","55+"))))</f>
        <v>18-24</v>
      </c>
      <c r="M121" t="str">
        <f>TEXT(Table1[[#This Row],[Invoice_date]],"mmm")</f>
        <v>Aug</v>
      </c>
      <c r="N121">
        <f>YEAR(Table1[[#This Row],[Invoice_date]])</f>
        <v>2021</v>
      </c>
    </row>
    <row r="122" spans="1:14" x14ac:dyDescent="0.25">
      <c r="A122" t="s">
        <v>1665</v>
      </c>
      <c r="B122" t="s">
        <v>1666</v>
      </c>
      <c r="C122" t="s">
        <v>12</v>
      </c>
      <c r="D122">
        <v>22</v>
      </c>
      <c r="E122" t="s">
        <v>46</v>
      </c>
      <c r="F122">
        <v>2</v>
      </c>
      <c r="G122">
        <v>23.46</v>
      </c>
      <c r="H122" t="s">
        <v>18</v>
      </c>
      <c r="I122" s="2">
        <v>44260</v>
      </c>
      <c r="J122" t="s">
        <v>33</v>
      </c>
      <c r="K122" s="4">
        <f>Table1[[#This Row],[Quantity]]*Table1[[#This Row],[Price]]</f>
        <v>46.92</v>
      </c>
      <c r="L122" t="str">
        <f>IF(Table1[[#This Row],[Age]]&lt;25,"18-24",IF(Table1[[#This Row],[Age]]&lt;35,"25-34",IF(Table1[[#This Row],[Age]]&lt;45,"35-44",IF(Table1[[#This Row],[Age]]&lt;55,"45-54","55+"))))</f>
        <v>18-24</v>
      </c>
      <c r="M122" t="str">
        <f>TEXT(Table1[[#This Row],[Invoice_date]],"mmm")</f>
        <v>Mar</v>
      </c>
      <c r="N122">
        <f>YEAR(Table1[[#This Row],[Invoice_date]])</f>
        <v>2021</v>
      </c>
    </row>
    <row r="123" spans="1:14" x14ac:dyDescent="0.25">
      <c r="A123" t="s">
        <v>1685</v>
      </c>
      <c r="B123" t="s">
        <v>1686</v>
      </c>
      <c r="C123" t="s">
        <v>12</v>
      </c>
      <c r="D123">
        <v>21</v>
      </c>
      <c r="E123" t="s">
        <v>3</v>
      </c>
      <c r="F123">
        <v>1</v>
      </c>
      <c r="G123">
        <v>300.08</v>
      </c>
      <c r="H123" t="s">
        <v>18</v>
      </c>
      <c r="I123" s="2">
        <v>44991</v>
      </c>
      <c r="J123" t="s">
        <v>33</v>
      </c>
      <c r="K123" s="4">
        <f>Table1[[#This Row],[Quantity]]*Table1[[#This Row],[Price]]</f>
        <v>300.08</v>
      </c>
      <c r="L123" t="str">
        <f>IF(Table1[[#This Row],[Age]]&lt;25,"18-24",IF(Table1[[#This Row],[Age]]&lt;35,"25-34",IF(Table1[[#This Row],[Age]]&lt;45,"35-44",IF(Table1[[#This Row],[Age]]&lt;55,"45-54","55+"))))</f>
        <v>18-24</v>
      </c>
      <c r="M123" t="str">
        <f>TEXT(Table1[[#This Row],[Invoice_date]],"mmm")</f>
        <v>Mar</v>
      </c>
      <c r="N123">
        <f>YEAR(Table1[[#This Row],[Invoice_date]])</f>
        <v>2023</v>
      </c>
    </row>
    <row r="124" spans="1:14" x14ac:dyDescent="0.25">
      <c r="A124" t="s">
        <v>1711</v>
      </c>
      <c r="B124" t="s">
        <v>1712</v>
      </c>
      <c r="C124" t="s">
        <v>12</v>
      </c>
      <c r="D124">
        <v>23</v>
      </c>
      <c r="E124" t="s">
        <v>3</v>
      </c>
      <c r="F124">
        <v>2</v>
      </c>
      <c r="G124">
        <v>600.16</v>
      </c>
      <c r="H124" t="s">
        <v>18</v>
      </c>
      <c r="I124" s="2">
        <v>44693</v>
      </c>
      <c r="J124" t="s">
        <v>24</v>
      </c>
      <c r="K124" s="4">
        <f>Table1[[#This Row],[Quantity]]*Table1[[#This Row],[Price]]</f>
        <v>1200.32</v>
      </c>
      <c r="L124" t="str">
        <f>IF(Table1[[#This Row],[Age]]&lt;25,"18-24",IF(Table1[[#This Row],[Age]]&lt;35,"25-34",IF(Table1[[#This Row],[Age]]&lt;45,"35-44",IF(Table1[[#This Row],[Age]]&lt;55,"45-54","55+"))))</f>
        <v>18-24</v>
      </c>
      <c r="M124" t="str">
        <f>TEXT(Table1[[#This Row],[Invoice_date]],"mmm")</f>
        <v>May</v>
      </c>
      <c r="N124">
        <f>YEAR(Table1[[#This Row],[Invoice_date]])</f>
        <v>2022</v>
      </c>
    </row>
    <row r="125" spans="1:14" x14ac:dyDescent="0.25">
      <c r="A125" t="s">
        <v>1723</v>
      </c>
      <c r="B125" t="s">
        <v>1724</v>
      </c>
      <c r="C125" t="s">
        <v>2</v>
      </c>
      <c r="D125">
        <v>20</v>
      </c>
      <c r="E125" t="s">
        <v>3</v>
      </c>
      <c r="F125">
        <v>3</v>
      </c>
      <c r="G125">
        <v>900.24</v>
      </c>
      <c r="H125" t="s">
        <v>18</v>
      </c>
      <c r="I125" s="2">
        <v>44975</v>
      </c>
      <c r="J125" t="s">
        <v>43</v>
      </c>
      <c r="K125" s="4">
        <f>Table1[[#This Row],[Quantity]]*Table1[[#This Row],[Price]]</f>
        <v>2700.7200000000003</v>
      </c>
      <c r="L125" t="str">
        <f>IF(Table1[[#This Row],[Age]]&lt;25,"18-24",IF(Table1[[#This Row],[Age]]&lt;35,"25-34",IF(Table1[[#This Row],[Age]]&lt;45,"35-44",IF(Table1[[#This Row],[Age]]&lt;55,"45-54","55+"))))</f>
        <v>18-24</v>
      </c>
      <c r="M125" t="str">
        <f>TEXT(Table1[[#This Row],[Invoice_date]],"mmm")</f>
        <v>Feb</v>
      </c>
      <c r="N125">
        <f>YEAR(Table1[[#This Row],[Invoice_date]])</f>
        <v>2023</v>
      </c>
    </row>
    <row r="126" spans="1:14" x14ac:dyDescent="0.25">
      <c r="A126" t="s">
        <v>1749</v>
      </c>
      <c r="B126" t="s">
        <v>1750</v>
      </c>
      <c r="C126" t="s">
        <v>2</v>
      </c>
      <c r="D126">
        <v>20</v>
      </c>
      <c r="E126" t="s">
        <v>38</v>
      </c>
      <c r="F126">
        <v>3</v>
      </c>
      <c r="G126">
        <v>1800.51</v>
      </c>
      <c r="H126" t="s">
        <v>18</v>
      </c>
      <c r="I126" s="2">
        <v>44656</v>
      </c>
      <c r="J126" t="s">
        <v>5</v>
      </c>
      <c r="K126" s="4">
        <f>Table1[[#This Row],[Quantity]]*Table1[[#This Row],[Price]]</f>
        <v>5401.53</v>
      </c>
      <c r="L126" t="str">
        <f>IF(Table1[[#This Row],[Age]]&lt;25,"18-24",IF(Table1[[#This Row],[Age]]&lt;35,"25-34",IF(Table1[[#This Row],[Age]]&lt;45,"35-44",IF(Table1[[#This Row],[Age]]&lt;55,"45-54","55+"))))</f>
        <v>18-24</v>
      </c>
      <c r="M126" t="str">
        <f>TEXT(Table1[[#This Row],[Invoice_date]],"mmm")</f>
        <v>Apr</v>
      </c>
      <c r="N126">
        <f>YEAR(Table1[[#This Row],[Invoice_date]])</f>
        <v>2022</v>
      </c>
    </row>
    <row r="127" spans="1:14" x14ac:dyDescent="0.25">
      <c r="A127" t="s">
        <v>1751</v>
      </c>
      <c r="B127" t="s">
        <v>1752</v>
      </c>
      <c r="C127" t="s">
        <v>12</v>
      </c>
      <c r="D127">
        <v>19</v>
      </c>
      <c r="E127" t="s">
        <v>3</v>
      </c>
      <c r="F127">
        <v>1</v>
      </c>
      <c r="G127">
        <v>300.08</v>
      </c>
      <c r="H127" t="s">
        <v>18</v>
      </c>
      <c r="I127" s="2">
        <v>44828</v>
      </c>
      <c r="J127" t="s">
        <v>24</v>
      </c>
      <c r="K127" s="4">
        <f>Table1[[#This Row],[Quantity]]*Table1[[#This Row],[Price]]</f>
        <v>300.08</v>
      </c>
      <c r="L127" t="str">
        <f>IF(Table1[[#This Row],[Age]]&lt;25,"18-24",IF(Table1[[#This Row],[Age]]&lt;35,"25-34",IF(Table1[[#This Row],[Age]]&lt;45,"35-44",IF(Table1[[#This Row],[Age]]&lt;55,"45-54","55+"))))</f>
        <v>18-24</v>
      </c>
      <c r="M127" t="str">
        <f>TEXT(Table1[[#This Row],[Invoice_date]],"mmm")</f>
        <v>Sep</v>
      </c>
      <c r="N127">
        <f>YEAR(Table1[[#This Row],[Invoice_date]])</f>
        <v>2022</v>
      </c>
    </row>
    <row r="128" spans="1:14" x14ac:dyDescent="0.25">
      <c r="A128" t="s">
        <v>1807</v>
      </c>
      <c r="B128" t="s">
        <v>1808</v>
      </c>
      <c r="C128" t="s">
        <v>12</v>
      </c>
      <c r="D128">
        <v>23</v>
      </c>
      <c r="E128" t="s">
        <v>8</v>
      </c>
      <c r="F128">
        <v>1</v>
      </c>
      <c r="G128">
        <v>40.659999999999997</v>
      </c>
      <c r="H128" t="s">
        <v>4</v>
      </c>
      <c r="I128" s="2">
        <v>44274</v>
      </c>
      <c r="J128" t="s">
        <v>14</v>
      </c>
      <c r="K128" s="4">
        <f>Table1[[#This Row],[Quantity]]*Table1[[#This Row],[Price]]</f>
        <v>40.659999999999997</v>
      </c>
      <c r="L128" t="str">
        <f>IF(Table1[[#This Row],[Age]]&lt;25,"18-24",IF(Table1[[#This Row],[Age]]&lt;35,"25-34",IF(Table1[[#This Row],[Age]]&lt;45,"35-44",IF(Table1[[#This Row],[Age]]&lt;55,"45-54","55+"))))</f>
        <v>18-24</v>
      </c>
      <c r="M128" t="str">
        <f>TEXT(Table1[[#This Row],[Invoice_date]],"mmm")</f>
        <v>Mar</v>
      </c>
      <c r="N128">
        <f>YEAR(Table1[[#This Row],[Invoice_date]])</f>
        <v>2021</v>
      </c>
    </row>
    <row r="129" spans="1:14" x14ac:dyDescent="0.25">
      <c r="A129" t="s">
        <v>1813</v>
      </c>
      <c r="B129" t="s">
        <v>1814</v>
      </c>
      <c r="C129" t="s">
        <v>12</v>
      </c>
      <c r="D129">
        <v>20</v>
      </c>
      <c r="E129" t="s">
        <v>8</v>
      </c>
      <c r="F129">
        <v>5</v>
      </c>
      <c r="G129">
        <v>203.3</v>
      </c>
      <c r="H129" t="s">
        <v>18</v>
      </c>
      <c r="I129" s="2">
        <v>44568</v>
      </c>
      <c r="J129" t="s">
        <v>9</v>
      </c>
      <c r="K129" s="4">
        <f>Table1[[#This Row],[Quantity]]*Table1[[#This Row],[Price]]</f>
        <v>1016.5</v>
      </c>
      <c r="L129" t="str">
        <f>IF(Table1[[#This Row],[Age]]&lt;25,"18-24",IF(Table1[[#This Row],[Age]]&lt;35,"25-34",IF(Table1[[#This Row],[Age]]&lt;45,"35-44",IF(Table1[[#This Row],[Age]]&lt;55,"45-54","55+"))))</f>
        <v>18-24</v>
      </c>
      <c r="M129" t="str">
        <f>TEXT(Table1[[#This Row],[Invoice_date]],"mmm")</f>
        <v>Jan</v>
      </c>
      <c r="N129">
        <f>YEAR(Table1[[#This Row],[Invoice_date]])</f>
        <v>2022</v>
      </c>
    </row>
    <row r="130" spans="1:14" x14ac:dyDescent="0.25">
      <c r="A130" t="s">
        <v>1817</v>
      </c>
      <c r="B130" t="s">
        <v>1818</v>
      </c>
      <c r="C130" t="s">
        <v>12</v>
      </c>
      <c r="D130">
        <v>22</v>
      </c>
      <c r="E130" t="s">
        <v>3</v>
      </c>
      <c r="F130">
        <v>4</v>
      </c>
      <c r="G130">
        <v>1200.32</v>
      </c>
      <c r="H130" t="s">
        <v>4</v>
      </c>
      <c r="I130" s="2">
        <v>44506</v>
      </c>
      <c r="J130" t="s">
        <v>24</v>
      </c>
      <c r="K130" s="4">
        <f>Table1[[#This Row],[Quantity]]*Table1[[#This Row],[Price]]</f>
        <v>4801.28</v>
      </c>
      <c r="L130" t="str">
        <f>IF(Table1[[#This Row],[Age]]&lt;25,"18-24",IF(Table1[[#This Row],[Age]]&lt;35,"25-34",IF(Table1[[#This Row],[Age]]&lt;45,"35-44",IF(Table1[[#This Row],[Age]]&lt;55,"45-54","55+"))))</f>
        <v>18-24</v>
      </c>
      <c r="M130" t="str">
        <f>TEXT(Table1[[#This Row],[Invoice_date]],"mmm")</f>
        <v>Nov</v>
      </c>
      <c r="N130">
        <f>YEAR(Table1[[#This Row],[Invoice_date]])</f>
        <v>2021</v>
      </c>
    </row>
    <row r="131" spans="1:14" x14ac:dyDescent="0.25">
      <c r="A131" t="s">
        <v>1825</v>
      </c>
      <c r="B131" t="s">
        <v>1826</v>
      </c>
      <c r="C131" t="s">
        <v>12</v>
      </c>
      <c r="D131">
        <v>21</v>
      </c>
      <c r="E131" t="s">
        <v>3</v>
      </c>
      <c r="F131">
        <v>5</v>
      </c>
      <c r="G131">
        <v>1500.4</v>
      </c>
      <c r="H131" t="s">
        <v>13</v>
      </c>
      <c r="I131" s="2">
        <v>44762</v>
      </c>
      <c r="J131" t="s">
        <v>63</v>
      </c>
      <c r="K131" s="4">
        <f>Table1[[#This Row],[Quantity]]*Table1[[#This Row],[Price]]</f>
        <v>7502</v>
      </c>
      <c r="L131" t="str">
        <f>IF(Table1[[#This Row],[Age]]&lt;25,"18-24",IF(Table1[[#This Row],[Age]]&lt;35,"25-34",IF(Table1[[#This Row],[Age]]&lt;45,"35-44",IF(Table1[[#This Row],[Age]]&lt;55,"45-54","55+"))))</f>
        <v>18-24</v>
      </c>
      <c r="M131" t="str">
        <f>TEXT(Table1[[#This Row],[Invoice_date]],"mmm")</f>
        <v>Jul</v>
      </c>
      <c r="N131">
        <f>YEAR(Table1[[#This Row],[Invoice_date]])</f>
        <v>2022</v>
      </c>
    </row>
    <row r="132" spans="1:14" x14ac:dyDescent="0.25">
      <c r="A132" t="s">
        <v>1837</v>
      </c>
      <c r="B132" t="s">
        <v>1838</v>
      </c>
      <c r="C132" t="s">
        <v>12</v>
      </c>
      <c r="D132">
        <v>22</v>
      </c>
      <c r="E132" t="s">
        <v>46</v>
      </c>
      <c r="F132">
        <v>3</v>
      </c>
      <c r="G132">
        <v>35.19</v>
      </c>
      <c r="H132" t="s">
        <v>13</v>
      </c>
      <c r="I132" s="2">
        <v>44401</v>
      </c>
      <c r="J132" t="s">
        <v>30</v>
      </c>
      <c r="K132" s="4">
        <f>Table1[[#This Row],[Quantity]]*Table1[[#This Row],[Price]]</f>
        <v>105.57</v>
      </c>
      <c r="L132" t="str">
        <f>IF(Table1[[#This Row],[Age]]&lt;25,"18-24",IF(Table1[[#This Row],[Age]]&lt;35,"25-34",IF(Table1[[#This Row],[Age]]&lt;45,"35-44",IF(Table1[[#This Row],[Age]]&lt;55,"45-54","55+"))))</f>
        <v>18-24</v>
      </c>
      <c r="M132" t="str">
        <f>TEXT(Table1[[#This Row],[Invoice_date]],"mmm")</f>
        <v>Jul</v>
      </c>
      <c r="N132">
        <f>YEAR(Table1[[#This Row],[Invoice_date]])</f>
        <v>2021</v>
      </c>
    </row>
    <row r="133" spans="1:14" x14ac:dyDescent="0.25">
      <c r="A133" t="s">
        <v>1851</v>
      </c>
      <c r="B133" t="s">
        <v>1852</v>
      </c>
      <c r="C133" t="s">
        <v>12</v>
      </c>
      <c r="D133">
        <v>21</v>
      </c>
      <c r="E133" t="s">
        <v>3</v>
      </c>
      <c r="F133">
        <v>3</v>
      </c>
      <c r="G133">
        <v>900.24</v>
      </c>
      <c r="H133" t="s">
        <v>4</v>
      </c>
      <c r="I133" s="2">
        <v>44527</v>
      </c>
      <c r="J133" t="s">
        <v>33</v>
      </c>
      <c r="K133" s="4">
        <f>Table1[[#This Row],[Quantity]]*Table1[[#This Row],[Price]]</f>
        <v>2700.7200000000003</v>
      </c>
      <c r="L133" t="str">
        <f>IF(Table1[[#This Row],[Age]]&lt;25,"18-24",IF(Table1[[#This Row],[Age]]&lt;35,"25-34",IF(Table1[[#This Row],[Age]]&lt;45,"35-44",IF(Table1[[#This Row],[Age]]&lt;55,"45-54","55+"))))</f>
        <v>18-24</v>
      </c>
      <c r="M133" t="str">
        <f>TEXT(Table1[[#This Row],[Invoice_date]],"mmm")</f>
        <v>Nov</v>
      </c>
      <c r="N133">
        <f>YEAR(Table1[[#This Row],[Invoice_date]])</f>
        <v>2021</v>
      </c>
    </row>
    <row r="134" spans="1:14" x14ac:dyDescent="0.25">
      <c r="A134" t="s">
        <v>1865</v>
      </c>
      <c r="B134" t="s">
        <v>1866</v>
      </c>
      <c r="C134" t="s">
        <v>12</v>
      </c>
      <c r="D134">
        <v>19</v>
      </c>
      <c r="E134" t="s">
        <v>3</v>
      </c>
      <c r="F134">
        <v>2</v>
      </c>
      <c r="G134">
        <v>600.16</v>
      </c>
      <c r="H134" t="s">
        <v>4</v>
      </c>
      <c r="I134" s="2">
        <v>44849</v>
      </c>
      <c r="J134" t="s">
        <v>74</v>
      </c>
      <c r="K134" s="4">
        <f>Table1[[#This Row],[Quantity]]*Table1[[#This Row],[Price]]</f>
        <v>1200.32</v>
      </c>
      <c r="L134" t="str">
        <f>IF(Table1[[#This Row],[Age]]&lt;25,"18-24",IF(Table1[[#This Row],[Age]]&lt;35,"25-34",IF(Table1[[#This Row],[Age]]&lt;45,"35-44",IF(Table1[[#This Row],[Age]]&lt;55,"45-54","55+"))))</f>
        <v>18-24</v>
      </c>
      <c r="M134" t="str">
        <f>TEXT(Table1[[#This Row],[Invoice_date]],"mmm")</f>
        <v>Oct</v>
      </c>
      <c r="N134">
        <f>YEAR(Table1[[#This Row],[Invoice_date]])</f>
        <v>2022</v>
      </c>
    </row>
    <row r="135" spans="1:14" x14ac:dyDescent="0.25">
      <c r="A135" t="s">
        <v>1869</v>
      </c>
      <c r="B135" t="s">
        <v>1870</v>
      </c>
      <c r="C135" t="s">
        <v>12</v>
      </c>
      <c r="D135">
        <v>18</v>
      </c>
      <c r="E135" t="s">
        <v>8</v>
      </c>
      <c r="F135">
        <v>3</v>
      </c>
      <c r="G135">
        <v>121.98</v>
      </c>
      <c r="H135" t="s">
        <v>18</v>
      </c>
      <c r="I135" s="2">
        <v>44984</v>
      </c>
      <c r="J135" t="s">
        <v>14</v>
      </c>
      <c r="K135" s="4">
        <f>Table1[[#This Row],[Quantity]]*Table1[[#This Row],[Price]]</f>
        <v>365.94</v>
      </c>
      <c r="L135" t="str">
        <f>IF(Table1[[#This Row],[Age]]&lt;25,"18-24",IF(Table1[[#This Row],[Age]]&lt;35,"25-34",IF(Table1[[#This Row],[Age]]&lt;45,"35-44",IF(Table1[[#This Row],[Age]]&lt;55,"45-54","55+"))))</f>
        <v>18-24</v>
      </c>
      <c r="M135" t="str">
        <f>TEXT(Table1[[#This Row],[Invoice_date]],"mmm")</f>
        <v>Feb</v>
      </c>
      <c r="N135">
        <f>YEAR(Table1[[#This Row],[Invoice_date]])</f>
        <v>2023</v>
      </c>
    </row>
    <row r="136" spans="1:14" x14ac:dyDescent="0.25">
      <c r="A136" t="s">
        <v>1877</v>
      </c>
      <c r="B136" t="s">
        <v>1878</v>
      </c>
      <c r="C136" t="s">
        <v>12</v>
      </c>
      <c r="D136">
        <v>22</v>
      </c>
      <c r="E136" t="s">
        <v>27</v>
      </c>
      <c r="F136">
        <v>5</v>
      </c>
      <c r="G136">
        <v>26.15</v>
      </c>
      <c r="H136" t="s">
        <v>4</v>
      </c>
      <c r="I136" s="2">
        <v>44477</v>
      </c>
      <c r="J136" t="s">
        <v>33</v>
      </c>
      <c r="K136" s="4">
        <f>Table1[[#This Row],[Quantity]]*Table1[[#This Row],[Price]]</f>
        <v>130.75</v>
      </c>
      <c r="L136" t="str">
        <f>IF(Table1[[#This Row],[Age]]&lt;25,"18-24",IF(Table1[[#This Row],[Age]]&lt;35,"25-34",IF(Table1[[#This Row],[Age]]&lt;45,"35-44",IF(Table1[[#This Row],[Age]]&lt;55,"45-54","55+"))))</f>
        <v>18-24</v>
      </c>
      <c r="M136" t="str">
        <f>TEXT(Table1[[#This Row],[Invoice_date]],"mmm")</f>
        <v>Oct</v>
      </c>
      <c r="N136">
        <f>YEAR(Table1[[#This Row],[Invoice_date]])</f>
        <v>2021</v>
      </c>
    </row>
    <row r="137" spans="1:14" x14ac:dyDescent="0.25">
      <c r="A137" t="s">
        <v>1891</v>
      </c>
      <c r="B137" t="s">
        <v>1892</v>
      </c>
      <c r="C137" t="s">
        <v>12</v>
      </c>
      <c r="D137">
        <v>20</v>
      </c>
      <c r="E137" t="s">
        <v>49</v>
      </c>
      <c r="F137">
        <v>3</v>
      </c>
      <c r="G137">
        <v>107.52</v>
      </c>
      <c r="H137" t="s">
        <v>4</v>
      </c>
      <c r="I137" s="2">
        <v>44485</v>
      </c>
      <c r="J137" t="s">
        <v>33</v>
      </c>
      <c r="K137" s="4">
        <f>Table1[[#This Row],[Quantity]]*Table1[[#This Row],[Price]]</f>
        <v>322.56</v>
      </c>
      <c r="L137" t="str">
        <f>IF(Table1[[#This Row],[Age]]&lt;25,"18-24",IF(Table1[[#This Row],[Age]]&lt;35,"25-34",IF(Table1[[#This Row],[Age]]&lt;45,"35-44",IF(Table1[[#This Row],[Age]]&lt;55,"45-54","55+"))))</f>
        <v>18-24</v>
      </c>
      <c r="M137" t="str">
        <f>TEXT(Table1[[#This Row],[Invoice_date]],"mmm")</f>
        <v>Oct</v>
      </c>
      <c r="N137">
        <f>YEAR(Table1[[#This Row],[Invoice_date]])</f>
        <v>2021</v>
      </c>
    </row>
    <row r="138" spans="1:14" x14ac:dyDescent="0.25">
      <c r="A138" t="s">
        <v>1935</v>
      </c>
      <c r="B138" t="s">
        <v>1936</v>
      </c>
      <c r="C138" t="s">
        <v>2</v>
      </c>
      <c r="D138">
        <v>22</v>
      </c>
      <c r="E138" t="s">
        <v>38</v>
      </c>
      <c r="F138">
        <v>5</v>
      </c>
      <c r="G138">
        <v>3000.85</v>
      </c>
      <c r="H138" t="s">
        <v>18</v>
      </c>
      <c r="I138" s="2">
        <v>44762</v>
      </c>
      <c r="J138" t="s">
        <v>33</v>
      </c>
      <c r="K138" s="4">
        <f>Table1[[#This Row],[Quantity]]*Table1[[#This Row],[Price]]</f>
        <v>15004.25</v>
      </c>
      <c r="L138" t="str">
        <f>IF(Table1[[#This Row],[Age]]&lt;25,"18-24",IF(Table1[[#This Row],[Age]]&lt;35,"25-34",IF(Table1[[#This Row],[Age]]&lt;45,"35-44",IF(Table1[[#This Row],[Age]]&lt;55,"45-54","55+"))))</f>
        <v>18-24</v>
      </c>
      <c r="M138" t="str">
        <f>TEXT(Table1[[#This Row],[Invoice_date]],"mmm")</f>
        <v>Jul</v>
      </c>
      <c r="N138">
        <f>YEAR(Table1[[#This Row],[Invoice_date]])</f>
        <v>2022</v>
      </c>
    </row>
    <row r="139" spans="1:14" x14ac:dyDescent="0.25">
      <c r="A139" t="s">
        <v>1965</v>
      </c>
      <c r="B139" t="s">
        <v>1966</v>
      </c>
      <c r="C139" t="s">
        <v>12</v>
      </c>
      <c r="D139">
        <v>22</v>
      </c>
      <c r="E139" t="s">
        <v>49</v>
      </c>
      <c r="F139">
        <v>4</v>
      </c>
      <c r="G139">
        <v>143.36000000000001</v>
      </c>
      <c r="H139" t="s">
        <v>18</v>
      </c>
      <c r="I139" s="2">
        <v>44432</v>
      </c>
      <c r="J139" t="s">
        <v>30</v>
      </c>
      <c r="K139" s="4">
        <f>Table1[[#This Row],[Quantity]]*Table1[[#This Row],[Price]]</f>
        <v>573.44000000000005</v>
      </c>
      <c r="L139" t="str">
        <f>IF(Table1[[#This Row],[Age]]&lt;25,"18-24",IF(Table1[[#This Row],[Age]]&lt;35,"25-34",IF(Table1[[#This Row],[Age]]&lt;45,"35-44",IF(Table1[[#This Row],[Age]]&lt;55,"45-54","55+"))))</f>
        <v>18-24</v>
      </c>
      <c r="M139" t="str">
        <f>TEXT(Table1[[#This Row],[Invoice_date]],"mmm")</f>
        <v>Aug</v>
      </c>
      <c r="N139">
        <f>YEAR(Table1[[#This Row],[Invoice_date]])</f>
        <v>2021</v>
      </c>
    </row>
    <row r="140" spans="1:14" x14ac:dyDescent="0.25">
      <c r="A140" t="s">
        <v>1967</v>
      </c>
      <c r="B140" t="s">
        <v>1968</v>
      </c>
      <c r="C140" t="s">
        <v>12</v>
      </c>
      <c r="D140">
        <v>18</v>
      </c>
      <c r="E140" t="s">
        <v>49</v>
      </c>
      <c r="F140">
        <v>5</v>
      </c>
      <c r="G140">
        <v>179.2</v>
      </c>
      <c r="H140" t="s">
        <v>4</v>
      </c>
      <c r="I140" s="2">
        <v>44368</v>
      </c>
      <c r="J140" t="s">
        <v>14</v>
      </c>
      <c r="K140" s="4">
        <f>Table1[[#This Row],[Quantity]]*Table1[[#This Row],[Price]]</f>
        <v>896</v>
      </c>
      <c r="L140" t="str">
        <f>IF(Table1[[#This Row],[Age]]&lt;25,"18-24",IF(Table1[[#This Row],[Age]]&lt;35,"25-34",IF(Table1[[#This Row],[Age]]&lt;45,"35-44",IF(Table1[[#This Row],[Age]]&lt;55,"45-54","55+"))))</f>
        <v>18-24</v>
      </c>
      <c r="M140" t="str">
        <f>TEXT(Table1[[#This Row],[Invoice_date]],"mmm")</f>
        <v>Jun</v>
      </c>
      <c r="N140">
        <f>YEAR(Table1[[#This Row],[Invoice_date]])</f>
        <v>2021</v>
      </c>
    </row>
    <row r="141" spans="1:14" x14ac:dyDescent="0.25">
      <c r="A141" t="s">
        <v>1975</v>
      </c>
      <c r="B141" t="s">
        <v>1976</v>
      </c>
      <c r="C141" t="s">
        <v>2</v>
      </c>
      <c r="D141">
        <v>21</v>
      </c>
      <c r="E141" t="s">
        <v>3</v>
      </c>
      <c r="F141">
        <v>5</v>
      </c>
      <c r="G141">
        <v>1500.4</v>
      </c>
      <c r="H141" t="s">
        <v>13</v>
      </c>
      <c r="I141" s="2">
        <v>44437</v>
      </c>
      <c r="J141" t="s">
        <v>24</v>
      </c>
      <c r="K141" s="4">
        <f>Table1[[#This Row],[Quantity]]*Table1[[#This Row],[Price]]</f>
        <v>7502</v>
      </c>
      <c r="L141" t="str">
        <f>IF(Table1[[#This Row],[Age]]&lt;25,"18-24",IF(Table1[[#This Row],[Age]]&lt;35,"25-34",IF(Table1[[#This Row],[Age]]&lt;45,"35-44",IF(Table1[[#This Row],[Age]]&lt;55,"45-54","55+"))))</f>
        <v>18-24</v>
      </c>
      <c r="M141" t="str">
        <f>TEXT(Table1[[#This Row],[Invoice_date]],"mmm")</f>
        <v>Aug</v>
      </c>
      <c r="N141">
        <f>YEAR(Table1[[#This Row],[Invoice_date]])</f>
        <v>2021</v>
      </c>
    </row>
    <row r="142" spans="1:14" x14ac:dyDescent="0.25">
      <c r="A142" t="s">
        <v>2001</v>
      </c>
      <c r="B142" t="s">
        <v>2002</v>
      </c>
      <c r="C142" t="s">
        <v>2</v>
      </c>
      <c r="D142">
        <v>22</v>
      </c>
      <c r="E142" t="s">
        <v>49</v>
      </c>
      <c r="F142">
        <v>3</v>
      </c>
      <c r="G142">
        <v>107.52</v>
      </c>
      <c r="H142" t="s">
        <v>13</v>
      </c>
      <c r="I142" s="2">
        <v>44525</v>
      </c>
      <c r="J142" t="s">
        <v>33</v>
      </c>
      <c r="K142" s="4">
        <f>Table1[[#This Row],[Quantity]]*Table1[[#This Row],[Price]]</f>
        <v>322.56</v>
      </c>
      <c r="L142" t="str">
        <f>IF(Table1[[#This Row],[Age]]&lt;25,"18-24",IF(Table1[[#This Row],[Age]]&lt;35,"25-34",IF(Table1[[#This Row],[Age]]&lt;45,"35-44",IF(Table1[[#This Row],[Age]]&lt;55,"45-54","55+"))))</f>
        <v>18-24</v>
      </c>
      <c r="M142" t="str">
        <f>TEXT(Table1[[#This Row],[Invoice_date]],"mmm")</f>
        <v>Nov</v>
      </c>
      <c r="N142">
        <f>YEAR(Table1[[#This Row],[Invoice_date]])</f>
        <v>2021</v>
      </c>
    </row>
    <row r="143" spans="1:14" x14ac:dyDescent="0.25">
      <c r="A143" t="s">
        <v>2005</v>
      </c>
      <c r="B143" t="s">
        <v>2006</v>
      </c>
      <c r="C143" t="s">
        <v>2</v>
      </c>
      <c r="D143">
        <v>19</v>
      </c>
      <c r="E143" t="s">
        <v>8</v>
      </c>
      <c r="F143">
        <v>2</v>
      </c>
      <c r="G143">
        <v>81.319999999999993</v>
      </c>
      <c r="H143" t="s">
        <v>4</v>
      </c>
      <c r="I143" s="2">
        <v>44561</v>
      </c>
      <c r="J143" t="s">
        <v>33</v>
      </c>
      <c r="K143" s="4">
        <f>Table1[[#This Row],[Quantity]]*Table1[[#This Row],[Price]]</f>
        <v>162.63999999999999</v>
      </c>
      <c r="L143" t="str">
        <f>IF(Table1[[#This Row],[Age]]&lt;25,"18-24",IF(Table1[[#This Row],[Age]]&lt;35,"25-34",IF(Table1[[#This Row],[Age]]&lt;45,"35-44",IF(Table1[[#This Row],[Age]]&lt;55,"45-54","55+"))))</f>
        <v>18-24</v>
      </c>
      <c r="M143" t="str">
        <f>TEXT(Table1[[#This Row],[Invoice_date]],"mmm")</f>
        <v>Dec</v>
      </c>
      <c r="N143">
        <f>YEAR(Table1[[#This Row],[Invoice_date]])</f>
        <v>2021</v>
      </c>
    </row>
    <row r="144" spans="1:14" x14ac:dyDescent="0.25">
      <c r="A144" t="s">
        <v>2009</v>
      </c>
      <c r="B144" t="s">
        <v>2010</v>
      </c>
      <c r="C144" t="s">
        <v>2</v>
      </c>
      <c r="D144">
        <v>20</v>
      </c>
      <c r="E144" t="s">
        <v>8</v>
      </c>
      <c r="F144">
        <v>4</v>
      </c>
      <c r="G144">
        <v>162.63999999999999</v>
      </c>
      <c r="H144" t="s">
        <v>4</v>
      </c>
      <c r="I144" s="2">
        <v>44655</v>
      </c>
      <c r="J144" t="s">
        <v>43</v>
      </c>
      <c r="K144" s="4">
        <f>Table1[[#This Row],[Quantity]]*Table1[[#This Row],[Price]]</f>
        <v>650.55999999999995</v>
      </c>
      <c r="L144" t="str">
        <f>IF(Table1[[#This Row],[Age]]&lt;25,"18-24",IF(Table1[[#This Row],[Age]]&lt;35,"25-34",IF(Table1[[#This Row],[Age]]&lt;45,"35-44",IF(Table1[[#This Row],[Age]]&lt;55,"45-54","55+"))))</f>
        <v>18-24</v>
      </c>
      <c r="M144" t="str">
        <f>TEXT(Table1[[#This Row],[Invoice_date]],"mmm")</f>
        <v>Apr</v>
      </c>
      <c r="N144">
        <f>YEAR(Table1[[#This Row],[Invoice_date]])</f>
        <v>2022</v>
      </c>
    </row>
    <row r="145" spans="1:14" x14ac:dyDescent="0.25">
      <c r="A145" t="s">
        <v>2011</v>
      </c>
      <c r="B145" t="s">
        <v>2012</v>
      </c>
      <c r="C145" t="s">
        <v>12</v>
      </c>
      <c r="D145">
        <v>24</v>
      </c>
      <c r="E145" t="s">
        <v>3</v>
      </c>
      <c r="F145">
        <v>4</v>
      </c>
      <c r="G145">
        <v>1200.32</v>
      </c>
      <c r="H145" t="s">
        <v>13</v>
      </c>
      <c r="I145" s="2">
        <v>44449</v>
      </c>
      <c r="J145" t="s">
        <v>9</v>
      </c>
      <c r="K145" s="4">
        <f>Table1[[#This Row],[Quantity]]*Table1[[#This Row],[Price]]</f>
        <v>4801.28</v>
      </c>
      <c r="L145" t="str">
        <f>IF(Table1[[#This Row],[Age]]&lt;25,"18-24",IF(Table1[[#This Row],[Age]]&lt;35,"25-34",IF(Table1[[#This Row],[Age]]&lt;45,"35-44",IF(Table1[[#This Row],[Age]]&lt;55,"45-54","55+"))))</f>
        <v>18-24</v>
      </c>
      <c r="M145" t="str">
        <f>TEXT(Table1[[#This Row],[Invoice_date]],"mmm")</f>
        <v>Sep</v>
      </c>
      <c r="N145">
        <f>YEAR(Table1[[#This Row],[Invoice_date]])</f>
        <v>2021</v>
      </c>
    </row>
    <row r="146" spans="1:14" x14ac:dyDescent="0.25">
      <c r="A146" t="s">
        <v>41</v>
      </c>
      <c r="B146" t="s">
        <v>42</v>
      </c>
      <c r="C146" t="s">
        <v>12</v>
      </c>
      <c r="D146">
        <v>25</v>
      </c>
      <c r="E146" t="s">
        <v>3</v>
      </c>
      <c r="F146">
        <v>2</v>
      </c>
      <c r="G146">
        <v>600.16</v>
      </c>
      <c r="H146" t="s">
        <v>18</v>
      </c>
      <c r="I146" s="2">
        <v>44482</v>
      </c>
      <c r="J146" t="s">
        <v>43</v>
      </c>
      <c r="K146" s="4">
        <f>Table1[[#This Row],[Quantity]]*Table1[[#This Row],[Price]]</f>
        <v>1200.32</v>
      </c>
      <c r="L146" t="str">
        <f>IF(Table1[[#This Row],[Age]]&lt;25,"18-24",IF(Table1[[#This Row],[Age]]&lt;35,"25-34",IF(Table1[[#This Row],[Age]]&lt;45,"35-44",IF(Table1[[#This Row],[Age]]&lt;55,"45-54","55+"))))</f>
        <v>25-34</v>
      </c>
      <c r="M146" t="str">
        <f>TEXT(Table1[[#This Row],[Invoice_date]],"mmm")</f>
        <v>Oct</v>
      </c>
      <c r="N146">
        <f>YEAR(Table1[[#This Row],[Invoice_date]])</f>
        <v>2021</v>
      </c>
    </row>
    <row r="147" spans="1:14" x14ac:dyDescent="0.25">
      <c r="A147" t="s">
        <v>51</v>
      </c>
      <c r="B147" t="s">
        <v>52</v>
      </c>
      <c r="C147" t="s">
        <v>12</v>
      </c>
      <c r="D147">
        <v>30</v>
      </c>
      <c r="E147" t="s">
        <v>3</v>
      </c>
      <c r="F147">
        <v>3</v>
      </c>
      <c r="G147">
        <v>900.24</v>
      </c>
      <c r="H147" t="s">
        <v>4</v>
      </c>
      <c r="I147" s="2">
        <v>44485</v>
      </c>
      <c r="J147" t="s">
        <v>14</v>
      </c>
      <c r="K147" s="4">
        <f>Table1[[#This Row],[Quantity]]*Table1[[#This Row],[Price]]</f>
        <v>2700.7200000000003</v>
      </c>
      <c r="L147" t="str">
        <f>IF(Table1[[#This Row],[Age]]&lt;25,"18-24",IF(Table1[[#This Row],[Age]]&lt;35,"25-34",IF(Table1[[#This Row],[Age]]&lt;45,"35-44",IF(Table1[[#This Row],[Age]]&lt;55,"45-54","55+"))))</f>
        <v>25-34</v>
      </c>
      <c r="M147" t="str">
        <f>TEXT(Table1[[#This Row],[Invoice_date]],"mmm")</f>
        <v>Oct</v>
      </c>
      <c r="N147">
        <f>YEAR(Table1[[#This Row],[Invoice_date]])</f>
        <v>2021</v>
      </c>
    </row>
    <row r="148" spans="1:14" x14ac:dyDescent="0.25">
      <c r="A148" t="s">
        <v>68</v>
      </c>
      <c r="B148" t="s">
        <v>69</v>
      </c>
      <c r="C148" t="s">
        <v>12</v>
      </c>
      <c r="D148">
        <v>27</v>
      </c>
      <c r="E148" t="s">
        <v>38</v>
      </c>
      <c r="F148">
        <v>4</v>
      </c>
      <c r="G148">
        <v>2400.6799999999998</v>
      </c>
      <c r="H148" t="s">
        <v>18</v>
      </c>
      <c r="I148" s="2">
        <v>44303</v>
      </c>
      <c r="J148" t="s">
        <v>24</v>
      </c>
      <c r="K148" s="4">
        <f>Table1[[#This Row],[Quantity]]*Table1[[#This Row],[Price]]</f>
        <v>9602.7199999999993</v>
      </c>
      <c r="L148" t="str">
        <f>IF(Table1[[#This Row],[Age]]&lt;25,"18-24",IF(Table1[[#This Row],[Age]]&lt;35,"25-34",IF(Table1[[#This Row],[Age]]&lt;45,"35-44",IF(Table1[[#This Row],[Age]]&lt;55,"45-54","55+"))))</f>
        <v>25-34</v>
      </c>
      <c r="M148" t="str">
        <f>TEXT(Table1[[#This Row],[Invoice_date]],"mmm")</f>
        <v>Apr</v>
      </c>
      <c r="N148">
        <f>YEAR(Table1[[#This Row],[Invoice_date]])</f>
        <v>2021</v>
      </c>
    </row>
    <row r="149" spans="1:14" x14ac:dyDescent="0.25">
      <c r="A149" t="s">
        <v>91</v>
      </c>
      <c r="B149" t="s">
        <v>92</v>
      </c>
      <c r="C149" t="s">
        <v>2</v>
      </c>
      <c r="D149">
        <v>31</v>
      </c>
      <c r="E149" t="s">
        <v>3</v>
      </c>
      <c r="F149">
        <v>3</v>
      </c>
      <c r="G149">
        <v>900.24</v>
      </c>
      <c r="H149" t="s">
        <v>18</v>
      </c>
      <c r="I149" s="2">
        <v>44646</v>
      </c>
      <c r="J149" t="s">
        <v>5</v>
      </c>
      <c r="K149" s="4">
        <f>Table1[[#This Row],[Quantity]]*Table1[[#This Row],[Price]]</f>
        <v>2700.7200000000003</v>
      </c>
      <c r="L149" t="str">
        <f>IF(Table1[[#This Row],[Age]]&lt;25,"18-24",IF(Table1[[#This Row],[Age]]&lt;35,"25-34",IF(Table1[[#This Row],[Age]]&lt;45,"35-44",IF(Table1[[#This Row],[Age]]&lt;55,"45-54","55+"))))</f>
        <v>25-34</v>
      </c>
      <c r="M149" t="str">
        <f>TEXT(Table1[[#This Row],[Invoice_date]],"mmm")</f>
        <v>Mar</v>
      </c>
      <c r="N149">
        <f>YEAR(Table1[[#This Row],[Invoice_date]])</f>
        <v>2022</v>
      </c>
    </row>
    <row r="150" spans="1:14" x14ac:dyDescent="0.25">
      <c r="A150" t="s">
        <v>115</v>
      </c>
      <c r="B150" t="s">
        <v>116</v>
      </c>
      <c r="C150" t="s">
        <v>12</v>
      </c>
      <c r="D150">
        <v>30</v>
      </c>
      <c r="E150" t="s">
        <v>27</v>
      </c>
      <c r="F150">
        <v>4</v>
      </c>
      <c r="G150">
        <v>20.92</v>
      </c>
      <c r="H150" t="s">
        <v>18</v>
      </c>
      <c r="I150" s="2">
        <v>44376</v>
      </c>
      <c r="J150" t="s">
        <v>50</v>
      </c>
      <c r="K150" s="4">
        <f>Table1[[#This Row],[Quantity]]*Table1[[#This Row],[Price]]</f>
        <v>83.68</v>
      </c>
      <c r="L150" t="str">
        <f>IF(Table1[[#This Row],[Age]]&lt;25,"18-24",IF(Table1[[#This Row],[Age]]&lt;35,"25-34",IF(Table1[[#This Row],[Age]]&lt;45,"35-44",IF(Table1[[#This Row],[Age]]&lt;55,"45-54","55+"))))</f>
        <v>25-34</v>
      </c>
      <c r="M150" t="str">
        <f>TEXT(Table1[[#This Row],[Invoice_date]],"mmm")</f>
        <v>Jun</v>
      </c>
      <c r="N150">
        <f>YEAR(Table1[[#This Row],[Invoice_date]])</f>
        <v>2021</v>
      </c>
    </row>
    <row r="151" spans="1:14" x14ac:dyDescent="0.25">
      <c r="A151" t="s">
        <v>119</v>
      </c>
      <c r="B151" t="s">
        <v>120</v>
      </c>
      <c r="C151" t="s">
        <v>12</v>
      </c>
      <c r="D151">
        <v>30</v>
      </c>
      <c r="E151" t="s">
        <v>3</v>
      </c>
      <c r="F151">
        <v>1</v>
      </c>
      <c r="G151">
        <v>300.08</v>
      </c>
      <c r="H151" t="s">
        <v>4</v>
      </c>
      <c r="I151" s="2">
        <v>44297</v>
      </c>
      <c r="J151" t="s">
        <v>33</v>
      </c>
      <c r="K151" s="4">
        <f>Table1[[#This Row],[Quantity]]*Table1[[#This Row],[Price]]</f>
        <v>300.08</v>
      </c>
      <c r="L151" t="str">
        <f>IF(Table1[[#This Row],[Age]]&lt;25,"18-24",IF(Table1[[#This Row],[Age]]&lt;35,"25-34",IF(Table1[[#This Row],[Age]]&lt;45,"35-44",IF(Table1[[#This Row],[Age]]&lt;55,"45-54","55+"))))</f>
        <v>25-34</v>
      </c>
      <c r="M151" t="str">
        <f>TEXT(Table1[[#This Row],[Invoice_date]],"mmm")</f>
        <v>Apr</v>
      </c>
      <c r="N151">
        <f>YEAR(Table1[[#This Row],[Invoice_date]])</f>
        <v>2021</v>
      </c>
    </row>
    <row r="152" spans="1:14" x14ac:dyDescent="0.25">
      <c r="A152" t="s">
        <v>127</v>
      </c>
      <c r="B152" t="s">
        <v>128</v>
      </c>
      <c r="C152" t="s">
        <v>12</v>
      </c>
      <c r="D152">
        <v>33</v>
      </c>
      <c r="E152" t="s">
        <v>3</v>
      </c>
      <c r="F152">
        <v>5</v>
      </c>
      <c r="G152">
        <v>1500.4</v>
      </c>
      <c r="H152" t="s">
        <v>4</v>
      </c>
      <c r="I152" s="2">
        <v>44669</v>
      </c>
      <c r="J152" t="s">
        <v>24</v>
      </c>
      <c r="K152" s="4">
        <f>Table1[[#This Row],[Quantity]]*Table1[[#This Row],[Price]]</f>
        <v>7502</v>
      </c>
      <c r="L152" t="str">
        <f>IF(Table1[[#This Row],[Age]]&lt;25,"18-24",IF(Table1[[#This Row],[Age]]&lt;35,"25-34",IF(Table1[[#This Row],[Age]]&lt;45,"35-44",IF(Table1[[#This Row],[Age]]&lt;55,"45-54","55+"))))</f>
        <v>25-34</v>
      </c>
      <c r="M152" t="str">
        <f>TEXT(Table1[[#This Row],[Invoice_date]],"mmm")</f>
        <v>Apr</v>
      </c>
      <c r="N152">
        <f>YEAR(Table1[[#This Row],[Invoice_date]])</f>
        <v>2022</v>
      </c>
    </row>
    <row r="153" spans="1:14" x14ac:dyDescent="0.25">
      <c r="A153" t="s">
        <v>129</v>
      </c>
      <c r="B153" t="s">
        <v>130</v>
      </c>
      <c r="C153" t="s">
        <v>12</v>
      </c>
      <c r="D153">
        <v>32</v>
      </c>
      <c r="E153" t="s">
        <v>8</v>
      </c>
      <c r="F153">
        <v>2</v>
      </c>
      <c r="G153">
        <v>81.319999999999993</v>
      </c>
      <c r="H153" t="s">
        <v>4</v>
      </c>
      <c r="I153" s="2">
        <v>44822</v>
      </c>
      <c r="J153" t="s">
        <v>33</v>
      </c>
      <c r="K153" s="4">
        <f>Table1[[#This Row],[Quantity]]*Table1[[#This Row],[Price]]</f>
        <v>162.63999999999999</v>
      </c>
      <c r="L153" t="str">
        <f>IF(Table1[[#This Row],[Age]]&lt;25,"18-24",IF(Table1[[#This Row],[Age]]&lt;35,"25-34",IF(Table1[[#This Row],[Age]]&lt;45,"35-44",IF(Table1[[#This Row],[Age]]&lt;55,"45-54","55+"))))</f>
        <v>25-34</v>
      </c>
      <c r="M153" t="str">
        <f>TEXT(Table1[[#This Row],[Invoice_date]],"mmm")</f>
        <v>Sep</v>
      </c>
      <c r="N153">
        <f>YEAR(Table1[[#This Row],[Invoice_date]])</f>
        <v>2022</v>
      </c>
    </row>
    <row r="154" spans="1:14" x14ac:dyDescent="0.25">
      <c r="A154" t="s">
        <v>137</v>
      </c>
      <c r="B154" t="s">
        <v>138</v>
      </c>
      <c r="C154" t="s">
        <v>2</v>
      </c>
      <c r="D154">
        <v>34</v>
      </c>
      <c r="E154" t="s">
        <v>3</v>
      </c>
      <c r="F154">
        <v>1</v>
      </c>
      <c r="G154">
        <v>300.08</v>
      </c>
      <c r="H154" t="s">
        <v>13</v>
      </c>
      <c r="I154" s="2">
        <v>44618</v>
      </c>
      <c r="J154" t="s">
        <v>74</v>
      </c>
      <c r="K154" s="4">
        <f>Table1[[#This Row],[Quantity]]*Table1[[#This Row],[Price]]</f>
        <v>300.08</v>
      </c>
      <c r="L154" t="str">
        <f>IF(Table1[[#This Row],[Age]]&lt;25,"18-24",IF(Table1[[#This Row],[Age]]&lt;35,"25-34",IF(Table1[[#This Row],[Age]]&lt;45,"35-44",IF(Table1[[#This Row],[Age]]&lt;55,"45-54","55+"))))</f>
        <v>25-34</v>
      </c>
      <c r="M154" t="str">
        <f>TEXT(Table1[[#This Row],[Invoice_date]],"mmm")</f>
        <v>Feb</v>
      </c>
      <c r="N154">
        <f>YEAR(Table1[[#This Row],[Invoice_date]])</f>
        <v>2022</v>
      </c>
    </row>
    <row r="155" spans="1:14" x14ac:dyDescent="0.25">
      <c r="A155" t="s">
        <v>139</v>
      </c>
      <c r="B155" t="s">
        <v>140</v>
      </c>
      <c r="C155" t="s">
        <v>12</v>
      </c>
      <c r="D155">
        <v>34</v>
      </c>
      <c r="E155" t="s">
        <v>27</v>
      </c>
      <c r="F155">
        <v>5</v>
      </c>
      <c r="G155">
        <v>26.15</v>
      </c>
      <c r="H155" t="s">
        <v>13</v>
      </c>
      <c r="I155" s="2">
        <v>44915</v>
      </c>
      <c r="J155" t="s">
        <v>14</v>
      </c>
      <c r="K155" s="4">
        <f>Table1[[#This Row],[Quantity]]*Table1[[#This Row],[Price]]</f>
        <v>130.75</v>
      </c>
      <c r="L155" t="str">
        <f>IF(Table1[[#This Row],[Age]]&lt;25,"18-24",IF(Table1[[#This Row],[Age]]&lt;35,"25-34",IF(Table1[[#This Row],[Age]]&lt;45,"35-44",IF(Table1[[#This Row],[Age]]&lt;55,"45-54","55+"))))</f>
        <v>25-34</v>
      </c>
      <c r="M155" t="str">
        <f>TEXT(Table1[[#This Row],[Invoice_date]],"mmm")</f>
        <v>Dec</v>
      </c>
      <c r="N155">
        <f>YEAR(Table1[[#This Row],[Invoice_date]])</f>
        <v>2022</v>
      </c>
    </row>
    <row r="156" spans="1:14" x14ac:dyDescent="0.25">
      <c r="A156" t="s">
        <v>143</v>
      </c>
      <c r="B156" t="s">
        <v>144</v>
      </c>
      <c r="C156" t="s">
        <v>12</v>
      </c>
      <c r="D156">
        <v>31</v>
      </c>
      <c r="E156" t="s">
        <v>17</v>
      </c>
      <c r="F156">
        <v>5</v>
      </c>
      <c r="G156">
        <v>75.75</v>
      </c>
      <c r="H156" t="s">
        <v>4</v>
      </c>
      <c r="I156" s="2">
        <v>44617</v>
      </c>
      <c r="J156" t="s">
        <v>74</v>
      </c>
      <c r="K156" s="4">
        <f>Table1[[#This Row],[Quantity]]*Table1[[#This Row],[Price]]</f>
        <v>378.75</v>
      </c>
      <c r="L156" t="str">
        <f>IF(Table1[[#This Row],[Age]]&lt;25,"18-24",IF(Table1[[#This Row],[Age]]&lt;35,"25-34",IF(Table1[[#This Row],[Age]]&lt;45,"35-44",IF(Table1[[#This Row],[Age]]&lt;55,"45-54","55+"))))</f>
        <v>25-34</v>
      </c>
      <c r="M156" t="str">
        <f>TEXT(Table1[[#This Row],[Invoice_date]],"mmm")</f>
        <v>Feb</v>
      </c>
      <c r="N156">
        <f>YEAR(Table1[[#This Row],[Invoice_date]])</f>
        <v>2022</v>
      </c>
    </row>
    <row r="157" spans="1:14" x14ac:dyDescent="0.25">
      <c r="A157" t="s">
        <v>151</v>
      </c>
      <c r="B157" t="s">
        <v>152</v>
      </c>
      <c r="C157" t="s">
        <v>2</v>
      </c>
      <c r="D157">
        <v>32</v>
      </c>
      <c r="E157" t="s">
        <v>3</v>
      </c>
      <c r="F157">
        <v>5</v>
      </c>
      <c r="G157">
        <v>1500.4</v>
      </c>
      <c r="H157" t="s">
        <v>18</v>
      </c>
      <c r="I157" s="2">
        <v>44373</v>
      </c>
      <c r="J157" t="s">
        <v>74</v>
      </c>
      <c r="K157" s="4">
        <f>Table1[[#This Row],[Quantity]]*Table1[[#This Row],[Price]]</f>
        <v>7502</v>
      </c>
      <c r="L157" t="str">
        <f>IF(Table1[[#This Row],[Age]]&lt;25,"18-24",IF(Table1[[#This Row],[Age]]&lt;35,"25-34",IF(Table1[[#This Row],[Age]]&lt;45,"35-44",IF(Table1[[#This Row],[Age]]&lt;55,"45-54","55+"))))</f>
        <v>25-34</v>
      </c>
      <c r="M157" t="str">
        <f>TEXT(Table1[[#This Row],[Invoice_date]],"mmm")</f>
        <v>Jun</v>
      </c>
      <c r="N157">
        <f>YEAR(Table1[[#This Row],[Invoice_date]])</f>
        <v>2021</v>
      </c>
    </row>
    <row r="158" spans="1:14" x14ac:dyDescent="0.25">
      <c r="A158" t="s">
        <v>161</v>
      </c>
      <c r="B158" t="s">
        <v>162</v>
      </c>
      <c r="C158" t="s">
        <v>2</v>
      </c>
      <c r="D158">
        <v>27</v>
      </c>
      <c r="E158" t="s">
        <v>38</v>
      </c>
      <c r="F158">
        <v>3</v>
      </c>
      <c r="G158">
        <v>1800.51</v>
      </c>
      <c r="H158" t="s">
        <v>13</v>
      </c>
      <c r="I158" s="2">
        <v>44298</v>
      </c>
      <c r="J158" t="s">
        <v>14</v>
      </c>
      <c r="K158" s="4">
        <f>Table1[[#This Row],[Quantity]]*Table1[[#This Row],[Price]]</f>
        <v>5401.53</v>
      </c>
      <c r="L158" t="str">
        <f>IF(Table1[[#This Row],[Age]]&lt;25,"18-24",IF(Table1[[#This Row],[Age]]&lt;35,"25-34",IF(Table1[[#This Row],[Age]]&lt;45,"35-44",IF(Table1[[#This Row],[Age]]&lt;55,"45-54","55+"))))</f>
        <v>25-34</v>
      </c>
      <c r="M158" t="str">
        <f>TEXT(Table1[[#This Row],[Invoice_date]],"mmm")</f>
        <v>Apr</v>
      </c>
      <c r="N158">
        <f>YEAR(Table1[[#This Row],[Invoice_date]])</f>
        <v>2021</v>
      </c>
    </row>
    <row r="159" spans="1:14" x14ac:dyDescent="0.25">
      <c r="A159" t="s">
        <v>163</v>
      </c>
      <c r="B159" t="s">
        <v>164</v>
      </c>
      <c r="C159" t="s">
        <v>2</v>
      </c>
      <c r="D159">
        <v>27</v>
      </c>
      <c r="E159" t="s">
        <v>8</v>
      </c>
      <c r="F159">
        <v>1</v>
      </c>
      <c r="G159">
        <v>40.659999999999997</v>
      </c>
      <c r="H159" t="s">
        <v>4</v>
      </c>
      <c r="I159" s="2">
        <v>44629</v>
      </c>
      <c r="J159" t="s">
        <v>14</v>
      </c>
      <c r="K159" s="4">
        <f>Table1[[#This Row],[Quantity]]*Table1[[#This Row],[Price]]</f>
        <v>40.659999999999997</v>
      </c>
      <c r="L159" t="str">
        <f>IF(Table1[[#This Row],[Age]]&lt;25,"18-24",IF(Table1[[#This Row],[Age]]&lt;35,"25-34",IF(Table1[[#This Row],[Age]]&lt;45,"35-44",IF(Table1[[#This Row],[Age]]&lt;55,"45-54","55+"))))</f>
        <v>25-34</v>
      </c>
      <c r="M159" t="str">
        <f>TEXT(Table1[[#This Row],[Invoice_date]],"mmm")</f>
        <v>Mar</v>
      </c>
      <c r="N159">
        <f>YEAR(Table1[[#This Row],[Invoice_date]])</f>
        <v>2022</v>
      </c>
    </row>
    <row r="160" spans="1:14" x14ac:dyDescent="0.25">
      <c r="A160" t="s">
        <v>167</v>
      </c>
      <c r="B160" t="s">
        <v>168</v>
      </c>
      <c r="C160" t="s">
        <v>2</v>
      </c>
      <c r="D160">
        <v>25</v>
      </c>
      <c r="E160" t="s">
        <v>3</v>
      </c>
      <c r="F160">
        <v>5</v>
      </c>
      <c r="G160">
        <v>1500.4</v>
      </c>
      <c r="H160" t="s">
        <v>4</v>
      </c>
      <c r="I160" s="2">
        <v>44342</v>
      </c>
      <c r="J160" t="s">
        <v>14</v>
      </c>
      <c r="K160" s="4">
        <f>Table1[[#This Row],[Quantity]]*Table1[[#This Row],[Price]]</f>
        <v>7502</v>
      </c>
      <c r="L160" t="str">
        <f>IF(Table1[[#This Row],[Age]]&lt;25,"18-24",IF(Table1[[#This Row],[Age]]&lt;35,"25-34",IF(Table1[[#This Row],[Age]]&lt;45,"35-44",IF(Table1[[#This Row],[Age]]&lt;55,"45-54","55+"))))</f>
        <v>25-34</v>
      </c>
      <c r="M160" t="str">
        <f>TEXT(Table1[[#This Row],[Invoice_date]],"mmm")</f>
        <v>May</v>
      </c>
      <c r="N160">
        <f>YEAR(Table1[[#This Row],[Invoice_date]])</f>
        <v>2021</v>
      </c>
    </row>
    <row r="161" spans="1:14" x14ac:dyDescent="0.25">
      <c r="A161" t="s">
        <v>177</v>
      </c>
      <c r="B161" t="s">
        <v>178</v>
      </c>
      <c r="C161" t="s">
        <v>2</v>
      </c>
      <c r="D161">
        <v>27</v>
      </c>
      <c r="E161" t="s">
        <v>8</v>
      </c>
      <c r="F161">
        <v>4</v>
      </c>
      <c r="G161">
        <v>162.63999999999999</v>
      </c>
      <c r="H161" t="s">
        <v>13</v>
      </c>
      <c r="I161" s="2">
        <v>44985</v>
      </c>
      <c r="J161" t="s">
        <v>14</v>
      </c>
      <c r="K161" s="4">
        <f>Table1[[#This Row],[Quantity]]*Table1[[#This Row],[Price]]</f>
        <v>650.55999999999995</v>
      </c>
      <c r="L161" t="str">
        <f>IF(Table1[[#This Row],[Age]]&lt;25,"18-24",IF(Table1[[#This Row],[Age]]&lt;35,"25-34",IF(Table1[[#This Row],[Age]]&lt;45,"35-44",IF(Table1[[#This Row],[Age]]&lt;55,"45-54","55+"))))</f>
        <v>25-34</v>
      </c>
      <c r="M161" t="str">
        <f>TEXT(Table1[[#This Row],[Invoice_date]],"mmm")</f>
        <v>Feb</v>
      </c>
      <c r="N161">
        <f>YEAR(Table1[[#This Row],[Invoice_date]])</f>
        <v>2023</v>
      </c>
    </row>
    <row r="162" spans="1:14" x14ac:dyDescent="0.25">
      <c r="A162" t="s">
        <v>203</v>
      </c>
      <c r="B162" t="s">
        <v>204</v>
      </c>
      <c r="C162" t="s">
        <v>12</v>
      </c>
      <c r="D162">
        <v>33</v>
      </c>
      <c r="E162" t="s">
        <v>27</v>
      </c>
      <c r="F162">
        <v>3</v>
      </c>
      <c r="G162">
        <v>15.69</v>
      </c>
      <c r="H162" t="s">
        <v>18</v>
      </c>
      <c r="I162" s="2">
        <v>44605</v>
      </c>
      <c r="J162" t="s">
        <v>33</v>
      </c>
      <c r="K162" s="4">
        <f>Table1[[#This Row],[Quantity]]*Table1[[#This Row],[Price]]</f>
        <v>47.07</v>
      </c>
      <c r="L162" t="str">
        <f>IF(Table1[[#This Row],[Age]]&lt;25,"18-24",IF(Table1[[#This Row],[Age]]&lt;35,"25-34",IF(Table1[[#This Row],[Age]]&lt;45,"35-44",IF(Table1[[#This Row],[Age]]&lt;55,"45-54","55+"))))</f>
        <v>25-34</v>
      </c>
      <c r="M162" t="str">
        <f>TEXT(Table1[[#This Row],[Invoice_date]],"mmm")</f>
        <v>Feb</v>
      </c>
      <c r="N162">
        <f>YEAR(Table1[[#This Row],[Invoice_date]])</f>
        <v>2022</v>
      </c>
    </row>
    <row r="163" spans="1:14" x14ac:dyDescent="0.25">
      <c r="A163" t="s">
        <v>211</v>
      </c>
      <c r="B163" t="s">
        <v>212</v>
      </c>
      <c r="C163" t="s">
        <v>12</v>
      </c>
      <c r="D163">
        <v>28</v>
      </c>
      <c r="E163" t="s">
        <v>27</v>
      </c>
      <c r="F163">
        <v>3</v>
      </c>
      <c r="G163">
        <v>15.69</v>
      </c>
      <c r="H163" t="s">
        <v>4</v>
      </c>
      <c r="I163" s="2">
        <v>44893</v>
      </c>
      <c r="J163" t="s">
        <v>33</v>
      </c>
      <c r="K163" s="4">
        <f>Table1[[#This Row],[Quantity]]*Table1[[#This Row],[Price]]</f>
        <v>47.07</v>
      </c>
      <c r="L163" t="str">
        <f>IF(Table1[[#This Row],[Age]]&lt;25,"18-24",IF(Table1[[#This Row],[Age]]&lt;35,"25-34",IF(Table1[[#This Row],[Age]]&lt;45,"35-44",IF(Table1[[#This Row],[Age]]&lt;55,"45-54","55+"))))</f>
        <v>25-34</v>
      </c>
      <c r="M163" t="str">
        <f>TEXT(Table1[[#This Row],[Invoice_date]],"mmm")</f>
        <v>Nov</v>
      </c>
      <c r="N163">
        <f>YEAR(Table1[[#This Row],[Invoice_date]])</f>
        <v>2022</v>
      </c>
    </row>
    <row r="164" spans="1:14" x14ac:dyDescent="0.25">
      <c r="A164" t="s">
        <v>227</v>
      </c>
      <c r="B164" t="s">
        <v>228</v>
      </c>
      <c r="C164" t="s">
        <v>2</v>
      </c>
      <c r="D164">
        <v>34</v>
      </c>
      <c r="E164" t="s">
        <v>27</v>
      </c>
      <c r="F164">
        <v>2</v>
      </c>
      <c r="G164">
        <v>10.46</v>
      </c>
      <c r="H164" t="s">
        <v>18</v>
      </c>
      <c r="I164" s="2">
        <v>44863</v>
      </c>
      <c r="J164" t="s">
        <v>5</v>
      </c>
      <c r="K164" s="4">
        <f>Table1[[#This Row],[Quantity]]*Table1[[#This Row],[Price]]</f>
        <v>20.92</v>
      </c>
      <c r="L164" t="str">
        <f>IF(Table1[[#This Row],[Age]]&lt;25,"18-24",IF(Table1[[#This Row],[Age]]&lt;35,"25-34",IF(Table1[[#This Row],[Age]]&lt;45,"35-44",IF(Table1[[#This Row],[Age]]&lt;55,"45-54","55+"))))</f>
        <v>25-34</v>
      </c>
      <c r="M164" t="str">
        <f>TEXT(Table1[[#This Row],[Invoice_date]],"mmm")</f>
        <v>Oct</v>
      </c>
      <c r="N164">
        <f>YEAR(Table1[[#This Row],[Invoice_date]])</f>
        <v>2022</v>
      </c>
    </row>
    <row r="165" spans="1:14" x14ac:dyDescent="0.25">
      <c r="A165" t="s">
        <v>231</v>
      </c>
      <c r="B165" t="s">
        <v>232</v>
      </c>
      <c r="C165" t="s">
        <v>12</v>
      </c>
      <c r="D165">
        <v>30</v>
      </c>
      <c r="E165" t="s">
        <v>8</v>
      </c>
      <c r="F165">
        <v>3</v>
      </c>
      <c r="G165">
        <v>121.98</v>
      </c>
      <c r="H165" t="s">
        <v>13</v>
      </c>
      <c r="I165" s="2">
        <v>44412</v>
      </c>
      <c r="J165" t="s">
        <v>5</v>
      </c>
      <c r="K165" s="4">
        <f>Table1[[#This Row],[Quantity]]*Table1[[#This Row],[Price]]</f>
        <v>365.94</v>
      </c>
      <c r="L165" t="str">
        <f>IF(Table1[[#This Row],[Age]]&lt;25,"18-24",IF(Table1[[#This Row],[Age]]&lt;35,"25-34",IF(Table1[[#This Row],[Age]]&lt;45,"35-44",IF(Table1[[#This Row],[Age]]&lt;55,"45-54","55+"))))</f>
        <v>25-34</v>
      </c>
      <c r="M165" t="str">
        <f>TEXT(Table1[[#This Row],[Invoice_date]],"mmm")</f>
        <v>Aug</v>
      </c>
      <c r="N165">
        <f>YEAR(Table1[[#This Row],[Invoice_date]])</f>
        <v>2021</v>
      </c>
    </row>
    <row r="166" spans="1:14" x14ac:dyDescent="0.25">
      <c r="A166" t="s">
        <v>245</v>
      </c>
      <c r="B166" t="s">
        <v>246</v>
      </c>
      <c r="C166" t="s">
        <v>2</v>
      </c>
      <c r="D166">
        <v>26</v>
      </c>
      <c r="E166" t="s">
        <v>8</v>
      </c>
      <c r="F166">
        <v>5</v>
      </c>
      <c r="G166">
        <v>203.3</v>
      </c>
      <c r="H166" t="s">
        <v>18</v>
      </c>
      <c r="I166" s="2">
        <v>44757</v>
      </c>
      <c r="J166" t="s">
        <v>24</v>
      </c>
      <c r="K166" s="4">
        <f>Table1[[#This Row],[Quantity]]*Table1[[#This Row],[Price]]</f>
        <v>1016.5</v>
      </c>
      <c r="L166" t="str">
        <f>IF(Table1[[#This Row],[Age]]&lt;25,"18-24",IF(Table1[[#This Row],[Age]]&lt;35,"25-34",IF(Table1[[#This Row],[Age]]&lt;45,"35-44",IF(Table1[[#This Row],[Age]]&lt;55,"45-54","55+"))))</f>
        <v>25-34</v>
      </c>
      <c r="M166" t="str">
        <f>TEXT(Table1[[#This Row],[Invoice_date]],"mmm")</f>
        <v>Jul</v>
      </c>
      <c r="N166">
        <f>YEAR(Table1[[#This Row],[Invoice_date]])</f>
        <v>2022</v>
      </c>
    </row>
    <row r="167" spans="1:14" x14ac:dyDescent="0.25">
      <c r="A167" t="s">
        <v>259</v>
      </c>
      <c r="B167" t="s">
        <v>260</v>
      </c>
      <c r="C167" t="s">
        <v>12</v>
      </c>
      <c r="D167">
        <v>26</v>
      </c>
      <c r="E167" t="s">
        <v>27</v>
      </c>
      <c r="F167">
        <v>5</v>
      </c>
      <c r="G167">
        <v>26.15</v>
      </c>
      <c r="H167" t="s">
        <v>4</v>
      </c>
      <c r="I167" s="2">
        <v>44376</v>
      </c>
      <c r="J167" t="s">
        <v>9</v>
      </c>
      <c r="K167" s="4">
        <f>Table1[[#This Row],[Quantity]]*Table1[[#This Row],[Price]]</f>
        <v>130.75</v>
      </c>
      <c r="L167" t="str">
        <f>IF(Table1[[#This Row],[Age]]&lt;25,"18-24",IF(Table1[[#This Row],[Age]]&lt;35,"25-34",IF(Table1[[#This Row],[Age]]&lt;45,"35-44",IF(Table1[[#This Row],[Age]]&lt;55,"45-54","55+"))))</f>
        <v>25-34</v>
      </c>
      <c r="M167" t="str">
        <f>TEXT(Table1[[#This Row],[Invoice_date]],"mmm")</f>
        <v>Jun</v>
      </c>
      <c r="N167">
        <f>YEAR(Table1[[#This Row],[Invoice_date]])</f>
        <v>2021</v>
      </c>
    </row>
    <row r="168" spans="1:14" x14ac:dyDescent="0.25">
      <c r="A168" t="s">
        <v>277</v>
      </c>
      <c r="B168" t="s">
        <v>278</v>
      </c>
      <c r="C168" t="s">
        <v>12</v>
      </c>
      <c r="D168">
        <v>34</v>
      </c>
      <c r="E168" t="s">
        <v>8</v>
      </c>
      <c r="F168">
        <v>1</v>
      </c>
      <c r="G168">
        <v>40.659999999999997</v>
      </c>
      <c r="H168" t="s">
        <v>13</v>
      </c>
      <c r="I168" s="2">
        <v>44463</v>
      </c>
      <c r="J168" t="s">
        <v>43</v>
      </c>
      <c r="K168" s="4">
        <f>Table1[[#This Row],[Quantity]]*Table1[[#This Row],[Price]]</f>
        <v>40.659999999999997</v>
      </c>
      <c r="L168" t="str">
        <f>IF(Table1[[#This Row],[Age]]&lt;25,"18-24",IF(Table1[[#This Row],[Age]]&lt;35,"25-34",IF(Table1[[#This Row],[Age]]&lt;45,"35-44",IF(Table1[[#This Row],[Age]]&lt;55,"45-54","55+"))))</f>
        <v>25-34</v>
      </c>
      <c r="M168" t="str">
        <f>TEXT(Table1[[#This Row],[Invoice_date]],"mmm")</f>
        <v>Sep</v>
      </c>
      <c r="N168">
        <f>YEAR(Table1[[#This Row],[Invoice_date]])</f>
        <v>2021</v>
      </c>
    </row>
    <row r="169" spans="1:14" x14ac:dyDescent="0.25">
      <c r="A169" t="s">
        <v>283</v>
      </c>
      <c r="B169" t="s">
        <v>284</v>
      </c>
      <c r="C169" t="s">
        <v>12</v>
      </c>
      <c r="D169">
        <v>34</v>
      </c>
      <c r="E169" t="s">
        <v>38</v>
      </c>
      <c r="F169">
        <v>3</v>
      </c>
      <c r="G169">
        <v>1800.51</v>
      </c>
      <c r="H169" t="s">
        <v>18</v>
      </c>
      <c r="I169" s="2">
        <v>44991</v>
      </c>
      <c r="J169" t="s">
        <v>63</v>
      </c>
      <c r="K169" s="4">
        <f>Table1[[#This Row],[Quantity]]*Table1[[#This Row],[Price]]</f>
        <v>5401.53</v>
      </c>
      <c r="L169" t="str">
        <f>IF(Table1[[#This Row],[Age]]&lt;25,"18-24",IF(Table1[[#This Row],[Age]]&lt;35,"25-34",IF(Table1[[#This Row],[Age]]&lt;45,"35-44",IF(Table1[[#This Row],[Age]]&lt;55,"45-54","55+"))))</f>
        <v>25-34</v>
      </c>
      <c r="M169" t="str">
        <f>TEXT(Table1[[#This Row],[Invoice_date]],"mmm")</f>
        <v>Mar</v>
      </c>
      <c r="N169">
        <f>YEAR(Table1[[#This Row],[Invoice_date]])</f>
        <v>2023</v>
      </c>
    </row>
    <row r="170" spans="1:14" x14ac:dyDescent="0.25">
      <c r="A170" t="s">
        <v>301</v>
      </c>
      <c r="B170" t="s">
        <v>302</v>
      </c>
      <c r="C170" t="s">
        <v>12</v>
      </c>
      <c r="D170">
        <v>33</v>
      </c>
      <c r="E170" t="s">
        <v>27</v>
      </c>
      <c r="F170">
        <v>4</v>
      </c>
      <c r="G170">
        <v>20.92</v>
      </c>
      <c r="H170" t="s">
        <v>13</v>
      </c>
      <c r="I170" s="2">
        <v>44308</v>
      </c>
      <c r="J170" t="s">
        <v>24</v>
      </c>
      <c r="K170" s="4">
        <f>Table1[[#This Row],[Quantity]]*Table1[[#This Row],[Price]]</f>
        <v>83.68</v>
      </c>
      <c r="L170" t="str">
        <f>IF(Table1[[#This Row],[Age]]&lt;25,"18-24",IF(Table1[[#This Row],[Age]]&lt;35,"25-34",IF(Table1[[#This Row],[Age]]&lt;45,"35-44",IF(Table1[[#This Row],[Age]]&lt;55,"45-54","55+"))))</f>
        <v>25-34</v>
      </c>
      <c r="M170" t="str">
        <f>TEXT(Table1[[#This Row],[Invoice_date]],"mmm")</f>
        <v>Apr</v>
      </c>
      <c r="N170">
        <f>YEAR(Table1[[#This Row],[Invoice_date]])</f>
        <v>2021</v>
      </c>
    </row>
    <row r="171" spans="1:14" x14ac:dyDescent="0.25">
      <c r="A171" t="s">
        <v>309</v>
      </c>
      <c r="B171" t="s">
        <v>310</v>
      </c>
      <c r="C171" t="s">
        <v>2</v>
      </c>
      <c r="D171">
        <v>26</v>
      </c>
      <c r="E171" t="s">
        <v>38</v>
      </c>
      <c r="F171">
        <v>5</v>
      </c>
      <c r="G171">
        <v>3000.85</v>
      </c>
      <c r="H171" t="s">
        <v>18</v>
      </c>
      <c r="I171" s="2">
        <v>44987</v>
      </c>
      <c r="J171" t="s">
        <v>50</v>
      </c>
      <c r="K171" s="4">
        <f>Table1[[#This Row],[Quantity]]*Table1[[#This Row],[Price]]</f>
        <v>15004.25</v>
      </c>
      <c r="L171" t="str">
        <f>IF(Table1[[#This Row],[Age]]&lt;25,"18-24",IF(Table1[[#This Row],[Age]]&lt;35,"25-34",IF(Table1[[#This Row],[Age]]&lt;45,"35-44",IF(Table1[[#This Row],[Age]]&lt;55,"45-54","55+"))))</f>
        <v>25-34</v>
      </c>
      <c r="M171" t="str">
        <f>TEXT(Table1[[#This Row],[Invoice_date]],"mmm")</f>
        <v>Mar</v>
      </c>
      <c r="N171">
        <f>YEAR(Table1[[#This Row],[Invoice_date]])</f>
        <v>2023</v>
      </c>
    </row>
    <row r="172" spans="1:14" x14ac:dyDescent="0.25">
      <c r="A172" t="s">
        <v>313</v>
      </c>
      <c r="B172" t="s">
        <v>314</v>
      </c>
      <c r="C172" t="s">
        <v>12</v>
      </c>
      <c r="D172">
        <v>30</v>
      </c>
      <c r="E172" t="s">
        <v>46</v>
      </c>
      <c r="F172">
        <v>4</v>
      </c>
      <c r="G172">
        <v>46.92</v>
      </c>
      <c r="H172" t="s">
        <v>13</v>
      </c>
      <c r="I172" s="2">
        <v>44302</v>
      </c>
      <c r="J172" t="s">
        <v>74</v>
      </c>
      <c r="K172" s="4">
        <f>Table1[[#This Row],[Quantity]]*Table1[[#This Row],[Price]]</f>
        <v>187.68</v>
      </c>
      <c r="L172" t="str">
        <f>IF(Table1[[#This Row],[Age]]&lt;25,"18-24",IF(Table1[[#This Row],[Age]]&lt;35,"25-34",IF(Table1[[#This Row],[Age]]&lt;45,"35-44",IF(Table1[[#This Row],[Age]]&lt;55,"45-54","55+"))))</f>
        <v>25-34</v>
      </c>
      <c r="M172" t="str">
        <f>TEXT(Table1[[#This Row],[Invoice_date]],"mmm")</f>
        <v>Apr</v>
      </c>
      <c r="N172">
        <f>YEAR(Table1[[#This Row],[Invoice_date]])</f>
        <v>2021</v>
      </c>
    </row>
    <row r="173" spans="1:14" x14ac:dyDescent="0.25">
      <c r="A173" t="s">
        <v>331</v>
      </c>
      <c r="B173" t="s">
        <v>332</v>
      </c>
      <c r="C173" t="s">
        <v>2</v>
      </c>
      <c r="D173">
        <v>30</v>
      </c>
      <c r="E173" t="s">
        <v>3</v>
      </c>
      <c r="F173">
        <v>4</v>
      </c>
      <c r="G173">
        <v>1200.32</v>
      </c>
      <c r="H173" t="s">
        <v>13</v>
      </c>
      <c r="I173" s="2">
        <v>44469</v>
      </c>
      <c r="J173" t="s">
        <v>43</v>
      </c>
      <c r="K173" s="4">
        <f>Table1[[#This Row],[Quantity]]*Table1[[#This Row],[Price]]</f>
        <v>4801.28</v>
      </c>
      <c r="L173" t="str">
        <f>IF(Table1[[#This Row],[Age]]&lt;25,"18-24",IF(Table1[[#This Row],[Age]]&lt;35,"25-34",IF(Table1[[#This Row],[Age]]&lt;45,"35-44",IF(Table1[[#This Row],[Age]]&lt;55,"45-54","55+"))))</f>
        <v>25-34</v>
      </c>
      <c r="M173" t="str">
        <f>TEXT(Table1[[#This Row],[Invoice_date]],"mmm")</f>
        <v>Sep</v>
      </c>
      <c r="N173">
        <f>YEAR(Table1[[#This Row],[Invoice_date]])</f>
        <v>2021</v>
      </c>
    </row>
    <row r="174" spans="1:14" x14ac:dyDescent="0.25">
      <c r="A174" t="s">
        <v>333</v>
      </c>
      <c r="B174" t="s">
        <v>334</v>
      </c>
      <c r="C174" t="s">
        <v>12</v>
      </c>
      <c r="D174">
        <v>32</v>
      </c>
      <c r="E174" t="s">
        <v>38</v>
      </c>
      <c r="F174">
        <v>1</v>
      </c>
      <c r="G174">
        <v>600.16999999999996</v>
      </c>
      <c r="H174" t="s">
        <v>18</v>
      </c>
      <c r="I174" s="2">
        <v>44508</v>
      </c>
      <c r="J174" t="s">
        <v>74</v>
      </c>
      <c r="K174" s="4">
        <f>Table1[[#This Row],[Quantity]]*Table1[[#This Row],[Price]]</f>
        <v>600.16999999999996</v>
      </c>
      <c r="L174" t="str">
        <f>IF(Table1[[#This Row],[Age]]&lt;25,"18-24",IF(Table1[[#This Row],[Age]]&lt;35,"25-34",IF(Table1[[#This Row],[Age]]&lt;45,"35-44",IF(Table1[[#This Row],[Age]]&lt;55,"45-54","55+"))))</f>
        <v>25-34</v>
      </c>
      <c r="M174" t="str">
        <f>TEXT(Table1[[#This Row],[Invoice_date]],"mmm")</f>
        <v>Nov</v>
      </c>
      <c r="N174">
        <f>YEAR(Table1[[#This Row],[Invoice_date]])</f>
        <v>2021</v>
      </c>
    </row>
    <row r="175" spans="1:14" x14ac:dyDescent="0.25">
      <c r="A175" t="s">
        <v>355</v>
      </c>
      <c r="B175" t="s">
        <v>356</v>
      </c>
      <c r="C175" t="s">
        <v>2</v>
      </c>
      <c r="D175">
        <v>28</v>
      </c>
      <c r="E175" t="s">
        <v>49</v>
      </c>
      <c r="F175">
        <v>1</v>
      </c>
      <c r="G175">
        <v>35.840000000000003</v>
      </c>
      <c r="H175" t="s">
        <v>18</v>
      </c>
      <c r="I175" s="2">
        <v>44479</v>
      </c>
      <c r="J175" t="s">
        <v>14</v>
      </c>
      <c r="K175" s="4">
        <f>Table1[[#This Row],[Quantity]]*Table1[[#This Row],[Price]]</f>
        <v>35.840000000000003</v>
      </c>
      <c r="L175" t="str">
        <f>IF(Table1[[#This Row],[Age]]&lt;25,"18-24",IF(Table1[[#This Row],[Age]]&lt;35,"25-34",IF(Table1[[#This Row],[Age]]&lt;45,"35-44",IF(Table1[[#This Row],[Age]]&lt;55,"45-54","55+"))))</f>
        <v>25-34</v>
      </c>
      <c r="M175" t="str">
        <f>TEXT(Table1[[#This Row],[Invoice_date]],"mmm")</f>
        <v>Oct</v>
      </c>
      <c r="N175">
        <f>YEAR(Table1[[#This Row],[Invoice_date]])</f>
        <v>2021</v>
      </c>
    </row>
    <row r="176" spans="1:14" x14ac:dyDescent="0.25">
      <c r="A176" t="s">
        <v>365</v>
      </c>
      <c r="B176" t="s">
        <v>366</v>
      </c>
      <c r="C176" t="s">
        <v>2</v>
      </c>
      <c r="D176">
        <v>26</v>
      </c>
      <c r="E176" t="s">
        <v>3</v>
      </c>
      <c r="F176">
        <v>5</v>
      </c>
      <c r="G176">
        <v>1500.4</v>
      </c>
      <c r="H176" t="s">
        <v>4</v>
      </c>
      <c r="I176" s="2">
        <v>44506</v>
      </c>
      <c r="J176" t="s">
        <v>33</v>
      </c>
      <c r="K176" s="4">
        <f>Table1[[#This Row],[Quantity]]*Table1[[#This Row],[Price]]</f>
        <v>7502</v>
      </c>
      <c r="L176" t="str">
        <f>IF(Table1[[#This Row],[Age]]&lt;25,"18-24",IF(Table1[[#This Row],[Age]]&lt;35,"25-34",IF(Table1[[#This Row],[Age]]&lt;45,"35-44",IF(Table1[[#This Row],[Age]]&lt;55,"45-54","55+"))))</f>
        <v>25-34</v>
      </c>
      <c r="M176" t="str">
        <f>TEXT(Table1[[#This Row],[Invoice_date]],"mmm")</f>
        <v>Nov</v>
      </c>
      <c r="N176">
        <f>YEAR(Table1[[#This Row],[Invoice_date]])</f>
        <v>2021</v>
      </c>
    </row>
    <row r="177" spans="1:14" x14ac:dyDescent="0.25">
      <c r="A177" t="s">
        <v>387</v>
      </c>
      <c r="B177" t="s">
        <v>388</v>
      </c>
      <c r="C177" t="s">
        <v>12</v>
      </c>
      <c r="D177">
        <v>30</v>
      </c>
      <c r="E177" t="s">
        <v>27</v>
      </c>
      <c r="F177">
        <v>3</v>
      </c>
      <c r="G177">
        <v>15.69</v>
      </c>
      <c r="H177" t="s">
        <v>18</v>
      </c>
      <c r="I177" s="2">
        <v>44509</v>
      </c>
      <c r="J177" t="s">
        <v>50</v>
      </c>
      <c r="K177" s="4">
        <f>Table1[[#This Row],[Quantity]]*Table1[[#This Row],[Price]]</f>
        <v>47.07</v>
      </c>
      <c r="L177" t="str">
        <f>IF(Table1[[#This Row],[Age]]&lt;25,"18-24",IF(Table1[[#This Row],[Age]]&lt;35,"25-34",IF(Table1[[#This Row],[Age]]&lt;45,"35-44",IF(Table1[[#This Row],[Age]]&lt;55,"45-54","55+"))))</f>
        <v>25-34</v>
      </c>
      <c r="M177" t="str">
        <f>TEXT(Table1[[#This Row],[Invoice_date]],"mmm")</f>
        <v>Nov</v>
      </c>
      <c r="N177">
        <f>YEAR(Table1[[#This Row],[Invoice_date]])</f>
        <v>2021</v>
      </c>
    </row>
    <row r="178" spans="1:14" x14ac:dyDescent="0.25">
      <c r="A178" t="s">
        <v>391</v>
      </c>
      <c r="B178" t="s">
        <v>392</v>
      </c>
      <c r="C178" t="s">
        <v>2</v>
      </c>
      <c r="D178">
        <v>27</v>
      </c>
      <c r="E178" t="s">
        <v>8</v>
      </c>
      <c r="F178">
        <v>3</v>
      </c>
      <c r="G178">
        <v>121.98</v>
      </c>
      <c r="H178" t="s">
        <v>18</v>
      </c>
      <c r="I178" s="2">
        <v>44341</v>
      </c>
      <c r="J178" t="s">
        <v>74</v>
      </c>
      <c r="K178" s="4">
        <f>Table1[[#This Row],[Quantity]]*Table1[[#This Row],[Price]]</f>
        <v>365.94</v>
      </c>
      <c r="L178" t="str">
        <f>IF(Table1[[#This Row],[Age]]&lt;25,"18-24",IF(Table1[[#This Row],[Age]]&lt;35,"25-34",IF(Table1[[#This Row],[Age]]&lt;45,"35-44",IF(Table1[[#This Row],[Age]]&lt;55,"45-54","55+"))))</f>
        <v>25-34</v>
      </c>
      <c r="M178" t="str">
        <f>TEXT(Table1[[#This Row],[Invoice_date]],"mmm")</f>
        <v>May</v>
      </c>
      <c r="N178">
        <f>YEAR(Table1[[#This Row],[Invoice_date]])</f>
        <v>2021</v>
      </c>
    </row>
    <row r="179" spans="1:14" x14ac:dyDescent="0.25">
      <c r="A179" t="s">
        <v>393</v>
      </c>
      <c r="B179" t="s">
        <v>394</v>
      </c>
      <c r="C179" t="s">
        <v>12</v>
      </c>
      <c r="D179">
        <v>26</v>
      </c>
      <c r="E179" t="s">
        <v>3</v>
      </c>
      <c r="F179">
        <v>4</v>
      </c>
      <c r="G179">
        <v>1200.32</v>
      </c>
      <c r="H179" t="s">
        <v>13</v>
      </c>
      <c r="I179" s="2">
        <v>44437</v>
      </c>
      <c r="J179" t="s">
        <v>63</v>
      </c>
      <c r="K179" s="4">
        <f>Table1[[#This Row],[Quantity]]*Table1[[#This Row],[Price]]</f>
        <v>4801.28</v>
      </c>
      <c r="L179" t="str">
        <f>IF(Table1[[#This Row],[Age]]&lt;25,"18-24",IF(Table1[[#This Row],[Age]]&lt;35,"25-34",IF(Table1[[#This Row],[Age]]&lt;45,"35-44",IF(Table1[[#This Row],[Age]]&lt;55,"45-54","55+"))))</f>
        <v>25-34</v>
      </c>
      <c r="M179" t="str">
        <f>TEXT(Table1[[#This Row],[Invoice_date]],"mmm")</f>
        <v>Aug</v>
      </c>
      <c r="N179">
        <f>YEAR(Table1[[#This Row],[Invoice_date]])</f>
        <v>2021</v>
      </c>
    </row>
    <row r="180" spans="1:14" x14ac:dyDescent="0.25">
      <c r="A180" t="s">
        <v>419</v>
      </c>
      <c r="B180" t="s">
        <v>420</v>
      </c>
      <c r="C180" t="s">
        <v>2</v>
      </c>
      <c r="D180">
        <v>27</v>
      </c>
      <c r="E180" t="s">
        <v>38</v>
      </c>
      <c r="F180">
        <v>2</v>
      </c>
      <c r="G180">
        <v>1200.3399999999999</v>
      </c>
      <c r="H180" t="s">
        <v>18</v>
      </c>
      <c r="I180" s="2">
        <v>44524</v>
      </c>
      <c r="J180" t="s">
        <v>14</v>
      </c>
      <c r="K180" s="4">
        <f>Table1[[#This Row],[Quantity]]*Table1[[#This Row],[Price]]</f>
        <v>2400.6799999999998</v>
      </c>
      <c r="L180" t="str">
        <f>IF(Table1[[#This Row],[Age]]&lt;25,"18-24",IF(Table1[[#This Row],[Age]]&lt;35,"25-34",IF(Table1[[#This Row],[Age]]&lt;45,"35-44",IF(Table1[[#This Row],[Age]]&lt;55,"45-54","55+"))))</f>
        <v>25-34</v>
      </c>
      <c r="M180" t="str">
        <f>TEXT(Table1[[#This Row],[Invoice_date]],"mmm")</f>
        <v>Nov</v>
      </c>
      <c r="N180">
        <f>YEAR(Table1[[#This Row],[Invoice_date]])</f>
        <v>2021</v>
      </c>
    </row>
    <row r="181" spans="1:14" x14ac:dyDescent="0.25">
      <c r="A181" t="s">
        <v>439</v>
      </c>
      <c r="B181" t="s">
        <v>440</v>
      </c>
      <c r="C181" t="s">
        <v>12</v>
      </c>
      <c r="D181">
        <v>26</v>
      </c>
      <c r="E181" t="s">
        <v>3</v>
      </c>
      <c r="F181">
        <v>5</v>
      </c>
      <c r="G181">
        <v>1500.4</v>
      </c>
      <c r="H181" t="s">
        <v>13</v>
      </c>
      <c r="I181" s="2">
        <v>44260</v>
      </c>
      <c r="J181" t="s">
        <v>24</v>
      </c>
      <c r="K181" s="4">
        <f>Table1[[#This Row],[Quantity]]*Table1[[#This Row],[Price]]</f>
        <v>7502</v>
      </c>
      <c r="L181" t="str">
        <f>IF(Table1[[#This Row],[Age]]&lt;25,"18-24",IF(Table1[[#This Row],[Age]]&lt;35,"25-34",IF(Table1[[#This Row],[Age]]&lt;45,"35-44",IF(Table1[[#This Row],[Age]]&lt;55,"45-54","55+"))))</f>
        <v>25-34</v>
      </c>
      <c r="M181" t="str">
        <f>TEXT(Table1[[#This Row],[Invoice_date]],"mmm")</f>
        <v>Mar</v>
      </c>
      <c r="N181">
        <f>YEAR(Table1[[#This Row],[Invoice_date]])</f>
        <v>2021</v>
      </c>
    </row>
    <row r="182" spans="1:14" x14ac:dyDescent="0.25">
      <c r="A182" t="s">
        <v>443</v>
      </c>
      <c r="B182" t="s">
        <v>444</v>
      </c>
      <c r="C182" t="s">
        <v>2</v>
      </c>
      <c r="D182">
        <v>25</v>
      </c>
      <c r="E182" t="s">
        <v>3</v>
      </c>
      <c r="F182">
        <v>1</v>
      </c>
      <c r="G182">
        <v>300.08</v>
      </c>
      <c r="H182" t="s">
        <v>4</v>
      </c>
      <c r="I182" s="2">
        <v>44660</v>
      </c>
      <c r="J182" t="s">
        <v>9</v>
      </c>
      <c r="K182" s="4">
        <f>Table1[[#This Row],[Quantity]]*Table1[[#This Row],[Price]]</f>
        <v>300.08</v>
      </c>
      <c r="L182" t="str">
        <f>IF(Table1[[#This Row],[Age]]&lt;25,"18-24",IF(Table1[[#This Row],[Age]]&lt;35,"25-34",IF(Table1[[#This Row],[Age]]&lt;45,"35-44",IF(Table1[[#This Row],[Age]]&lt;55,"45-54","55+"))))</f>
        <v>25-34</v>
      </c>
      <c r="M182" t="str">
        <f>TEXT(Table1[[#This Row],[Invoice_date]],"mmm")</f>
        <v>Apr</v>
      </c>
      <c r="N182">
        <f>YEAR(Table1[[#This Row],[Invoice_date]])</f>
        <v>2022</v>
      </c>
    </row>
    <row r="183" spans="1:14" x14ac:dyDescent="0.25">
      <c r="A183" t="s">
        <v>459</v>
      </c>
      <c r="B183" t="s">
        <v>460</v>
      </c>
      <c r="C183" t="s">
        <v>2</v>
      </c>
      <c r="D183">
        <v>27</v>
      </c>
      <c r="E183" t="s">
        <v>46</v>
      </c>
      <c r="F183">
        <v>3</v>
      </c>
      <c r="G183">
        <v>35.19</v>
      </c>
      <c r="H183" t="s">
        <v>4</v>
      </c>
      <c r="I183" s="2">
        <v>44391</v>
      </c>
      <c r="J183" t="s">
        <v>5</v>
      </c>
      <c r="K183" s="4">
        <f>Table1[[#This Row],[Quantity]]*Table1[[#This Row],[Price]]</f>
        <v>105.57</v>
      </c>
      <c r="L183" t="str">
        <f>IF(Table1[[#This Row],[Age]]&lt;25,"18-24",IF(Table1[[#This Row],[Age]]&lt;35,"25-34",IF(Table1[[#This Row],[Age]]&lt;45,"35-44",IF(Table1[[#This Row],[Age]]&lt;55,"45-54","55+"))))</f>
        <v>25-34</v>
      </c>
      <c r="M183" t="str">
        <f>TEXT(Table1[[#This Row],[Invoice_date]],"mmm")</f>
        <v>Jul</v>
      </c>
      <c r="N183">
        <f>YEAR(Table1[[#This Row],[Invoice_date]])</f>
        <v>2021</v>
      </c>
    </row>
    <row r="184" spans="1:14" x14ac:dyDescent="0.25">
      <c r="A184" t="s">
        <v>467</v>
      </c>
      <c r="B184" t="s">
        <v>468</v>
      </c>
      <c r="C184" t="s">
        <v>2</v>
      </c>
      <c r="D184">
        <v>28</v>
      </c>
      <c r="E184" t="s">
        <v>3</v>
      </c>
      <c r="F184">
        <v>1</v>
      </c>
      <c r="G184">
        <v>300.08</v>
      </c>
      <c r="H184" t="s">
        <v>4</v>
      </c>
      <c r="I184" s="2">
        <v>44319</v>
      </c>
      <c r="J184" t="s">
        <v>24</v>
      </c>
      <c r="K184" s="4">
        <f>Table1[[#This Row],[Quantity]]*Table1[[#This Row],[Price]]</f>
        <v>300.08</v>
      </c>
      <c r="L184" t="str">
        <f>IF(Table1[[#This Row],[Age]]&lt;25,"18-24",IF(Table1[[#This Row],[Age]]&lt;35,"25-34",IF(Table1[[#This Row],[Age]]&lt;45,"35-44",IF(Table1[[#This Row],[Age]]&lt;55,"45-54","55+"))))</f>
        <v>25-34</v>
      </c>
      <c r="M184" t="str">
        <f>TEXT(Table1[[#This Row],[Invoice_date]],"mmm")</f>
        <v>May</v>
      </c>
      <c r="N184">
        <f>YEAR(Table1[[#This Row],[Invoice_date]])</f>
        <v>2021</v>
      </c>
    </row>
    <row r="185" spans="1:14" x14ac:dyDescent="0.25">
      <c r="A185" t="s">
        <v>471</v>
      </c>
      <c r="B185" t="s">
        <v>472</v>
      </c>
      <c r="C185" t="s">
        <v>2</v>
      </c>
      <c r="D185">
        <v>30</v>
      </c>
      <c r="E185" t="s">
        <v>8</v>
      </c>
      <c r="F185">
        <v>5</v>
      </c>
      <c r="G185">
        <v>203.3</v>
      </c>
      <c r="H185" t="s">
        <v>18</v>
      </c>
      <c r="I185" s="2">
        <v>44419</v>
      </c>
      <c r="J185" t="s">
        <v>5</v>
      </c>
      <c r="K185" s="4">
        <f>Table1[[#This Row],[Quantity]]*Table1[[#This Row],[Price]]</f>
        <v>1016.5</v>
      </c>
      <c r="L185" t="str">
        <f>IF(Table1[[#This Row],[Age]]&lt;25,"18-24",IF(Table1[[#This Row],[Age]]&lt;35,"25-34",IF(Table1[[#This Row],[Age]]&lt;45,"35-44",IF(Table1[[#This Row],[Age]]&lt;55,"45-54","55+"))))</f>
        <v>25-34</v>
      </c>
      <c r="M185" t="str">
        <f>TEXT(Table1[[#This Row],[Invoice_date]],"mmm")</f>
        <v>Aug</v>
      </c>
      <c r="N185">
        <f>YEAR(Table1[[#This Row],[Invoice_date]])</f>
        <v>2021</v>
      </c>
    </row>
    <row r="186" spans="1:14" x14ac:dyDescent="0.25">
      <c r="A186" t="s">
        <v>481</v>
      </c>
      <c r="B186" t="s">
        <v>482</v>
      </c>
      <c r="C186" t="s">
        <v>12</v>
      </c>
      <c r="D186">
        <v>31</v>
      </c>
      <c r="E186" t="s">
        <v>3</v>
      </c>
      <c r="F186">
        <v>4</v>
      </c>
      <c r="G186">
        <v>1200.32</v>
      </c>
      <c r="H186" t="s">
        <v>4</v>
      </c>
      <c r="I186" s="2">
        <v>44549</v>
      </c>
      <c r="J186" t="s">
        <v>33</v>
      </c>
      <c r="K186" s="4">
        <f>Table1[[#This Row],[Quantity]]*Table1[[#This Row],[Price]]</f>
        <v>4801.28</v>
      </c>
      <c r="L186" t="str">
        <f>IF(Table1[[#This Row],[Age]]&lt;25,"18-24",IF(Table1[[#This Row],[Age]]&lt;35,"25-34",IF(Table1[[#This Row],[Age]]&lt;45,"35-44",IF(Table1[[#This Row],[Age]]&lt;55,"45-54","55+"))))</f>
        <v>25-34</v>
      </c>
      <c r="M186" t="str">
        <f>TEXT(Table1[[#This Row],[Invoice_date]],"mmm")</f>
        <v>Dec</v>
      </c>
      <c r="N186">
        <f>YEAR(Table1[[#This Row],[Invoice_date]])</f>
        <v>2021</v>
      </c>
    </row>
    <row r="187" spans="1:14" x14ac:dyDescent="0.25">
      <c r="A187" t="s">
        <v>499</v>
      </c>
      <c r="B187" t="s">
        <v>500</v>
      </c>
      <c r="C187" t="s">
        <v>12</v>
      </c>
      <c r="D187">
        <v>28</v>
      </c>
      <c r="E187" t="s">
        <v>17</v>
      </c>
      <c r="F187">
        <v>1</v>
      </c>
      <c r="G187">
        <v>15.15</v>
      </c>
      <c r="H187" t="s">
        <v>13</v>
      </c>
      <c r="I187" s="2">
        <v>44924</v>
      </c>
      <c r="J187" t="s">
        <v>5</v>
      </c>
      <c r="K187" s="4">
        <f>Table1[[#This Row],[Quantity]]*Table1[[#This Row],[Price]]</f>
        <v>15.15</v>
      </c>
      <c r="L187" t="str">
        <f>IF(Table1[[#This Row],[Age]]&lt;25,"18-24",IF(Table1[[#This Row],[Age]]&lt;35,"25-34",IF(Table1[[#This Row],[Age]]&lt;45,"35-44",IF(Table1[[#This Row],[Age]]&lt;55,"45-54","55+"))))</f>
        <v>25-34</v>
      </c>
      <c r="M187" t="str">
        <f>TEXT(Table1[[#This Row],[Invoice_date]],"mmm")</f>
        <v>Dec</v>
      </c>
      <c r="N187">
        <f>YEAR(Table1[[#This Row],[Invoice_date]])</f>
        <v>2022</v>
      </c>
    </row>
    <row r="188" spans="1:14" x14ac:dyDescent="0.25">
      <c r="A188" t="s">
        <v>515</v>
      </c>
      <c r="B188" t="s">
        <v>516</v>
      </c>
      <c r="C188" t="s">
        <v>2</v>
      </c>
      <c r="D188">
        <v>31</v>
      </c>
      <c r="E188" t="s">
        <v>3</v>
      </c>
      <c r="F188">
        <v>1</v>
      </c>
      <c r="G188">
        <v>300.08</v>
      </c>
      <c r="H188" t="s">
        <v>4</v>
      </c>
      <c r="I188" s="2">
        <v>44974</v>
      </c>
      <c r="J188" t="s">
        <v>14</v>
      </c>
      <c r="K188" s="4">
        <f>Table1[[#This Row],[Quantity]]*Table1[[#This Row],[Price]]</f>
        <v>300.08</v>
      </c>
      <c r="L188" t="str">
        <f>IF(Table1[[#This Row],[Age]]&lt;25,"18-24",IF(Table1[[#This Row],[Age]]&lt;35,"25-34",IF(Table1[[#This Row],[Age]]&lt;45,"35-44",IF(Table1[[#This Row],[Age]]&lt;55,"45-54","55+"))))</f>
        <v>25-34</v>
      </c>
      <c r="M188" t="str">
        <f>TEXT(Table1[[#This Row],[Invoice_date]],"mmm")</f>
        <v>Feb</v>
      </c>
      <c r="N188">
        <f>YEAR(Table1[[#This Row],[Invoice_date]])</f>
        <v>2023</v>
      </c>
    </row>
    <row r="189" spans="1:14" x14ac:dyDescent="0.25">
      <c r="A189" t="s">
        <v>541</v>
      </c>
      <c r="B189" t="s">
        <v>542</v>
      </c>
      <c r="C189" t="s">
        <v>2</v>
      </c>
      <c r="D189">
        <v>29</v>
      </c>
      <c r="E189" t="s">
        <v>8</v>
      </c>
      <c r="F189">
        <v>3</v>
      </c>
      <c r="G189">
        <v>121.98</v>
      </c>
      <c r="H189" t="s">
        <v>4</v>
      </c>
      <c r="I189" s="2">
        <v>44270</v>
      </c>
      <c r="J189" t="s">
        <v>74</v>
      </c>
      <c r="K189" s="4">
        <f>Table1[[#This Row],[Quantity]]*Table1[[#This Row],[Price]]</f>
        <v>365.94</v>
      </c>
      <c r="L189" t="str">
        <f>IF(Table1[[#This Row],[Age]]&lt;25,"18-24",IF(Table1[[#This Row],[Age]]&lt;35,"25-34",IF(Table1[[#This Row],[Age]]&lt;45,"35-44",IF(Table1[[#This Row],[Age]]&lt;55,"45-54","55+"))))</f>
        <v>25-34</v>
      </c>
      <c r="M189" t="str">
        <f>TEXT(Table1[[#This Row],[Invoice_date]],"mmm")</f>
        <v>Mar</v>
      </c>
      <c r="N189">
        <f>YEAR(Table1[[#This Row],[Invoice_date]])</f>
        <v>2021</v>
      </c>
    </row>
    <row r="190" spans="1:14" x14ac:dyDescent="0.25">
      <c r="A190" t="s">
        <v>563</v>
      </c>
      <c r="B190" t="s">
        <v>564</v>
      </c>
      <c r="C190" t="s">
        <v>2</v>
      </c>
      <c r="D190">
        <v>32</v>
      </c>
      <c r="E190" t="s">
        <v>46</v>
      </c>
      <c r="F190">
        <v>5</v>
      </c>
      <c r="G190">
        <v>58.65</v>
      </c>
      <c r="H190" t="s">
        <v>18</v>
      </c>
      <c r="I190" s="2">
        <v>44407</v>
      </c>
      <c r="J190" t="s">
        <v>74</v>
      </c>
      <c r="K190" s="4">
        <f>Table1[[#This Row],[Quantity]]*Table1[[#This Row],[Price]]</f>
        <v>293.25</v>
      </c>
      <c r="L190" t="str">
        <f>IF(Table1[[#This Row],[Age]]&lt;25,"18-24",IF(Table1[[#This Row],[Age]]&lt;35,"25-34",IF(Table1[[#This Row],[Age]]&lt;45,"35-44",IF(Table1[[#This Row],[Age]]&lt;55,"45-54","55+"))))</f>
        <v>25-34</v>
      </c>
      <c r="M190" t="str">
        <f>TEXT(Table1[[#This Row],[Invoice_date]],"mmm")</f>
        <v>Jul</v>
      </c>
      <c r="N190">
        <f>YEAR(Table1[[#This Row],[Invoice_date]])</f>
        <v>2021</v>
      </c>
    </row>
    <row r="191" spans="1:14" x14ac:dyDescent="0.25">
      <c r="A191" t="s">
        <v>573</v>
      </c>
      <c r="B191" t="s">
        <v>574</v>
      </c>
      <c r="C191" t="s">
        <v>12</v>
      </c>
      <c r="D191">
        <v>32</v>
      </c>
      <c r="E191" t="s">
        <v>8</v>
      </c>
      <c r="F191">
        <v>1</v>
      </c>
      <c r="G191">
        <v>40.659999999999997</v>
      </c>
      <c r="H191" t="s">
        <v>18</v>
      </c>
      <c r="I191" s="2">
        <v>44814</v>
      </c>
      <c r="J191" t="s">
        <v>74</v>
      </c>
      <c r="K191" s="4">
        <f>Table1[[#This Row],[Quantity]]*Table1[[#This Row],[Price]]</f>
        <v>40.659999999999997</v>
      </c>
      <c r="L191" t="str">
        <f>IF(Table1[[#This Row],[Age]]&lt;25,"18-24",IF(Table1[[#This Row],[Age]]&lt;35,"25-34",IF(Table1[[#This Row],[Age]]&lt;45,"35-44",IF(Table1[[#This Row],[Age]]&lt;55,"45-54","55+"))))</f>
        <v>25-34</v>
      </c>
      <c r="M191" t="str">
        <f>TEXT(Table1[[#This Row],[Invoice_date]],"mmm")</f>
        <v>Sep</v>
      </c>
      <c r="N191">
        <f>YEAR(Table1[[#This Row],[Invoice_date]])</f>
        <v>2022</v>
      </c>
    </row>
    <row r="192" spans="1:14" x14ac:dyDescent="0.25">
      <c r="A192" t="s">
        <v>593</v>
      </c>
      <c r="B192" t="s">
        <v>594</v>
      </c>
      <c r="C192" t="s">
        <v>2</v>
      </c>
      <c r="D192">
        <v>32</v>
      </c>
      <c r="E192" t="s">
        <v>46</v>
      </c>
      <c r="F192">
        <v>1</v>
      </c>
      <c r="G192">
        <v>11.73</v>
      </c>
      <c r="H192" t="s">
        <v>13</v>
      </c>
      <c r="I192" s="2">
        <v>44322</v>
      </c>
      <c r="J192" t="s">
        <v>33</v>
      </c>
      <c r="K192" s="4">
        <f>Table1[[#This Row],[Quantity]]*Table1[[#This Row],[Price]]</f>
        <v>11.73</v>
      </c>
      <c r="L192" t="str">
        <f>IF(Table1[[#This Row],[Age]]&lt;25,"18-24",IF(Table1[[#This Row],[Age]]&lt;35,"25-34",IF(Table1[[#This Row],[Age]]&lt;45,"35-44",IF(Table1[[#This Row],[Age]]&lt;55,"45-54","55+"))))</f>
        <v>25-34</v>
      </c>
      <c r="M192" t="str">
        <f>TEXT(Table1[[#This Row],[Invoice_date]],"mmm")</f>
        <v>May</v>
      </c>
      <c r="N192">
        <f>YEAR(Table1[[#This Row],[Invoice_date]])</f>
        <v>2021</v>
      </c>
    </row>
    <row r="193" spans="1:14" x14ac:dyDescent="0.25">
      <c r="A193" t="s">
        <v>603</v>
      </c>
      <c r="B193" t="s">
        <v>604</v>
      </c>
      <c r="C193" t="s">
        <v>2</v>
      </c>
      <c r="D193">
        <v>30</v>
      </c>
      <c r="E193" t="s">
        <v>3</v>
      </c>
      <c r="F193">
        <v>5</v>
      </c>
      <c r="G193">
        <v>1500.4</v>
      </c>
      <c r="H193" t="s">
        <v>4</v>
      </c>
      <c r="I193" s="2">
        <v>44735</v>
      </c>
      <c r="J193" t="s">
        <v>33</v>
      </c>
      <c r="K193" s="4">
        <f>Table1[[#This Row],[Quantity]]*Table1[[#This Row],[Price]]</f>
        <v>7502</v>
      </c>
      <c r="L193" t="str">
        <f>IF(Table1[[#This Row],[Age]]&lt;25,"18-24",IF(Table1[[#This Row],[Age]]&lt;35,"25-34",IF(Table1[[#This Row],[Age]]&lt;45,"35-44",IF(Table1[[#This Row],[Age]]&lt;55,"45-54","55+"))))</f>
        <v>25-34</v>
      </c>
      <c r="M193" t="str">
        <f>TEXT(Table1[[#This Row],[Invoice_date]],"mmm")</f>
        <v>Jun</v>
      </c>
      <c r="N193">
        <f>YEAR(Table1[[#This Row],[Invoice_date]])</f>
        <v>2022</v>
      </c>
    </row>
    <row r="194" spans="1:14" x14ac:dyDescent="0.25">
      <c r="A194" t="s">
        <v>611</v>
      </c>
      <c r="B194" t="s">
        <v>612</v>
      </c>
      <c r="C194" t="s">
        <v>2</v>
      </c>
      <c r="D194">
        <v>32</v>
      </c>
      <c r="E194" t="s">
        <v>27</v>
      </c>
      <c r="F194">
        <v>5</v>
      </c>
      <c r="G194">
        <v>26.15</v>
      </c>
      <c r="H194" t="s">
        <v>13</v>
      </c>
      <c r="I194" s="2">
        <v>44918</v>
      </c>
      <c r="J194" t="s">
        <v>33</v>
      </c>
      <c r="K194" s="4">
        <f>Table1[[#This Row],[Quantity]]*Table1[[#This Row],[Price]]</f>
        <v>130.75</v>
      </c>
      <c r="L194" t="str">
        <f>IF(Table1[[#This Row],[Age]]&lt;25,"18-24",IF(Table1[[#This Row],[Age]]&lt;35,"25-34",IF(Table1[[#This Row],[Age]]&lt;45,"35-44",IF(Table1[[#This Row],[Age]]&lt;55,"45-54","55+"))))</f>
        <v>25-34</v>
      </c>
      <c r="M194" t="str">
        <f>TEXT(Table1[[#This Row],[Invoice_date]],"mmm")</f>
        <v>Dec</v>
      </c>
      <c r="N194">
        <f>YEAR(Table1[[#This Row],[Invoice_date]])</f>
        <v>2022</v>
      </c>
    </row>
    <row r="195" spans="1:14" x14ac:dyDescent="0.25">
      <c r="A195" t="s">
        <v>619</v>
      </c>
      <c r="B195" t="s">
        <v>620</v>
      </c>
      <c r="C195" t="s">
        <v>12</v>
      </c>
      <c r="D195">
        <v>31</v>
      </c>
      <c r="E195" t="s">
        <v>8</v>
      </c>
      <c r="F195">
        <v>1</v>
      </c>
      <c r="G195">
        <v>40.659999999999997</v>
      </c>
      <c r="H195" t="s">
        <v>18</v>
      </c>
      <c r="I195" s="2">
        <v>44320</v>
      </c>
      <c r="J195" t="s">
        <v>33</v>
      </c>
      <c r="K195" s="4">
        <f>Table1[[#This Row],[Quantity]]*Table1[[#This Row],[Price]]</f>
        <v>40.659999999999997</v>
      </c>
      <c r="L195" t="str">
        <f>IF(Table1[[#This Row],[Age]]&lt;25,"18-24",IF(Table1[[#This Row],[Age]]&lt;35,"25-34",IF(Table1[[#This Row],[Age]]&lt;45,"35-44",IF(Table1[[#This Row],[Age]]&lt;55,"45-54","55+"))))</f>
        <v>25-34</v>
      </c>
      <c r="M195" t="str">
        <f>TEXT(Table1[[#This Row],[Invoice_date]],"mmm")</f>
        <v>May</v>
      </c>
      <c r="N195">
        <f>YEAR(Table1[[#This Row],[Invoice_date]])</f>
        <v>2021</v>
      </c>
    </row>
    <row r="196" spans="1:14" x14ac:dyDescent="0.25">
      <c r="A196" t="s">
        <v>623</v>
      </c>
      <c r="B196" t="s">
        <v>624</v>
      </c>
      <c r="C196" t="s">
        <v>12</v>
      </c>
      <c r="D196">
        <v>31</v>
      </c>
      <c r="E196" t="s">
        <v>8</v>
      </c>
      <c r="F196">
        <v>3</v>
      </c>
      <c r="G196">
        <v>121.98</v>
      </c>
      <c r="H196" t="s">
        <v>4</v>
      </c>
      <c r="I196" s="2">
        <v>44549</v>
      </c>
      <c r="J196" t="s">
        <v>14</v>
      </c>
      <c r="K196" s="4">
        <f>Table1[[#This Row],[Quantity]]*Table1[[#This Row],[Price]]</f>
        <v>365.94</v>
      </c>
      <c r="L196" t="str">
        <f>IF(Table1[[#This Row],[Age]]&lt;25,"18-24",IF(Table1[[#This Row],[Age]]&lt;35,"25-34",IF(Table1[[#This Row],[Age]]&lt;45,"35-44",IF(Table1[[#This Row],[Age]]&lt;55,"45-54","55+"))))</f>
        <v>25-34</v>
      </c>
      <c r="M196" t="str">
        <f>TEXT(Table1[[#This Row],[Invoice_date]],"mmm")</f>
        <v>Dec</v>
      </c>
      <c r="N196">
        <f>YEAR(Table1[[#This Row],[Invoice_date]])</f>
        <v>2021</v>
      </c>
    </row>
    <row r="197" spans="1:14" x14ac:dyDescent="0.25">
      <c r="A197" t="s">
        <v>641</v>
      </c>
      <c r="B197" t="s">
        <v>642</v>
      </c>
      <c r="C197" t="s">
        <v>2</v>
      </c>
      <c r="D197">
        <v>29</v>
      </c>
      <c r="E197" t="s">
        <v>8</v>
      </c>
      <c r="F197">
        <v>4</v>
      </c>
      <c r="G197">
        <v>162.63999999999999</v>
      </c>
      <c r="H197" t="s">
        <v>4</v>
      </c>
      <c r="I197" s="2">
        <v>44396</v>
      </c>
      <c r="J197" t="s">
        <v>14</v>
      </c>
      <c r="K197" s="4">
        <f>Table1[[#This Row],[Quantity]]*Table1[[#This Row],[Price]]</f>
        <v>650.55999999999995</v>
      </c>
      <c r="L197" t="str">
        <f>IF(Table1[[#This Row],[Age]]&lt;25,"18-24",IF(Table1[[#This Row],[Age]]&lt;35,"25-34",IF(Table1[[#This Row],[Age]]&lt;45,"35-44",IF(Table1[[#This Row],[Age]]&lt;55,"45-54","55+"))))</f>
        <v>25-34</v>
      </c>
      <c r="M197" t="str">
        <f>TEXT(Table1[[#This Row],[Invoice_date]],"mmm")</f>
        <v>Jul</v>
      </c>
      <c r="N197">
        <f>YEAR(Table1[[#This Row],[Invoice_date]])</f>
        <v>2021</v>
      </c>
    </row>
    <row r="198" spans="1:14" x14ac:dyDescent="0.25">
      <c r="A198" t="s">
        <v>647</v>
      </c>
      <c r="B198" t="s">
        <v>648</v>
      </c>
      <c r="C198" t="s">
        <v>12</v>
      </c>
      <c r="D198">
        <v>27</v>
      </c>
      <c r="E198" t="s">
        <v>49</v>
      </c>
      <c r="F198">
        <v>3</v>
      </c>
      <c r="G198">
        <v>107.52</v>
      </c>
      <c r="H198" t="s">
        <v>13</v>
      </c>
      <c r="I198" s="2">
        <v>44809</v>
      </c>
      <c r="J198" t="s">
        <v>24</v>
      </c>
      <c r="K198" s="4">
        <f>Table1[[#This Row],[Quantity]]*Table1[[#This Row],[Price]]</f>
        <v>322.56</v>
      </c>
      <c r="L198" t="str">
        <f>IF(Table1[[#This Row],[Age]]&lt;25,"18-24",IF(Table1[[#This Row],[Age]]&lt;35,"25-34",IF(Table1[[#This Row],[Age]]&lt;45,"35-44",IF(Table1[[#This Row],[Age]]&lt;55,"45-54","55+"))))</f>
        <v>25-34</v>
      </c>
      <c r="M198" t="str">
        <f>TEXT(Table1[[#This Row],[Invoice_date]],"mmm")</f>
        <v>Sep</v>
      </c>
      <c r="N198">
        <f>YEAR(Table1[[#This Row],[Invoice_date]])</f>
        <v>2022</v>
      </c>
    </row>
    <row r="199" spans="1:14" x14ac:dyDescent="0.25">
      <c r="A199" t="s">
        <v>651</v>
      </c>
      <c r="B199" t="s">
        <v>652</v>
      </c>
      <c r="C199" t="s">
        <v>12</v>
      </c>
      <c r="D199">
        <v>33</v>
      </c>
      <c r="E199" t="s">
        <v>3</v>
      </c>
      <c r="F199">
        <v>2</v>
      </c>
      <c r="G199">
        <v>600.16</v>
      </c>
      <c r="H199" t="s">
        <v>18</v>
      </c>
      <c r="I199" s="2">
        <v>44955</v>
      </c>
      <c r="J199" t="s">
        <v>50</v>
      </c>
      <c r="K199" s="4">
        <f>Table1[[#This Row],[Quantity]]*Table1[[#This Row],[Price]]</f>
        <v>1200.32</v>
      </c>
      <c r="L199" t="str">
        <f>IF(Table1[[#This Row],[Age]]&lt;25,"18-24",IF(Table1[[#This Row],[Age]]&lt;35,"25-34",IF(Table1[[#This Row],[Age]]&lt;45,"35-44",IF(Table1[[#This Row],[Age]]&lt;55,"45-54","55+"))))</f>
        <v>25-34</v>
      </c>
      <c r="M199" t="str">
        <f>TEXT(Table1[[#This Row],[Invoice_date]],"mmm")</f>
        <v>Jan</v>
      </c>
      <c r="N199">
        <f>YEAR(Table1[[#This Row],[Invoice_date]])</f>
        <v>2023</v>
      </c>
    </row>
    <row r="200" spans="1:14" x14ac:dyDescent="0.25">
      <c r="A200" t="s">
        <v>657</v>
      </c>
      <c r="B200" t="s">
        <v>658</v>
      </c>
      <c r="C200" t="s">
        <v>2</v>
      </c>
      <c r="D200">
        <v>29</v>
      </c>
      <c r="E200" t="s">
        <v>38</v>
      </c>
      <c r="F200">
        <v>5</v>
      </c>
      <c r="G200">
        <v>3000.85</v>
      </c>
      <c r="H200" t="s">
        <v>13</v>
      </c>
      <c r="I200" s="2">
        <v>44262</v>
      </c>
      <c r="J200" t="s">
        <v>50</v>
      </c>
      <c r="K200" s="4">
        <f>Table1[[#This Row],[Quantity]]*Table1[[#This Row],[Price]]</f>
        <v>15004.25</v>
      </c>
      <c r="L200" t="str">
        <f>IF(Table1[[#This Row],[Age]]&lt;25,"18-24",IF(Table1[[#This Row],[Age]]&lt;35,"25-34",IF(Table1[[#This Row],[Age]]&lt;45,"35-44",IF(Table1[[#This Row],[Age]]&lt;55,"45-54","55+"))))</f>
        <v>25-34</v>
      </c>
      <c r="M200" t="str">
        <f>TEXT(Table1[[#This Row],[Invoice_date]],"mmm")</f>
        <v>Mar</v>
      </c>
      <c r="N200">
        <f>YEAR(Table1[[#This Row],[Invoice_date]])</f>
        <v>2021</v>
      </c>
    </row>
    <row r="201" spans="1:14" x14ac:dyDescent="0.25">
      <c r="A201" t="s">
        <v>667</v>
      </c>
      <c r="B201" t="s">
        <v>668</v>
      </c>
      <c r="C201" t="s">
        <v>12</v>
      </c>
      <c r="D201">
        <v>26</v>
      </c>
      <c r="E201" t="s">
        <v>27</v>
      </c>
      <c r="F201">
        <v>1</v>
      </c>
      <c r="G201">
        <v>5.23</v>
      </c>
      <c r="H201" t="s">
        <v>13</v>
      </c>
      <c r="I201" s="2">
        <v>44915</v>
      </c>
      <c r="J201" t="s">
        <v>43</v>
      </c>
      <c r="K201" s="4">
        <f>Table1[[#This Row],[Quantity]]*Table1[[#This Row],[Price]]</f>
        <v>5.23</v>
      </c>
      <c r="L201" t="str">
        <f>IF(Table1[[#This Row],[Age]]&lt;25,"18-24",IF(Table1[[#This Row],[Age]]&lt;35,"25-34",IF(Table1[[#This Row],[Age]]&lt;45,"35-44",IF(Table1[[#This Row],[Age]]&lt;55,"45-54","55+"))))</f>
        <v>25-34</v>
      </c>
      <c r="M201" t="str">
        <f>TEXT(Table1[[#This Row],[Invoice_date]],"mmm")</f>
        <v>Dec</v>
      </c>
      <c r="N201">
        <f>YEAR(Table1[[#This Row],[Invoice_date]])</f>
        <v>2022</v>
      </c>
    </row>
    <row r="202" spans="1:14" x14ac:dyDescent="0.25">
      <c r="A202" t="s">
        <v>669</v>
      </c>
      <c r="B202" t="s">
        <v>670</v>
      </c>
      <c r="C202" t="s">
        <v>12</v>
      </c>
      <c r="D202">
        <v>25</v>
      </c>
      <c r="E202" t="s">
        <v>49</v>
      </c>
      <c r="F202">
        <v>3</v>
      </c>
      <c r="G202">
        <v>107.52</v>
      </c>
      <c r="H202" t="s">
        <v>18</v>
      </c>
      <c r="I202" s="2">
        <v>44460</v>
      </c>
      <c r="J202" t="s">
        <v>33</v>
      </c>
      <c r="K202" s="4">
        <f>Table1[[#This Row],[Quantity]]*Table1[[#This Row],[Price]]</f>
        <v>322.56</v>
      </c>
      <c r="L202" t="str">
        <f>IF(Table1[[#This Row],[Age]]&lt;25,"18-24",IF(Table1[[#This Row],[Age]]&lt;35,"25-34",IF(Table1[[#This Row],[Age]]&lt;45,"35-44",IF(Table1[[#This Row],[Age]]&lt;55,"45-54","55+"))))</f>
        <v>25-34</v>
      </c>
      <c r="M202" t="str">
        <f>TEXT(Table1[[#This Row],[Invoice_date]],"mmm")</f>
        <v>Sep</v>
      </c>
      <c r="N202">
        <f>YEAR(Table1[[#This Row],[Invoice_date]])</f>
        <v>2021</v>
      </c>
    </row>
    <row r="203" spans="1:14" x14ac:dyDescent="0.25">
      <c r="A203" t="s">
        <v>675</v>
      </c>
      <c r="B203" t="s">
        <v>676</v>
      </c>
      <c r="C203" t="s">
        <v>12</v>
      </c>
      <c r="D203">
        <v>30</v>
      </c>
      <c r="E203" t="s">
        <v>46</v>
      </c>
      <c r="F203">
        <v>2</v>
      </c>
      <c r="G203">
        <v>23.46</v>
      </c>
      <c r="H203" t="s">
        <v>4</v>
      </c>
      <c r="I203" s="2">
        <v>44446</v>
      </c>
      <c r="J203" t="s">
        <v>43</v>
      </c>
      <c r="K203" s="4">
        <f>Table1[[#This Row],[Quantity]]*Table1[[#This Row],[Price]]</f>
        <v>46.92</v>
      </c>
      <c r="L203" t="str">
        <f>IF(Table1[[#This Row],[Age]]&lt;25,"18-24",IF(Table1[[#This Row],[Age]]&lt;35,"25-34",IF(Table1[[#This Row],[Age]]&lt;45,"35-44",IF(Table1[[#This Row],[Age]]&lt;55,"45-54","55+"))))</f>
        <v>25-34</v>
      </c>
      <c r="M203" t="str">
        <f>TEXT(Table1[[#This Row],[Invoice_date]],"mmm")</f>
        <v>Sep</v>
      </c>
      <c r="N203">
        <f>YEAR(Table1[[#This Row],[Invoice_date]])</f>
        <v>2021</v>
      </c>
    </row>
    <row r="204" spans="1:14" x14ac:dyDescent="0.25">
      <c r="A204" t="s">
        <v>679</v>
      </c>
      <c r="B204" t="s">
        <v>680</v>
      </c>
      <c r="C204" t="s">
        <v>12</v>
      </c>
      <c r="D204">
        <v>32</v>
      </c>
      <c r="E204" t="s">
        <v>3</v>
      </c>
      <c r="F204">
        <v>1</v>
      </c>
      <c r="G204">
        <v>300.08</v>
      </c>
      <c r="H204" t="s">
        <v>18</v>
      </c>
      <c r="I204" s="2">
        <v>44896</v>
      </c>
      <c r="J204" t="s">
        <v>63</v>
      </c>
      <c r="K204" s="4">
        <f>Table1[[#This Row],[Quantity]]*Table1[[#This Row],[Price]]</f>
        <v>300.08</v>
      </c>
      <c r="L204" t="str">
        <f>IF(Table1[[#This Row],[Age]]&lt;25,"18-24",IF(Table1[[#This Row],[Age]]&lt;35,"25-34",IF(Table1[[#This Row],[Age]]&lt;45,"35-44",IF(Table1[[#This Row],[Age]]&lt;55,"45-54","55+"))))</f>
        <v>25-34</v>
      </c>
      <c r="M204" t="str">
        <f>TEXT(Table1[[#This Row],[Invoice_date]],"mmm")</f>
        <v>Dec</v>
      </c>
      <c r="N204">
        <f>YEAR(Table1[[#This Row],[Invoice_date]])</f>
        <v>2022</v>
      </c>
    </row>
    <row r="205" spans="1:14" x14ac:dyDescent="0.25">
      <c r="A205" t="s">
        <v>695</v>
      </c>
      <c r="B205" t="s">
        <v>696</v>
      </c>
      <c r="C205" t="s">
        <v>12</v>
      </c>
      <c r="D205">
        <v>26</v>
      </c>
      <c r="E205" t="s">
        <v>27</v>
      </c>
      <c r="F205">
        <v>1</v>
      </c>
      <c r="G205">
        <v>5.23</v>
      </c>
      <c r="H205" t="s">
        <v>4</v>
      </c>
      <c r="I205" s="2">
        <v>44852</v>
      </c>
      <c r="J205" t="s">
        <v>33</v>
      </c>
      <c r="K205" s="4">
        <f>Table1[[#This Row],[Quantity]]*Table1[[#This Row],[Price]]</f>
        <v>5.23</v>
      </c>
      <c r="L205" t="str">
        <f>IF(Table1[[#This Row],[Age]]&lt;25,"18-24",IF(Table1[[#This Row],[Age]]&lt;35,"25-34",IF(Table1[[#This Row],[Age]]&lt;45,"35-44",IF(Table1[[#This Row],[Age]]&lt;55,"45-54","55+"))))</f>
        <v>25-34</v>
      </c>
      <c r="M205" t="str">
        <f>TEXT(Table1[[#This Row],[Invoice_date]],"mmm")</f>
        <v>Oct</v>
      </c>
      <c r="N205">
        <f>YEAR(Table1[[#This Row],[Invoice_date]])</f>
        <v>2022</v>
      </c>
    </row>
    <row r="206" spans="1:14" x14ac:dyDescent="0.25">
      <c r="A206" t="s">
        <v>699</v>
      </c>
      <c r="B206" t="s">
        <v>700</v>
      </c>
      <c r="C206" t="s">
        <v>12</v>
      </c>
      <c r="D206">
        <v>28</v>
      </c>
      <c r="E206" t="s">
        <v>49</v>
      </c>
      <c r="F206">
        <v>5</v>
      </c>
      <c r="G206">
        <v>179.2</v>
      </c>
      <c r="H206" t="s">
        <v>13</v>
      </c>
      <c r="I206" s="2">
        <v>44197</v>
      </c>
      <c r="J206" t="s">
        <v>33</v>
      </c>
      <c r="K206" s="4">
        <f>Table1[[#This Row],[Quantity]]*Table1[[#This Row],[Price]]</f>
        <v>896</v>
      </c>
      <c r="L206" t="str">
        <f>IF(Table1[[#This Row],[Age]]&lt;25,"18-24",IF(Table1[[#This Row],[Age]]&lt;35,"25-34",IF(Table1[[#This Row],[Age]]&lt;45,"35-44",IF(Table1[[#This Row],[Age]]&lt;55,"45-54","55+"))))</f>
        <v>25-34</v>
      </c>
      <c r="M206" t="str">
        <f>TEXT(Table1[[#This Row],[Invoice_date]],"mmm")</f>
        <v>Jan</v>
      </c>
      <c r="N206">
        <f>YEAR(Table1[[#This Row],[Invoice_date]])</f>
        <v>2021</v>
      </c>
    </row>
    <row r="207" spans="1:14" x14ac:dyDescent="0.25">
      <c r="A207" t="s">
        <v>709</v>
      </c>
      <c r="B207" t="s">
        <v>710</v>
      </c>
      <c r="C207" t="s">
        <v>12</v>
      </c>
      <c r="D207">
        <v>30</v>
      </c>
      <c r="E207" t="s">
        <v>8</v>
      </c>
      <c r="F207">
        <v>4</v>
      </c>
      <c r="G207">
        <v>162.63999999999999</v>
      </c>
      <c r="H207" t="s">
        <v>18</v>
      </c>
      <c r="I207" s="2">
        <v>44409</v>
      </c>
      <c r="J207" t="s">
        <v>24</v>
      </c>
      <c r="K207" s="4">
        <f>Table1[[#This Row],[Quantity]]*Table1[[#This Row],[Price]]</f>
        <v>650.55999999999995</v>
      </c>
      <c r="L207" t="str">
        <f>IF(Table1[[#This Row],[Age]]&lt;25,"18-24",IF(Table1[[#This Row],[Age]]&lt;35,"25-34",IF(Table1[[#This Row],[Age]]&lt;45,"35-44",IF(Table1[[#This Row],[Age]]&lt;55,"45-54","55+"))))</f>
        <v>25-34</v>
      </c>
      <c r="M207" t="str">
        <f>TEXT(Table1[[#This Row],[Invoice_date]],"mmm")</f>
        <v>Aug</v>
      </c>
      <c r="N207">
        <f>YEAR(Table1[[#This Row],[Invoice_date]])</f>
        <v>2021</v>
      </c>
    </row>
    <row r="208" spans="1:14" x14ac:dyDescent="0.25">
      <c r="A208" t="s">
        <v>723</v>
      </c>
      <c r="B208" t="s">
        <v>724</v>
      </c>
      <c r="C208" t="s">
        <v>2</v>
      </c>
      <c r="D208">
        <v>26</v>
      </c>
      <c r="E208" t="s">
        <v>27</v>
      </c>
      <c r="F208">
        <v>2</v>
      </c>
      <c r="G208">
        <v>10.46</v>
      </c>
      <c r="H208" t="s">
        <v>18</v>
      </c>
      <c r="I208" s="2">
        <v>44920</v>
      </c>
      <c r="J208" t="s">
        <v>9</v>
      </c>
      <c r="K208" s="4">
        <f>Table1[[#This Row],[Quantity]]*Table1[[#This Row],[Price]]</f>
        <v>20.92</v>
      </c>
      <c r="L208" t="str">
        <f>IF(Table1[[#This Row],[Age]]&lt;25,"18-24",IF(Table1[[#This Row],[Age]]&lt;35,"25-34",IF(Table1[[#This Row],[Age]]&lt;45,"35-44",IF(Table1[[#This Row],[Age]]&lt;55,"45-54","55+"))))</f>
        <v>25-34</v>
      </c>
      <c r="M208" t="str">
        <f>TEXT(Table1[[#This Row],[Invoice_date]],"mmm")</f>
        <v>Dec</v>
      </c>
      <c r="N208">
        <f>YEAR(Table1[[#This Row],[Invoice_date]])</f>
        <v>2022</v>
      </c>
    </row>
    <row r="209" spans="1:14" x14ac:dyDescent="0.25">
      <c r="A209" t="s">
        <v>725</v>
      </c>
      <c r="B209" t="s">
        <v>726</v>
      </c>
      <c r="C209" t="s">
        <v>12</v>
      </c>
      <c r="D209">
        <v>26</v>
      </c>
      <c r="E209" t="s">
        <v>8</v>
      </c>
      <c r="F209">
        <v>4</v>
      </c>
      <c r="G209">
        <v>162.63999999999999</v>
      </c>
      <c r="H209" t="s">
        <v>4</v>
      </c>
      <c r="I209" s="2">
        <v>44672</v>
      </c>
      <c r="J209" t="s">
        <v>63</v>
      </c>
      <c r="K209" s="4">
        <f>Table1[[#This Row],[Quantity]]*Table1[[#This Row],[Price]]</f>
        <v>650.55999999999995</v>
      </c>
      <c r="L209" t="str">
        <f>IF(Table1[[#This Row],[Age]]&lt;25,"18-24",IF(Table1[[#This Row],[Age]]&lt;35,"25-34",IF(Table1[[#This Row],[Age]]&lt;45,"35-44",IF(Table1[[#This Row],[Age]]&lt;55,"45-54","55+"))))</f>
        <v>25-34</v>
      </c>
      <c r="M209" t="str">
        <f>TEXT(Table1[[#This Row],[Invoice_date]],"mmm")</f>
        <v>Apr</v>
      </c>
      <c r="N209">
        <f>YEAR(Table1[[#This Row],[Invoice_date]])</f>
        <v>2022</v>
      </c>
    </row>
    <row r="210" spans="1:14" x14ac:dyDescent="0.25">
      <c r="A210" t="s">
        <v>727</v>
      </c>
      <c r="B210" t="s">
        <v>728</v>
      </c>
      <c r="C210" t="s">
        <v>2</v>
      </c>
      <c r="D210">
        <v>30</v>
      </c>
      <c r="E210" t="s">
        <v>3</v>
      </c>
      <c r="F210">
        <v>3</v>
      </c>
      <c r="G210">
        <v>900.24</v>
      </c>
      <c r="H210" t="s">
        <v>4</v>
      </c>
      <c r="I210" s="2">
        <v>44512</v>
      </c>
      <c r="J210" t="s">
        <v>33</v>
      </c>
      <c r="K210" s="4">
        <f>Table1[[#This Row],[Quantity]]*Table1[[#This Row],[Price]]</f>
        <v>2700.7200000000003</v>
      </c>
      <c r="L210" t="str">
        <f>IF(Table1[[#This Row],[Age]]&lt;25,"18-24",IF(Table1[[#This Row],[Age]]&lt;35,"25-34",IF(Table1[[#This Row],[Age]]&lt;45,"35-44",IF(Table1[[#This Row],[Age]]&lt;55,"45-54","55+"))))</f>
        <v>25-34</v>
      </c>
      <c r="M210" t="str">
        <f>TEXT(Table1[[#This Row],[Invoice_date]],"mmm")</f>
        <v>Nov</v>
      </c>
      <c r="N210">
        <f>YEAR(Table1[[#This Row],[Invoice_date]])</f>
        <v>2021</v>
      </c>
    </row>
    <row r="211" spans="1:14" x14ac:dyDescent="0.25">
      <c r="A211" t="s">
        <v>735</v>
      </c>
      <c r="B211" t="s">
        <v>736</v>
      </c>
      <c r="C211" t="s">
        <v>12</v>
      </c>
      <c r="D211">
        <v>34</v>
      </c>
      <c r="E211" t="s">
        <v>3</v>
      </c>
      <c r="F211">
        <v>1</v>
      </c>
      <c r="G211">
        <v>300.08</v>
      </c>
      <c r="H211" t="s">
        <v>13</v>
      </c>
      <c r="I211" s="2">
        <v>44794</v>
      </c>
      <c r="J211" t="s">
        <v>33</v>
      </c>
      <c r="K211" s="4">
        <f>Table1[[#This Row],[Quantity]]*Table1[[#This Row],[Price]]</f>
        <v>300.08</v>
      </c>
      <c r="L211" t="str">
        <f>IF(Table1[[#This Row],[Age]]&lt;25,"18-24",IF(Table1[[#This Row],[Age]]&lt;35,"25-34",IF(Table1[[#This Row],[Age]]&lt;45,"35-44",IF(Table1[[#This Row],[Age]]&lt;55,"45-54","55+"))))</f>
        <v>25-34</v>
      </c>
      <c r="M211" t="str">
        <f>TEXT(Table1[[#This Row],[Invoice_date]],"mmm")</f>
        <v>Aug</v>
      </c>
      <c r="N211">
        <f>YEAR(Table1[[#This Row],[Invoice_date]])</f>
        <v>2022</v>
      </c>
    </row>
    <row r="212" spans="1:14" x14ac:dyDescent="0.25">
      <c r="A212" t="s">
        <v>741</v>
      </c>
      <c r="B212" t="s">
        <v>742</v>
      </c>
      <c r="C212" t="s">
        <v>12</v>
      </c>
      <c r="D212">
        <v>31</v>
      </c>
      <c r="E212" t="s">
        <v>27</v>
      </c>
      <c r="F212">
        <v>1</v>
      </c>
      <c r="G212">
        <v>5.23</v>
      </c>
      <c r="H212" t="s">
        <v>4</v>
      </c>
      <c r="I212" s="2">
        <v>44364</v>
      </c>
      <c r="J212" t="s">
        <v>74</v>
      </c>
      <c r="K212" s="4">
        <f>Table1[[#This Row],[Quantity]]*Table1[[#This Row],[Price]]</f>
        <v>5.23</v>
      </c>
      <c r="L212" t="str">
        <f>IF(Table1[[#This Row],[Age]]&lt;25,"18-24",IF(Table1[[#This Row],[Age]]&lt;35,"25-34",IF(Table1[[#This Row],[Age]]&lt;45,"35-44",IF(Table1[[#This Row],[Age]]&lt;55,"45-54","55+"))))</f>
        <v>25-34</v>
      </c>
      <c r="M212" t="str">
        <f>TEXT(Table1[[#This Row],[Invoice_date]],"mmm")</f>
        <v>Jun</v>
      </c>
      <c r="N212">
        <f>YEAR(Table1[[#This Row],[Invoice_date]])</f>
        <v>2021</v>
      </c>
    </row>
    <row r="213" spans="1:14" x14ac:dyDescent="0.25">
      <c r="A213" t="s">
        <v>743</v>
      </c>
      <c r="B213" t="s">
        <v>744</v>
      </c>
      <c r="C213" t="s">
        <v>2</v>
      </c>
      <c r="D213">
        <v>25</v>
      </c>
      <c r="E213" t="s">
        <v>27</v>
      </c>
      <c r="F213">
        <v>1</v>
      </c>
      <c r="G213">
        <v>5.23</v>
      </c>
      <c r="H213" t="s">
        <v>4</v>
      </c>
      <c r="I213" s="2">
        <v>44917</v>
      </c>
      <c r="J213" t="s">
        <v>74</v>
      </c>
      <c r="K213" s="4">
        <f>Table1[[#This Row],[Quantity]]*Table1[[#This Row],[Price]]</f>
        <v>5.23</v>
      </c>
      <c r="L213" t="str">
        <f>IF(Table1[[#This Row],[Age]]&lt;25,"18-24",IF(Table1[[#This Row],[Age]]&lt;35,"25-34",IF(Table1[[#This Row],[Age]]&lt;45,"35-44",IF(Table1[[#This Row],[Age]]&lt;55,"45-54","55+"))))</f>
        <v>25-34</v>
      </c>
      <c r="M213" t="str">
        <f>TEXT(Table1[[#This Row],[Invoice_date]],"mmm")</f>
        <v>Dec</v>
      </c>
      <c r="N213">
        <f>YEAR(Table1[[#This Row],[Invoice_date]])</f>
        <v>2022</v>
      </c>
    </row>
    <row r="214" spans="1:14" x14ac:dyDescent="0.25">
      <c r="A214" t="s">
        <v>773</v>
      </c>
      <c r="B214" t="s">
        <v>774</v>
      </c>
      <c r="C214" t="s">
        <v>12</v>
      </c>
      <c r="D214">
        <v>25</v>
      </c>
      <c r="E214" t="s">
        <v>21</v>
      </c>
      <c r="F214">
        <v>2</v>
      </c>
      <c r="G214">
        <v>2100</v>
      </c>
      <c r="H214" t="s">
        <v>18</v>
      </c>
      <c r="I214" s="2">
        <v>44269</v>
      </c>
      <c r="J214" t="s">
        <v>24</v>
      </c>
      <c r="K214" s="4">
        <f>Table1[[#This Row],[Quantity]]*Table1[[#This Row],[Price]]</f>
        <v>4200</v>
      </c>
      <c r="L214" t="str">
        <f>IF(Table1[[#This Row],[Age]]&lt;25,"18-24",IF(Table1[[#This Row],[Age]]&lt;35,"25-34",IF(Table1[[#This Row],[Age]]&lt;45,"35-44",IF(Table1[[#This Row],[Age]]&lt;55,"45-54","55+"))))</f>
        <v>25-34</v>
      </c>
      <c r="M214" t="str">
        <f>TEXT(Table1[[#This Row],[Invoice_date]],"mmm")</f>
        <v>Mar</v>
      </c>
      <c r="N214">
        <f>YEAR(Table1[[#This Row],[Invoice_date]])</f>
        <v>2021</v>
      </c>
    </row>
    <row r="215" spans="1:14" x14ac:dyDescent="0.25">
      <c r="A215" t="s">
        <v>797</v>
      </c>
      <c r="B215" t="s">
        <v>798</v>
      </c>
      <c r="C215" t="s">
        <v>12</v>
      </c>
      <c r="D215">
        <v>31</v>
      </c>
      <c r="E215" t="s">
        <v>46</v>
      </c>
      <c r="F215">
        <v>4</v>
      </c>
      <c r="G215">
        <v>46.92</v>
      </c>
      <c r="H215" t="s">
        <v>18</v>
      </c>
      <c r="I215" s="2">
        <v>44970</v>
      </c>
      <c r="J215" t="s">
        <v>14</v>
      </c>
      <c r="K215" s="4">
        <f>Table1[[#This Row],[Quantity]]*Table1[[#This Row],[Price]]</f>
        <v>187.68</v>
      </c>
      <c r="L215" t="str">
        <f>IF(Table1[[#This Row],[Age]]&lt;25,"18-24",IF(Table1[[#This Row],[Age]]&lt;35,"25-34",IF(Table1[[#This Row],[Age]]&lt;45,"35-44",IF(Table1[[#This Row],[Age]]&lt;55,"45-54","55+"))))</f>
        <v>25-34</v>
      </c>
      <c r="M215" t="str">
        <f>TEXT(Table1[[#This Row],[Invoice_date]],"mmm")</f>
        <v>Feb</v>
      </c>
      <c r="N215">
        <f>YEAR(Table1[[#This Row],[Invoice_date]])</f>
        <v>2023</v>
      </c>
    </row>
    <row r="216" spans="1:14" x14ac:dyDescent="0.25">
      <c r="A216" t="s">
        <v>817</v>
      </c>
      <c r="B216" t="s">
        <v>818</v>
      </c>
      <c r="C216" t="s">
        <v>12</v>
      </c>
      <c r="D216">
        <v>27</v>
      </c>
      <c r="E216" t="s">
        <v>3</v>
      </c>
      <c r="F216">
        <v>1</v>
      </c>
      <c r="G216">
        <v>300.08</v>
      </c>
      <c r="H216" t="s">
        <v>13</v>
      </c>
      <c r="I216" s="2">
        <v>44261</v>
      </c>
      <c r="J216" t="s">
        <v>24</v>
      </c>
      <c r="K216" s="4">
        <f>Table1[[#This Row],[Quantity]]*Table1[[#This Row],[Price]]</f>
        <v>300.08</v>
      </c>
      <c r="L216" t="str">
        <f>IF(Table1[[#This Row],[Age]]&lt;25,"18-24",IF(Table1[[#This Row],[Age]]&lt;35,"25-34",IF(Table1[[#This Row],[Age]]&lt;45,"35-44",IF(Table1[[#This Row],[Age]]&lt;55,"45-54","55+"))))</f>
        <v>25-34</v>
      </c>
      <c r="M216" t="str">
        <f>TEXT(Table1[[#This Row],[Invoice_date]],"mmm")</f>
        <v>Mar</v>
      </c>
      <c r="N216">
        <f>YEAR(Table1[[#This Row],[Invoice_date]])</f>
        <v>2021</v>
      </c>
    </row>
    <row r="217" spans="1:14" x14ac:dyDescent="0.25">
      <c r="A217" t="s">
        <v>821</v>
      </c>
      <c r="B217" t="s">
        <v>822</v>
      </c>
      <c r="C217" t="s">
        <v>12</v>
      </c>
      <c r="D217">
        <v>27</v>
      </c>
      <c r="E217" t="s">
        <v>46</v>
      </c>
      <c r="F217">
        <v>1</v>
      </c>
      <c r="G217">
        <v>11.73</v>
      </c>
      <c r="H217" t="s">
        <v>4</v>
      </c>
      <c r="I217" s="2">
        <v>44252</v>
      </c>
      <c r="J217" t="s">
        <v>14</v>
      </c>
      <c r="K217" s="4">
        <f>Table1[[#This Row],[Quantity]]*Table1[[#This Row],[Price]]</f>
        <v>11.73</v>
      </c>
      <c r="L217" t="str">
        <f>IF(Table1[[#This Row],[Age]]&lt;25,"18-24",IF(Table1[[#This Row],[Age]]&lt;35,"25-34",IF(Table1[[#This Row],[Age]]&lt;45,"35-44",IF(Table1[[#This Row],[Age]]&lt;55,"45-54","55+"))))</f>
        <v>25-34</v>
      </c>
      <c r="M217" t="str">
        <f>TEXT(Table1[[#This Row],[Invoice_date]],"mmm")</f>
        <v>Feb</v>
      </c>
      <c r="N217">
        <f>YEAR(Table1[[#This Row],[Invoice_date]])</f>
        <v>2021</v>
      </c>
    </row>
    <row r="218" spans="1:14" x14ac:dyDescent="0.25">
      <c r="A218" t="s">
        <v>837</v>
      </c>
      <c r="B218" t="s">
        <v>838</v>
      </c>
      <c r="C218" t="s">
        <v>12</v>
      </c>
      <c r="D218">
        <v>26</v>
      </c>
      <c r="E218" t="s">
        <v>8</v>
      </c>
      <c r="F218">
        <v>2</v>
      </c>
      <c r="G218">
        <v>81.319999999999993</v>
      </c>
      <c r="H218" t="s">
        <v>4</v>
      </c>
      <c r="I218" s="2">
        <v>44218</v>
      </c>
      <c r="J218" t="s">
        <v>50</v>
      </c>
      <c r="K218" s="4">
        <f>Table1[[#This Row],[Quantity]]*Table1[[#This Row],[Price]]</f>
        <v>162.63999999999999</v>
      </c>
      <c r="L218" t="str">
        <f>IF(Table1[[#This Row],[Age]]&lt;25,"18-24",IF(Table1[[#This Row],[Age]]&lt;35,"25-34",IF(Table1[[#This Row],[Age]]&lt;45,"35-44",IF(Table1[[#This Row],[Age]]&lt;55,"45-54","55+"))))</f>
        <v>25-34</v>
      </c>
      <c r="M218" t="str">
        <f>TEXT(Table1[[#This Row],[Invoice_date]],"mmm")</f>
        <v>Jan</v>
      </c>
      <c r="N218">
        <f>YEAR(Table1[[#This Row],[Invoice_date]])</f>
        <v>2021</v>
      </c>
    </row>
    <row r="219" spans="1:14" x14ac:dyDescent="0.25">
      <c r="A219" t="s">
        <v>865</v>
      </c>
      <c r="B219" t="s">
        <v>866</v>
      </c>
      <c r="C219" t="s">
        <v>12</v>
      </c>
      <c r="D219">
        <v>29</v>
      </c>
      <c r="E219" t="s">
        <v>8</v>
      </c>
      <c r="F219">
        <v>5</v>
      </c>
      <c r="G219">
        <v>203.3</v>
      </c>
      <c r="H219" t="s">
        <v>18</v>
      </c>
      <c r="I219" s="2">
        <v>44676</v>
      </c>
      <c r="J219" t="s">
        <v>24</v>
      </c>
      <c r="K219" s="4">
        <f>Table1[[#This Row],[Quantity]]*Table1[[#This Row],[Price]]</f>
        <v>1016.5</v>
      </c>
      <c r="L219" t="str">
        <f>IF(Table1[[#This Row],[Age]]&lt;25,"18-24",IF(Table1[[#This Row],[Age]]&lt;35,"25-34",IF(Table1[[#This Row],[Age]]&lt;45,"35-44",IF(Table1[[#This Row],[Age]]&lt;55,"45-54","55+"))))</f>
        <v>25-34</v>
      </c>
      <c r="M219" t="str">
        <f>TEXT(Table1[[#This Row],[Invoice_date]],"mmm")</f>
        <v>Apr</v>
      </c>
      <c r="N219">
        <f>YEAR(Table1[[#This Row],[Invoice_date]])</f>
        <v>2022</v>
      </c>
    </row>
    <row r="220" spans="1:14" x14ac:dyDescent="0.25">
      <c r="A220" t="s">
        <v>873</v>
      </c>
      <c r="B220" t="s">
        <v>874</v>
      </c>
      <c r="C220" t="s">
        <v>12</v>
      </c>
      <c r="D220">
        <v>27</v>
      </c>
      <c r="E220" t="s">
        <v>8</v>
      </c>
      <c r="F220">
        <v>2</v>
      </c>
      <c r="G220">
        <v>81.319999999999993</v>
      </c>
      <c r="H220" t="s">
        <v>18</v>
      </c>
      <c r="I220" s="2">
        <v>44818</v>
      </c>
      <c r="J220" t="s">
        <v>14</v>
      </c>
      <c r="K220" s="4">
        <f>Table1[[#This Row],[Quantity]]*Table1[[#This Row],[Price]]</f>
        <v>162.63999999999999</v>
      </c>
      <c r="L220" t="str">
        <f>IF(Table1[[#This Row],[Age]]&lt;25,"18-24",IF(Table1[[#This Row],[Age]]&lt;35,"25-34",IF(Table1[[#This Row],[Age]]&lt;45,"35-44",IF(Table1[[#This Row],[Age]]&lt;55,"45-54","55+"))))</f>
        <v>25-34</v>
      </c>
      <c r="M220" t="str">
        <f>TEXT(Table1[[#This Row],[Invoice_date]],"mmm")</f>
        <v>Sep</v>
      </c>
      <c r="N220">
        <f>YEAR(Table1[[#This Row],[Invoice_date]])</f>
        <v>2022</v>
      </c>
    </row>
    <row r="221" spans="1:14" x14ac:dyDescent="0.25">
      <c r="A221" t="s">
        <v>875</v>
      </c>
      <c r="B221" t="s">
        <v>876</v>
      </c>
      <c r="C221" t="s">
        <v>12</v>
      </c>
      <c r="D221">
        <v>32</v>
      </c>
      <c r="E221" t="s">
        <v>3</v>
      </c>
      <c r="F221">
        <v>5</v>
      </c>
      <c r="G221">
        <v>1500.4</v>
      </c>
      <c r="H221" t="s">
        <v>4</v>
      </c>
      <c r="I221" s="2">
        <v>44758</v>
      </c>
      <c r="J221" t="s">
        <v>9</v>
      </c>
      <c r="K221" s="4">
        <f>Table1[[#This Row],[Quantity]]*Table1[[#This Row],[Price]]</f>
        <v>7502</v>
      </c>
      <c r="L221" t="str">
        <f>IF(Table1[[#This Row],[Age]]&lt;25,"18-24",IF(Table1[[#This Row],[Age]]&lt;35,"25-34",IF(Table1[[#This Row],[Age]]&lt;45,"35-44",IF(Table1[[#This Row],[Age]]&lt;55,"45-54","55+"))))</f>
        <v>25-34</v>
      </c>
      <c r="M221" t="str">
        <f>TEXT(Table1[[#This Row],[Invoice_date]],"mmm")</f>
        <v>Jul</v>
      </c>
      <c r="N221">
        <f>YEAR(Table1[[#This Row],[Invoice_date]])</f>
        <v>2022</v>
      </c>
    </row>
    <row r="222" spans="1:14" x14ac:dyDescent="0.25">
      <c r="A222" t="s">
        <v>897</v>
      </c>
      <c r="B222" t="s">
        <v>898</v>
      </c>
      <c r="C222" t="s">
        <v>2</v>
      </c>
      <c r="D222">
        <v>30</v>
      </c>
      <c r="E222" t="s">
        <v>17</v>
      </c>
      <c r="F222">
        <v>5</v>
      </c>
      <c r="G222">
        <v>75.75</v>
      </c>
      <c r="H222" t="s">
        <v>4</v>
      </c>
      <c r="I222" s="2">
        <v>44529</v>
      </c>
      <c r="J222" t="s">
        <v>14</v>
      </c>
      <c r="K222" s="4">
        <f>Table1[[#This Row],[Quantity]]*Table1[[#This Row],[Price]]</f>
        <v>378.75</v>
      </c>
      <c r="L222" t="str">
        <f>IF(Table1[[#This Row],[Age]]&lt;25,"18-24",IF(Table1[[#This Row],[Age]]&lt;35,"25-34",IF(Table1[[#This Row],[Age]]&lt;45,"35-44",IF(Table1[[#This Row],[Age]]&lt;55,"45-54","55+"))))</f>
        <v>25-34</v>
      </c>
      <c r="M222" t="str">
        <f>TEXT(Table1[[#This Row],[Invoice_date]],"mmm")</f>
        <v>Nov</v>
      </c>
      <c r="N222">
        <f>YEAR(Table1[[#This Row],[Invoice_date]])</f>
        <v>2021</v>
      </c>
    </row>
    <row r="223" spans="1:14" x14ac:dyDescent="0.25">
      <c r="A223" t="s">
        <v>899</v>
      </c>
      <c r="B223" t="s">
        <v>900</v>
      </c>
      <c r="C223" t="s">
        <v>12</v>
      </c>
      <c r="D223">
        <v>29</v>
      </c>
      <c r="E223" t="s">
        <v>49</v>
      </c>
      <c r="F223">
        <v>2</v>
      </c>
      <c r="G223">
        <v>71.680000000000007</v>
      </c>
      <c r="H223" t="s">
        <v>18</v>
      </c>
      <c r="I223" s="2">
        <v>44777</v>
      </c>
      <c r="J223" t="s">
        <v>50</v>
      </c>
      <c r="K223" s="4">
        <f>Table1[[#This Row],[Quantity]]*Table1[[#This Row],[Price]]</f>
        <v>143.36000000000001</v>
      </c>
      <c r="L223" t="str">
        <f>IF(Table1[[#This Row],[Age]]&lt;25,"18-24",IF(Table1[[#This Row],[Age]]&lt;35,"25-34",IF(Table1[[#This Row],[Age]]&lt;45,"35-44",IF(Table1[[#This Row],[Age]]&lt;55,"45-54","55+"))))</f>
        <v>25-34</v>
      </c>
      <c r="M223" t="str">
        <f>TEXT(Table1[[#This Row],[Invoice_date]],"mmm")</f>
        <v>Aug</v>
      </c>
      <c r="N223">
        <f>YEAR(Table1[[#This Row],[Invoice_date]])</f>
        <v>2022</v>
      </c>
    </row>
    <row r="224" spans="1:14" x14ac:dyDescent="0.25">
      <c r="A224" t="s">
        <v>901</v>
      </c>
      <c r="B224" t="s">
        <v>902</v>
      </c>
      <c r="C224" t="s">
        <v>12</v>
      </c>
      <c r="D224">
        <v>29</v>
      </c>
      <c r="E224" t="s">
        <v>8</v>
      </c>
      <c r="F224">
        <v>4</v>
      </c>
      <c r="G224">
        <v>162.63999999999999</v>
      </c>
      <c r="H224" t="s">
        <v>18</v>
      </c>
      <c r="I224" s="2">
        <v>44444</v>
      </c>
      <c r="J224" t="s">
        <v>14</v>
      </c>
      <c r="K224" s="4">
        <f>Table1[[#This Row],[Quantity]]*Table1[[#This Row],[Price]]</f>
        <v>650.55999999999995</v>
      </c>
      <c r="L224" t="str">
        <f>IF(Table1[[#This Row],[Age]]&lt;25,"18-24",IF(Table1[[#This Row],[Age]]&lt;35,"25-34",IF(Table1[[#This Row],[Age]]&lt;45,"35-44",IF(Table1[[#This Row],[Age]]&lt;55,"45-54","55+"))))</f>
        <v>25-34</v>
      </c>
      <c r="M224" t="str">
        <f>TEXT(Table1[[#This Row],[Invoice_date]],"mmm")</f>
        <v>Sep</v>
      </c>
      <c r="N224">
        <f>YEAR(Table1[[#This Row],[Invoice_date]])</f>
        <v>2021</v>
      </c>
    </row>
    <row r="225" spans="1:14" x14ac:dyDescent="0.25">
      <c r="A225" t="s">
        <v>907</v>
      </c>
      <c r="B225" t="s">
        <v>908</v>
      </c>
      <c r="C225" t="s">
        <v>2</v>
      </c>
      <c r="D225">
        <v>33</v>
      </c>
      <c r="E225" t="s">
        <v>8</v>
      </c>
      <c r="F225">
        <v>4</v>
      </c>
      <c r="G225">
        <v>162.63999999999999</v>
      </c>
      <c r="H225" t="s">
        <v>18</v>
      </c>
      <c r="I225" s="2">
        <v>44535</v>
      </c>
      <c r="J225" t="s">
        <v>24</v>
      </c>
      <c r="K225" s="4">
        <f>Table1[[#This Row],[Quantity]]*Table1[[#This Row],[Price]]</f>
        <v>650.55999999999995</v>
      </c>
      <c r="L225" t="str">
        <f>IF(Table1[[#This Row],[Age]]&lt;25,"18-24",IF(Table1[[#This Row],[Age]]&lt;35,"25-34",IF(Table1[[#This Row],[Age]]&lt;45,"35-44",IF(Table1[[#This Row],[Age]]&lt;55,"45-54","55+"))))</f>
        <v>25-34</v>
      </c>
      <c r="M225" t="str">
        <f>TEXT(Table1[[#This Row],[Invoice_date]],"mmm")</f>
        <v>Dec</v>
      </c>
      <c r="N225">
        <f>YEAR(Table1[[#This Row],[Invoice_date]])</f>
        <v>2021</v>
      </c>
    </row>
    <row r="226" spans="1:14" x14ac:dyDescent="0.25">
      <c r="A226" t="s">
        <v>935</v>
      </c>
      <c r="B226" t="s">
        <v>936</v>
      </c>
      <c r="C226" t="s">
        <v>12</v>
      </c>
      <c r="D226">
        <v>29</v>
      </c>
      <c r="E226" t="s">
        <v>17</v>
      </c>
      <c r="F226">
        <v>1</v>
      </c>
      <c r="G226">
        <v>15.15</v>
      </c>
      <c r="H226" t="s">
        <v>18</v>
      </c>
      <c r="I226" s="2">
        <v>44941</v>
      </c>
      <c r="J226" t="s">
        <v>24</v>
      </c>
      <c r="K226" s="4">
        <f>Table1[[#This Row],[Quantity]]*Table1[[#This Row],[Price]]</f>
        <v>15.15</v>
      </c>
      <c r="L226" t="str">
        <f>IF(Table1[[#This Row],[Age]]&lt;25,"18-24",IF(Table1[[#This Row],[Age]]&lt;35,"25-34",IF(Table1[[#This Row],[Age]]&lt;45,"35-44",IF(Table1[[#This Row],[Age]]&lt;55,"45-54","55+"))))</f>
        <v>25-34</v>
      </c>
      <c r="M226" t="str">
        <f>TEXT(Table1[[#This Row],[Invoice_date]],"mmm")</f>
        <v>Jan</v>
      </c>
      <c r="N226">
        <f>YEAR(Table1[[#This Row],[Invoice_date]])</f>
        <v>2023</v>
      </c>
    </row>
    <row r="227" spans="1:14" x14ac:dyDescent="0.25">
      <c r="A227" t="s">
        <v>953</v>
      </c>
      <c r="B227" t="s">
        <v>954</v>
      </c>
      <c r="C227" t="s">
        <v>12</v>
      </c>
      <c r="D227">
        <v>32</v>
      </c>
      <c r="E227" t="s">
        <v>3</v>
      </c>
      <c r="F227">
        <v>1</v>
      </c>
      <c r="G227">
        <v>300.08</v>
      </c>
      <c r="H227" t="s">
        <v>13</v>
      </c>
      <c r="I227" s="2">
        <v>44267</v>
      </c>
      <c r="J227" t="s">
        <v>33</v>
      </c>
      <c r="K227" s="4">
        <f>Table1[[#This Row],[Quantity]]*Table1[[#This Row],[Price]]</f>
        <v>300.08</v>
      </c>
      <c r="L227" t="str">
        <f>IF(Table1[[#This Row],[Age]]&lt;25,"18-24",IF(Table1[[#This Row],[Age]]&lt;35,"25-34",IF(Table1[[#This Row],[Age]]&lt;45,"35-44",IF(Table1[[#This Row],[Age]]&lt;55,"45-54","55+"))))</f>
        <v>25-34</v>
      </c>
      <c r="M227" t="str">
        <f>TEXT(Table1[[#This Row],[Invoice_date]],"mmm")</f>
        <v>Mar</v>
      </c>
      <c r="N227">
        <f>YEAR(Table1[[#This Row],[Invoice_date]])</f>
        <v>2021</v>
      </c>
    </row>
    <row r="228" spans="1:14" x14ac:dyDescent="0.25">
      <c r="A228" t="s">
        <v>971</v>
      </c>
      <c r="B228" t="s">
        <v>972</v>
      </c>
      <c r="C228" t="s">
        <v>12</v>
      </c>
      <c r="D228">
        <v>26</v>
      </c>
      <c r="E228" t="s">
        <v>46</v>
      </c>
      <c r="F228">
        <v>1</v>
      </c>
      <c r="G228">
        <v>11.73</v>
      </c>
      <c r="H228" t="s">
        <v>18</v>
      </c>
      <c r="I228" s="2">
        <v>44506</v>
      </c>
      <c r="J228" t="s">
        <v>63</v>
      </c>
      <c r="K228" s="4">
        <f>Table1[[#This Row],[Quantity]]*Table1[[#This Row],[Price]]</f>
        <v>11.73</v>
      </c>
      <c r="L228" t="str">
        <f>IF(Table1[[#This Row],[Age]]&lt;25,"18-24",IF(Table1[[#This Row],[Age]]&lt;35,"25-34",IF(Table1[[#This Row],[Age]]&lt;45,"35-44",IF(Table1[[#This Row],[Age]]&lt;55,"45-54","55+"))))</f>
        <v>25-34</v>
      </c>
      <c r="M228" t="str">
        <f>TEXT(Table1[[#This Row],[Invoice_date]],"mmm")</f>
        <v>Nov</v>
      </c>
      <c r="N228">
        <f>YEAR(Table1[[#This Row],[Invoice_date]])</f>
        <v>2021</v>
      </c>
    </row>
    <row r="229" spans="1:14" x14ac:dyDescent="0.25">
      <c r="A229" t="s">
        <v>985</v>
      </c>
      <c r="B229" t="s">
        <v>986</v>
      </c>
      <c r="C229" t="s">
        <v>12</v>
      </c>
      <c r="D229">
        <v>25</v>
      </c>
      <c r="E229" t="s">
        <v>8</v>
      </c>
      <c r="F229">
        <v>5</v>
      </c>
      <c r="G229">
        <v>203.3</v>
      </c>
      <c r="H229" t="s">
        <v>13</v>
      </c>
      <c r="I229" s="2">
        <v>44717</v>
      </c>
      <c r="J229" t="s">
        <v>33</v>
      </c>
      <c r="K229" s="4">
        <f>Table1[[#This Row],[Quantity]]*Table1[[#This Row],[Price]]</f>
        <v>1016.5</v>
      </c>
      <c r="L229" t="str">
        <f>IF(Table1[[#This Row],[Age]]&lt;25,"18-24",IF(Table1[[#This Row],[Age]]&lt;35,"25-34",IF(Table1[[#This Row],[Age]]&lt;45,"35-44",IF(Table1[[#This Row],[Age]]&lt;55,"45-54","55+"))))</f>
        <v>25-34</v>
      </c>
      <c r="M229" t="str">
        <f>TEXT(Table1[[#This Row],[Invoice_date]],"mmm")</f>
        <v>Jun</v>
      </c>
      <c r="N229">
        <f>YEAR(Table1[[#This Row],[Invoice_date]])</f>
        <v>2022</v>
      </c>
    </row>
    <row r="230" spans="1:14" x14ac:dyDescent="0.25">
      <c r="A230" t="s">
        <v>993</v>
      </c>
      <c r="B230" t="s">
        <v>994</v>
      </c>
      <c r="C230" t="s">
        <v>12</v>
      </c>
      <c r="D230">
        <v>32</v>
      </c>
      <c r="E230" t="s">
        <v>27</v>
      </c>
      <c r="F230">
        <v>2</v>
      </c>
      <c r="G230">
        <v>10.46</v>
      </c>
      <c r="H230" t="s">
        <v>18</v>
      </c>
      <c r="I230" s="2">
        <v>44959</v>
      </c>
      <c r="J230" t="s">
        <v>33</v>
      </c>
      <c r="K230" s="4">
        <f>Table1[[#This Row],[Quantity]]*Table1[[#This Row],[Price]]</f>
        <v>20.92</v>
      </c>
      <c r="L230" t="str">
        <f>IF(Table1[[#This Row],[Age]]&lt;25,"18-24",IF(Table1[[#This Row],[Age]]&lt;35,"25-34",IF(Table1[[#This Row],[Age]]&lt;45,"35-44",IF(Table1[[#This Row],[Age]]&lt;55,"45-54","55+"))))</f>
        <v>25-34</v>
      </c>
      <c r="M230" t="str">
        <f>TEXT(Table1[[#This Row],[Invoice_date]],"mmm")</f>
        <v>Feb</v>
      </c>
      <c r="N230">
        <f>YEAR(Table1[[#This Row],[Invoice_date]])</f>
        <v>2023</v>
      </c>
    </row>
    <row r="231" spans="1:14" x14ac:dyDescent="0.25">
      <c r="A231" t="s">
        <v>1017</v>
      </c>
      <c r="B231" t="s">
        <v>1018</v>
      </c>
      <c r="C231" t="s">
        <v>12</v>
      </c>
      <c r="D231">
        <v>30</v>
      </c>
      <c r="E231" t="s">
        <v>3</v>
      </c>
      <c r="F231">
        <v>2</v>
      </c>
      <c r="G231">
        <v>600.16</v>
      </c>
      <c r="H231" t="s">
        <v>4</v>
      </c>
      <c r="I231" s="2">
        <v>44951</v>
      </c>
      <c r="J231" t="s">
        <v>14</v>
      </c>
      <c r="K231" s="4">
        <f>Table1[[#This Row],[Quantity]]*Table1[[#This Row],[Price]]</f>
        <v>1200.32</v>
      </c>
      <c r="L231" t="str">
        <f>IF(Table1[[#This Row],[Age]]&lt;25,"18-24",IF(Table1[[#This Row],[Age]]&lt;35,"25-34",IF(Table1[[#This Row],[Age]]&lt;45,"35-44",IF(Table1[[#This Row],[Age]]&lt;55,"45-54","55+"))))</f>
        <v>25-34</v>
      </c>
      <c r="M231" t="str">
        <f>TEXT(Table1[[#This Row],[Invoice_date]],"mmm")</f>
        <v>Jan</v>
      </c>
      <c r="N231">
        <f>YEAR(Table1[[#This Row],[Invoice_date]])</f>
        <v>2023</v>
      </c>
    </row>
    <row r="232" spans="1:14" x14ac:dyDescent="0.25">
      <c r="A232" t="s">
        <v>1019</v>
      </c>
      <c r="B232" t="s">
        <v>1020</v>
      </c>
      <c r="C232" t="s">
        <v>2</v>
      </c>
      <c r="D232">
        <v>25</v>
      </c>
      <c r="E232" t="s">
        <v>3</v>
      </c>
      <c r="F232">
        <v>1</v>
      </c>
      <c r="G232">
        <v>300.08</v>
      </c>
      <c r="H232" t="s">
        <v>4</v>
      </c>
      <c r="I232" s="2">
        <v>44528</v>
      </c>
      <c r="J232" t="s">
        <v>14</v>
      </c>
      <c r="K232" s="4">
        <f>Table1[[#This Row],[Quantity]]*Table1[[#This Row],[Price]]</f>
        <v>300.08</v>
      </c>
      <c r="L232" t="str">
        <f>IF(Table1[[#This Row],[Age]]&lt;25,"18-24",IF(Table1[[#This Row],[Age]]&lt;35,"25-34",IF(Table1[[#This Row],[Age]]&lt;45,"35-44",IF(Table1[[#This Row],[Age]]&lt;55,"45-54","55+"))))</f>
        <v>25-34</v>
      </c>
      <c r="M232" t="str">
        <f>TEXT(Table1[[#This Row],[Invoice_date]],"mmm")</f>
        <v>Nov</v>
      </c>
      <c r="N232">
        <f>YEAR(Table1[[#This Row],[Invoice_date]])</f>
        <v>2021</v>
      </c>
    </row>
    <row r="233" spans="1:14" x14ac:dyDescent="0.25">
      <c r="A233" t="s">
        <v>1039</v>
      </c>
      <c r="B233" t="s">
        <v>1040</v>
      </c>
      <c r="C233" t="s">
        <v>12</v>
      </c>
      <c r="D233">
        <v>27</v>
      </c>
      <c r="E233" t="s">
        <v>21</v>
      </c>
      <c r="F233">
        <v>2</v>
      </c>
      <c r="G233">
        <v>2100</v>
      </c>
      <c r="H233" t="s">
        <v>4</v>
      </c>
      <c r="I233" s="2">
        <v>44764</v>
      </c>
      <c r="J233" t="s">
        <v>24</v>
      </c>
      <c r="K233" s="4">
        <f>Table1[[#This Row],[Quantity]]*Table1[[#This Row],[Price]]</f>
        <v>4200</v>
      </c>
      <c r="L233" t="str">
        <f>IF(Table1[[#This Row],[Age]]&lt;25,"18-24",IF(Table1[[#This Row],[Age]]&lt;35,"25-34",IF(Table1[[#This Row],[Age]]&lt;45,"35-44",IF(Table1[[#This Row],[Age]]&lt;55,"45-54","55+"))))</f>
        <v>25-34</v>
      </c>
      <c r="M233" t="str">
        <f>TEXT(Table1[[#This Row],[Invoice_date]],"mmm")</f>
        <v>Jul</v>
      </c>
      <c r="N233">
        <f>YEAR(Table1[[#This Row],[Invoice_date]])</f>
        <v>2022</v>
      </c>
    </row>
    <row r="234" spans="1:14" x14ac:dyDescent="0.25">
      <c r="A234" t="s">
        <v>1059</v>
      </c>
      <c r="B234" t="s">
        <v>1060</v>
      </c>
      <c r="C234" t="s">
        <v>2</v>
      </c>
      <c r="D234">
        <v>32</v>
      </c>
      <c r="E234" t="s">
        <v>49</v>
      </c>
      <c r="F234">
        <v>3</v>
      </c>
      <c r="G234">
        <v>107.52</v>
      </c>
      <c r="H234" t="s">
        <v>18</v>
      </c>
      <c r="I234" s="2">
        <v>44774</v>
      </c>
      <c r="J234" t="s">
        <v>9</v>
      </c>
      <c r="K234" s="4">
        <f>Table1[[#This Row],[Quantity]]*Table1[[#This Row],[Price]]</f>
        <v>322.56</v>
      </c>
      <c r="L234" t="str">
        <f>IF(Table1[[#This Row],[Age]]&lt;25,"18-24",IF(Table1[[#This Row],[Age]]&lt;35,"25-34",IF(Table1[[#This Row],[Age]]&lt;45,"35-44",IF(Table1[[#This Row],[Age]]&lt;55,"45-54","55+"))))</f>
        <v>25-34</v>
      </c>
      <c r="M234" t="str">
        <f>TEXT(Table1[[#This Row],[Invoice_date]],"mmm")</f>
        <v>Aug</v>
      </c>
      <c r="N234">
        <f>YEAR(Table1[[#This Row],[Invoice_date]])</f>
        <v>2022</v>
      </c>
    </row>
    <row r="235" spans="1:14" x14ac:dyDescent="0.25">
      <c r="A235" t="s">
        <v>1061</v>
      </c>
      <c r="B235" t="s">
        <v>1062</v>
      </c>
      <c r="C235" t="s">
        <v>12</v>
      </c>
      <c r="D235">
        <v>34</v>
      </c>
      <c r="E235" t="s">
        <v>3</v>
      </c>
      <c r="F235">
        <v>1</v>
      </c>
      <c r="G235">
        <v>300.08</v>
      </c>
      <c r="H235" t="s">
        <v>4</v>
      </c>
      <c r="I235" s="2">
        <v>44229</v>
      </c>
      <c r="J235" t="s">
        <v>50</v>
      </c>
      <c r="K235" s="4">
        <f>Table1[[#This Row],[Quantity]]*Table1[[#This Row],[Price]]</f>
        <v>300.08</v>
      </c>
      <c r="L235" t="str">
        <f>IF(Table1[[#This Row],[Age]]&lt;25,"18-24",IF(Table1[[#This Row],[Age]]&lt;35,"25-34",IF(Table1[[#This Row],[Age]]&lt;45,"35-44",IF(Table1[[#This Row],[Age]]&lt;55,"45-54","55+"))))</f>
        <v>25-34</v>
      </c>
      <c r="M235" t="str">
        <f>TEXT(Table1[[#This Row],[Invoice_date]],"mmm")</f>
        <v>Feb</v>
      </c>
      <c r="N235">
        <f>YEAR(Table1[[#This Row],[Invoice_date]])</f>
        <v>2021</v>
      </c>
    </row>
    <row r="236" spans="1:14" x14ac:dyDescent="0.25">
      <c r="A236" t="s">
        <v>1075</v>
      </c>
      <c r="B236" t="s">
        <v>1076</v>
      </c>
      <c r="C236" t="s">
        <v>12</v>
      </c>
      <c r="D236">
        <v>25</v>
      </c>
      <c r="E236" t="s">
        <v>46</v>
      </c>
      <c r="F236">
        <v>5</v>
      </c>
      <c r="G236">
        <v>58.65</v>
      </c>
      <c r="H236" t="s">
        <v>18</v>
      </c>
      <c r="I236" s="2">
        <v>44801</v>
      </c>
      <c r="J236" t="s">
        <v>14</v>
      </c>
      <c r="K236" s="4">
        <f>Table1[[#This Row],[Quantity]]*Table1[[#This Row],[Price]]</f>
        <v>293.25</v>
      </c>
      <c r="L236" t="str">
        <f>IF(Table1[[#This Row],[Age]]&lt;25,"18-24",IF(Table1[[#This Row],[Age]]&lt;35,"25-34",IF(Table1[[#This Row],[Age]]&lt;45,"35-44",IF(Table1[[#This Row],[Age]]&lt;55,"45-54","55+"))))</f>
        <v>25-34</v>
      </c>
      <c r="M236" t="str">
        <f>TEXT(Table1[[#This Row],[Invoice_date]],"mmm")</f>
        <v>Aug</v>
      </c>
      <c r="N236">
        <f>YEAR(Table1[[#This Row],[Invoice_date]])</f>
        <v>2022</v>
      </c>
    </row>
    <row r="237" spans="1:14" x14ac:dyDescent="0.25">
      <c r="A237" t="s">
        <v>1077</v>
      </c>
      <c r="B237" t="s">
        <v>1078</v>
      </c>
      <c r="C237" t="s">
        <v>12</v>
      </c>
      <c r="D237">
        <v>30</v>
      </c>
      <c r="E237" t="s">
        <v>3</v>
      </c>
      <c r="F237">
        <v>3</v>
      </c>
      <c r="G237">
        <v>900.24</v>
      </c>
      <c r="H237" t="s">
        <v>13</v>
      </c>
      <c r="I237" s="2">
        <v>44533</v>
      </c>
      <c r="J237" t="s">
        <v>74</v>
      </c>
      <c r="K237" s="4">
        <f>Table1[[#This Row],[Quantity]]*Table1[[#This Row],[Price]]</f>
        <v>2700.7200000000003</v>
      </c>
      <c r="L237" t="str">
        <f>IF(Table1[[#This Row],[Age]]&lt;25,"18-24",IF(Table1[[#This Row],[Age]]&lt;35,"25-34",IF(Table1[[#This Row],[Age]]&lt;45,"35-44",IF(Table1[[#This Row],[Age]]&lt;55,"45-54","55+"))))</f>
        <v>25-34</v>
      </c>
      <c r="M237" t="str">
        <f>TEXT(Table1[[#This Row],[Invoice_date]],"mmm")</f>
        <v>Dec</v>
      </c>
      <c r="N237">
        <f>YEAR(Table1[[#This Row],[Invoice_date]])</f>
        <v>2021</v>
      </c>
    </row>
    <row r="238" spans="1:14" x14ac:dyDescent="0.25">
      <c r="A238" t="s">
        <v>1093</v>
      </c>
      <c r="B238" t="s">
        <v>1094</v>
      </c>
      <c r="C238" t="s">
        <v>12</v>
      </c>
      <c r="D238">
        <v>33</v>
      </c>
      <c r="E238" t="s">
        <v>17</v>
      </c>
      <c r="F238">
        <v>3</v>
      </c>
      <c r="G238">
        <v>45.45</v>
      </c>
      <c r="H238" t="s">
        <v>4</v>
      </c>
      <c r="I238" s="2">
        <v>44845</v>
      </c>
      <c r="J238" t="s">
        <v>14</v>
      </c>
      <c r="K238" s="4">
        <f>Table1[[#This Row],[Quantity]]*Table1[[#This Row],[Price]]</f>
        <v>136.35000000000002</v>
      </c>
      <c r="L238" t="str">
        <f>IF(Table1[[#This Row],[Age]]&lt;25,"18-24",IF(Table1[[#This Row],[Age]]&lt;35,"25-34",IF(Table1[[#This Row],[Age]]&lt;45,"35-44",IF(Table1[[#This Row],[Age]]&lt;55,"45-54","55+"))))</f>
        <v>25-34</v>
      </c>
      <c r="M238" t="str">
        <f>TEXT(Table1[[#This Row],[Invoice_date]],"mmm")</f>
        <v>Oct</v>
      </c>
      <c r="N238">
        <f>YEAR(Table1[[#This Row],[Invoice_date]])</f>
        <v>2022</v>
      </c>
    </row>
    <row r="239" spans="1:14" x14ac:dyDescent="0.25">
      <c r="A239" t="s">
        <v>1111</v>
      </c>
      <c r="B239" t="s">
        <v>1112</v>
      </c>
      <c r="C239" t="s">
        <v>12</v>
      </c>
      <c r="D239">
        <v>26</v>
      </c>
      <c r="E239" t="s">
        <v>38</v>
      </c>
      <c r="F239">
        <v>2</v>
      </c>
      <c r="G239">
        <v>1200.3399999999999</v>
      </c>
      <c r="H239" t="s">
        <v>18</v>
      </c>
      <c r="I239" s="2">
        <v>44447</v>
      </c>
      <c r="J239" t="s">
        <v>50</v>
      </c>
      <c r="K239" s="4">
        <f>Table1[[#This Row],[Quantity]]*Table1[[#This Row],[Price]]</f>
        <v>2400.6799999999998</v>
      </c>
      <c r="L239" t="str">
        <f>IF(Table1[[#This Row],[Age]]&lt;25,"18-24",IF(Table1[[#This Row],[Age]]&lt;35,"25-34",IF(Table1[[#This Row],[Age]]&lt;45,"35-44",IF(Table1[[#This Row],[Age]]&lt;55,"45-54","55+"))))</f>
        <v>25-34</v>
      </c>
      <c r="M239" t="str">
        <f>TEXT(Table1[[#This Row],[Invoice_date]],"mmm")</f>
        <v>Sep</v>
      </c>
      <c r="N239">
        <f>YEAR(Table1[[#This Row],[Invoice_date]])</f>
        <v>2021</v>
      </c>
    </row>
    <row r="240" spans="1:14" x14ac:dyDescent="0.25">
      <c r="A240" t="s">
        <v>1119</v>
      </c>
      <c r="B240" t="s">
        <v>1120</v>
      </c>
      <c r="C240" t="s">
        <v>12</v>
      </c>
      <c r="D240">
        <v>34</v>
      </c>
      <c r="E240" t="s">
        <v>49</v>
      </c>
      <c r="F240">
        <v>5</v>
      </c>
      <c r="G240">
        <v>179.2</v>
      </c>
      <c r="H240" t="s">
        <v>18</v>
      </c>
      <c r="I240" s="2">
        <v>44213</v>
      </c>
      <c r="J240" t="s">
        <v>14</v>
      </c>
      <c r="K240" s="4">
        <f>Table1[[#This Row],[Quantity]]*Table1[[#This Row],[Price]]</f>
        <v>896</v>
      </c>
      <c r="L240" t="str">
        <f>IF(Table1[[#This Row],[Age]]&lt;25,"18-24",IF(Table1[[#This Row],[Age]]&lt;35,"25-34",IF(Table1[[#This Row],[Age]]&lt;45,"35-44",IF(Table1[[#This Row],[Age]]&lt;55,"45-54","55+"))))</f>
        <v>25-34</v>
      </c>
      <c r="M240" t="str">
        <f>TEXT(Table1[[#This Row],[Invoice_date]],"mmm")</f>
        <v>Jan</v>
      </c>
      <c r="N240">
        <f>YEAR(Table1[[#This Row],[Invoice_date]])</f>
        <v>2021</v>
      </c>
    </row>
    <row r="241" spans="1:14" x14ac:dyDescent="0.25">
      <c r="A241" t="s">
        <v>1127</v>
      </c>
      <c r="B241" t="s">
        <v>1128</v>
      </c>
      <c r="C241" t="s">
        <v>12</v>
      </c>
      <c r="D241">
        <v>29</v>
      </c>
      <c r="E241" t="s">
        <v>8</v>
      </c>
      <c r="F241">
        <v>5</v>
      </c>
      <c r="G241">
        <v>203.3</v>
      </c>
      <c r="H241" t="s">
        <v>18</v>
      </c>
      <c r="I241" s="2">
        <v>44311</v>
      </c>
      <c r="J241" t="s">
        <v>74</v>
      </c>
      <c r="K241" s="4">
        <f>Table1[[#This Row],[Quantity]]*Table1[[#This Row],[Price]]</f>
        <v>1016.5</v>
      </c>
      <c r="L241" t="str">
        <f>IF(Table1[[#This Row],[Age]]&lt;25,"18-24",IF(Table1[[#This Row],[Age]]&lt;35,"25-34",IF(Table1[[#This Row],[Age]]&lt;45,"35-44",IF(Table1[[#This Row],[Age]]&lt;55,"45-54","55+"))))</f>
        <v>25-34</v>
      </c>
      <c r="M241" t="str">
        <f>TEXT(Table1[[#This Row],[Invoice_date]],"mmm")</f>
        <v>Apr</v>
      </c>
      <c r="N241">
        <f>YEAR(Table1[[#This Row],[Invoice_date]])</f>
        <v>2021</v>
      </c>
    </row>
    <row r="242" spans="1:14" x14ac:dyDescent="0.25">
      <c r="A242" t="s">
        <v>1135</v>
      </c>
      <c r="B242" t="s">
        <v>1136</v>
      </c>
      <c r="C242" t="s">
        <v>12</v>
      </c>
      <c r="D242">
        <v>30</v>
      </c>
      <c r="E242" t="s">
        <v>27</v>
      </c>
      <c r="F242">
        <v>4</v>
      </c>
      <c r="G242">
        <v>20.92</v>
      </c>
      <c r="H242" t="s">
        <v>18</v>
      </c>
      <c r="I242" s="2">
        <v>44856</v>
      </c>
      <c r="J242" t="s">
        <v>50</v>
      </c>
      <c r="K242" s="4">
        <f>Table1[[#This Row],[Quantity]]*Table1[[#This Row],[Price]]</f>
        <v>83.68</v>
      </c>
      <c r="L242" t="str">
        <f>IF(Table1[[#This Row],[Age]]&lt;25,"18-24",IF(Table1[[#This Row],[Age]]&lt;35,"25-34",IF(Table1[[#This Row],[Age]]&lt;45,"35-44",IF(Table1[[#This Row],[Age]]&lt;55,"45-54","55+"))))</f>
        <v>25-34</v>
      </c>
      <c r="M242" t="str">
        <f>TEXT(Table1[[#This Row],[Invoice_date]],"mmm")</f>
        <v>Oct</v>
      </c>
      <c r="N242">
        <f>YEAR(Table1[[#This Row],[Invoice_date]])</f>
        <v>2022</v>
      </c>
    </row>
    <row r="243" spans="1:14" x14ac:dyDescent="0.25">
      <c r="A243" t="s">
        <v>1145</v>
      </c>
      <c r="B243" t="s">
        <v>1146</v>
      </c>
      <c r="C243" t="s">
        <v>12</v>
      </c>
      <c r="D243">
        <v>26</v>
      </c>
      <c r="E243" t="s">
        <v>8</v>
      </c>
      <c r="F243">
        <v>5</v>
      </c>
      <c r="G243">
        <v>203.3</v>
      </c>
      <c r="H243" t="s">
        <v>18</v>
      </c>
      <c r="I243" s="2">
        <v>44369</v>
      </c>
      <c r="J243" t="s">
        <v>14</v>
      </c>
      <c r="K243" s="4">
        <f>Table1[[#This Row],[Quantity]]*Table1[[#This Row],[Price]]</f>
        <v>1016.5</v>
      </c>
      <c r="L243" t="str">
        <f>IF(Table1[[#This Row],[Age]]&lt;25,"18-24",IF(Table1[[#This Row],[Age]]&lt;35,"25-34",IF(Table1[[#This Row],[Age]]&lt;45,"35-44",IF(Table1[[#This Row],[Age]]&lt;55,"45-54","55+"))))</f>
        <v>25-34</v>
      </c>
      <c r="M243" t="str">
        <f>TEXT(Table1[[#This Row],[Invoice_date]],"mmm")</f>
        <v>Jun</v>
      </c>
      <c r="N243">
        <f>YEAR(Table1[[#This Row],[Invoice_date]])</f>
        <v>2021</v>
      </c>
    </row>
    <row r="244" spans="1:14" x14ac:dyDescent="0.25">
      <c r="A244" t="s">
        <v>1147</v>
      </c>
      <c r="B244" t="s">
        <v>1148</v>
      </c>
      <c r="C244" t="s">
        <v>12</v>
      </c>
      <c r="D244">
        <v>31</v>
      </c>
      <c r="E244" t="s">
        <v>38</v>
      </c>
      <c r="F244">
        <v>5</v>
      </c>
      <c r="G244">
        <v>3000.85</v>
      </c>
      <c r="H244" t="s">
        <v>13</v>
      </c>
      <c r="I244" s="2">
        <v>44755</v>
      </c>
      <c r="J244" t="s">
        <v>33</v>
      </c>
      <c r="K244" s="4">
        <f>Table1[[#This Row],[Quantity]]*Table1[[#This Row],[Price]]</f>
        <v>15004.25</v>
      </c>
      <c r="L244" t="str">
        <f>IF(Table1[[#This Row],[Age]]&lt;25,"18-24",IF(Table1[[#This Row],[Age]]&lt;35,"25-34",IF(Table1[[#This Row],[Age]]&lt;45,"35-44",IF(Table1[[#This Row],[Age]]&lt;55,"45-54","55+"))))</f>
        <v>25-34</v>
      </c>
      <c r="M244" t="str">
        <f>TEXT(Table1[[#This Row],[Invoice_date]],"mmm")</f>
        <v>Jul</v>
      </c>
      <c r="N244">
        <f>YEAR(Table1[[#This Row],[Invoice_date]])</f>
        <v>2022</v>
      </c>
    </row>
    <row r="245" spans="1:14" x14ac:dyDescent="0.25">
      <c r="A245" t="s">
        <v>1169</v>
      </c>
      <c r="B245" t="s">
        <v>1170</v>
      </c>
      <c r="C245" t="s">
        <v>12</v>
      </c>
      <c r="D245">
        <v>27</v>
      </c>
      <c r="E245" t="s">
        <v>49</v>
      </c>
      <c r="F245">
        <v>3</v>
      </c>
      <c r="G245">
        <v>107.52</v>
      </c>
      <c r="H245" t="s">
        <v>4</v>
      </c>
      <c r="I245" s="2">
        <v>44876</v>
      </c>
      <c r="J245" t="s">
        <v>33</v>
      </c>
      <c r="K245" s="4">
        <f>Table1[[#This Row],[Quantity]]*Table1[[#This Row],[Price]]</f>
        <v>322.56</v>
      </c>
      <c r="L245" t="str">
        <f>IF(Table1[[#This Row],[Age]]&lt;25,"18-24",IF(Table1[[#This Row],[Age]]&lt;35,"25-34",IF(Table1[[#This Row],[Age]]&lt;45,"35-44",IF(Table1[[#This Row],[Age]]&lt;55,"45-54","55+"))))</f>
        <v>25-34</v>
      </c>
      <c r="M245" t="str">
        <f>TEXT(Table1[[#This Row],[Invoice_date]],"mmm")</f>
        <v>Nov</v>
      </c>
      <c r="N245">
        <f>YEAR(Table1[[#This Row],[Invoice_date]])</f>
        <v>2022</v>
      </c>
    </row>
    <row r="246" spans="1:14" x14ac:dyDescent="0.25">
      <c r="A246" t="s">
        <v>1177</v>
      </c>
      <c r="B246" t="s">
        <v>1178</v>
      </c>
      <c r="C246" t="s">
        <v>12</v>
      </c>
      <c r="D246">
        <v>33</v>
      </c>
      <c r="E246" t="s">
        <v>38</v>
      </c>
      <c r="F246">
        <v>4</v>
      </c>
      <c r="G246">
        <v>2400.6799999999998</v>
      </c>
      <c r="H246" t="s">
        <v>18</v>
      </c>
      <c r="I246" s="2">
        <v>44695</v>
      </c>
      <c r="J246" t="s">
        <v>24</v>
      </c>
      <c r="K246" s="4">
        <f>Table1[[#This Row],[Quantity]]*Table1[[#This Row],[Price]]</f>
        <v>9602.7199999999993</v>
      </c>
      <c r="L246" t="str">
        <f>IF(Table1[[#This Row],[Age]]&lt;25,"18-24",IF(Table1[[#This Row],[Age]]&lt;35,"25-34",IF(Table1[[#This Row],[Age]]&lt;45,"35-44",IF(Table1[[#This Row],[Age]]&lt;55,"45-54","55+"))))</f>
        <v>25-34</v>
      </c>
      <c r="M246" t="str">
        <f>TEXT(Table1[[#This Row],[Invoice_date]],"mmm")</f>
        <v>May</v>
      </c>
      <c r="N246">
        <f>YEAR(Table1[[#This Row],[Invoice_date]])</f>
        <v>2022</v>
      </c>
    </row>
    <row r="247" spans="1:14" x14ac:dyDescent="0.25">
      <c r="A247" t="s">
        <v>1185</v>
      </c>
      <c r="B247" t="s">
        <v>1186</v>
      </c>
      <c r="C247" t="s">
        <v>2</v>
      </c>
      <c r="D247">
        <v>32</v>
      </c>
      <c r="E247" t="s">
        <v>3</v>
      </c>
      <c r="F247">
        <v>2</v>
      </c>
      <c r="G247">
        <v>600.16</v>
      </c>
      <c r="H247" t="s">
        <v>13</v>
      </c>
      <c r="I247" s="2">
        <v>44989</v>
      </c>
      <c r="J247" t="s">
        <v>14</v>
      </c>
      <c r="K247" s="4">
        <f>Table1[[#This Row],[Quantity]]*Table1[[#This Row],[Price]]</f>
        <v>1200.32</v>
      </c>
      <c r="L247" t="str">
        <f>IF(Table1[[#This Row],[Age]]&lt;25,"18-24",IF(Table1[[#This Row],[Age]]&lt;35,"25-34",IF(Table1[[#This Row],[Age]]&lt;45,"35-44",IF(Table1[[#This Row],[Age]]&lt;55,"45-54","55+"))))</f>
        <v>25-34</v>
      </c>
      <c r="M247" t="str">
        <f>TEXT(Table1[[#This Row],[Invoice_date]],"mmm")</f>
        <v>Mar</v>
      </c>
      <c r="N247">
        <f>YEAR(Table1[[#This Row],[Invoice_date]])</f>
        <v>2023</v>
      </c>
    </row>
    <row r="248" spans="1:14" x14ac:dyDescent="0.25">
      <c r="A248" t="s">
        <v>1189</v>
      </c>
      <c r="B248" t="s">
        <v>1190</v>
      </c>
      <c r="C248" t="s">
        <v>12</v>
      </c>
      <c r="D248">
        <v>25</v>
      </c>
      <c r="E248" t="s">
        <v>17</v>
      </c>
      <c r="F248">
        <v>4</v>
      </c>
      <c r="G248">
        <v>60.6</v>
      </c>
      <c r="H248" t="s">
        <v>4</v>
      </c>
      <c r="I248" s="2">
        <v>44975</v>
      </c>
      <c r="J248" t="s">
        <v>43</v>
      </c>
      <c r="K248" s="4">
        <f>Table1[[#This Row],[Quantity]]*Table1[[#This Row],[Price]]</f>
        <v>242.4</v>
      </c>
      <c r="L248" t="str">
        <f>IF(Table1[[#This Row],[Age]]&lt;25,"18-24",IF(Table1[[#This Row],[Age]]&lt;35,"25-34",IF(Table1[[#This Row],[Age]]&lt;45,"35-44",IF(Table1[[#This Row],[Age]]&lt;55,"45-54","55+"))))</f>
        <v>25-34</v>
      </c>
      <c r="M248" t="str">
        <f>TEXT(Table1[[#This Row],[Invoice_date]],"mmm")</f>
        <v>Feb</v>
      </c>
      <c r="N248">
        <f>YEAR(Table1[[#This Row],[Invoice_date]])</f>
        <v>2023</v>
      </c>
    </row>
    <row r="249" spans="1:14" x14ac:dyDescent="0.25">
      <c r="A249" t="s">
        <v>1191</v>
      </c>
      <c r="B249" t="s">
        <v>1192</v>
      </c>
      <c r="C249" t="s">
        <v>12</v>
      </c>
      <c r="D249">
        <v>34</v>
      </c>
      <c r="E249" t="s">
        <v>46</v>
      </c>
      <c r="F249">
        <v>2</v>
      </c>
      <c r="G249">
        <v>23.46</v>
      </c>
      <c r="H249" t="s">
        <v>4</v>
      </c>
      <c r="I249" s="2">
        <v>44680</v>
      </c>
      <c r="J249" t="s">
        <v>50</v>
      </c>
      <c r="K249" s="4">
        <f>Table1[[#This Row],[Quantity]]*Table1[[#This Row],[Price]]</f>
        <v>46.92</v>
      </c>
      <c r="L249" t="str">
        <f>IF(Table1[[#This Row],[Age]]&lt;25,"18-24",IF(Table1[[#This Row],[Age]]&lt;35,"25-34",IF(Table1[[#This Row],[Age]]&lt;45,"35-44",IF(Table1[[#This Row],[Age]]&lt;55,"45-54","55+"))))</f>
        <v>25-34</v>
      </c>
      <c r="M249" t="str">
        <f>TEXT(Table1[[#This Row],[Invoice_date]],"mmm")</f>
        <v>Apr</v>
      </c>
      <c r="N249">
        <f>YEAR(Table1[[#This Row],[Invoice_date]])</f>
        <v>2022</v>
      </c>
    </row>
    <row r="250" spans="1:14" x14ac:dyDescent="0.25">
      <c r="A250" t="s">
        <v>1197</v>
      </c>
      <c r="B250" t="s">
        <v>1198</v>
      </c>
      <c r="C250" t="s">
        <v>2</v>
      </c>
      <c r="D250">
        <v>27</v>
      </c>
      <c r="E250" t="s">
        <v>21</v>
      </c>
      <c r="F250">
        <v>2</v>
      </c>
      <c r="G250">
        <v>2100</v>
      </c>
      <c r="H250" t="s">
        <v>4</v>
      </c>
      <c r="I250" s="2">
        <v>44951</v>
      </c>
      <c r="J250" t="s">
        <v>14</v>
      </c>
      <c r="K250" s="4">
        <f>Table1[[#This Row],[Quantity]]*Table1[[#This Row],[Price]]</f>
        <v>4200</v>
      </c>
      <c r="L250" t="str">
        <f>IF(Table1[[#This Row],[Age]]&lt;25,"18-24",IF(Table1[[#This Row],[Age]]&lt;35,"25-34",IF(Table1[[#This Row],[Age]]&lt;45,"35-44",IF(Table1[[#This Row],[Age]]&lt;55,"45-54","55+"))))</f>
        <v>25-34</v>
      </c>
      <c r="M250" t="str">
        <f>TEXT(Table1[[#This Row],[Invoice_date]],"mmm")</f>
        <v>Jan</v>
      </c>
      <c r="N250">
        <f>YEAR(Table1[[#This Row],[Invoice_date]])</f>
        <v>2023</v>
      </c>
    </row>
    <row r="251" spans="1:14" x14ac:dyDescent="0.25">
      <c r="A251" t="s">
        <v>1201</v>
      </c>
      <c r="B251" t="s">
        <v>1202</v>
      </c>
      <c r="C251" t="s">
        <v>12</v>
      </c>
      <c r="D251">
        <v>26</v>
      </c>
      <c r="E251" t="s">
        <v>8</v>
      </c>
      <c r="F251">
        <v>4</v>
      </c>
      <c r="G251">
        <v>162.63999999999999</v>
      </c>
      <c r="H251" t="s">
        <v>4</v>
      </c>
      <c r="I251" s="2">
        <v>44948</v>
      </c>
      <c r="J251" t="s">
        <v>33</v>
      </c>
      <c r="K251" s="4">
        <f>Table1[[#This Row],[Quantity]]*Table1[[#This Row],[Price]]</f>
        <v>650.55999999999995</v>
      </c>
      <c r="L251" t="str">
        <f>IF(Table1[[#This Row],[Age]]&lt;25,"18-24",IF(Table1[[#This Row],[Age]]&lt;35,"25-34",IF(Table1[[#This Row],[Age]]&lt;45,"35-44",IF(Table1[[#This Row],[Age]]&lt;55,"45-54","55+"))))</f>
        <v>25-34</v>
      </c>
      <c r="M251" t="str">
        <f>TEXT(Table1[[#This Row],[Invoice_date]],"mmm")</f>
        <v>Jan</v>
      </c>
      <c r="N251">
        <f>YEAR(Table1[[#This Row],[Invoice_date]])</f>
        <v>2023</v>
      </c>
    </row>
    <row r="252" spans="1:14" x14ac:dyDescent="0.25">
      <c r="A252" t="s">
        <v>1211</v>
      </c>
      <c r="B252" t="s">
        <v>1212</v>
      </c>
      <c r="C252" t="s">
        <v>2</v>
      </c>
      <c r="D252">
        <v>32</v>
      </c>
      <c r="E252" t="s">
        <v>46</v>
      </c>
      <c r="F252">
        <v>4</v>
      </c>
      <c r="G252">
        <v>46.92</v>
      </c>
      <c r="H252" t="s">
        <v>4</v>
      </c>
      <c r="I252" s="2">
        <v>44424</v>
      </c>
      <c r="J252" t="s">
        <v>24</v>
      </c>
      <c r="K252" s="4">
        <f>Table1[[#This Row],[Quantity]]*Table1[[#This Row],[Price]]</f>
        <v>187.68</v>
      </c>
      <c r="L252" t="str">
        <f>IF(Table1[[#This Row],[Age]]&lt;25,"18-24",IF(Table1[[#This Row],[Age]]&lt;35,"25-34",IF(Table1[[#This Row],[Age]]&lt;45,"35-44",IF(Table1[[#This Row],[Age]]&lt;55,"45-54","55+"))))</f>
        <v>25-34</v>
      </c>
      <c r="M252" t="str">
        <f>TEXT(Table1[[#This Row],[Invoice_date]],"mmm")</f>
        <v>Aug</v>
      </c>
      <c r="N252">
        <f>YEAR(Table1[[#This Row],[Invoice_date]])</f>
        <v>2021</v>
      </c>
    </row>
    <row r="253" spans="1:14" x14ac:dyDescent="0.25">
      <c r="A253" t="s">
        <v>1239</v>
      </c>
      <c r="B253" t="s">
        <v>1240</v>
      </c>
      <c r="C253" t="s">
        <v>2</v>
      </c>
      <c r="D253">
        <v>32</v>
      </c>
      <c r="E253" t="s">
        <v>3</v>
      </c>
      <c r="F253">
        <v>4</v>
      </c>
      <c r="G253">
        <v>1200.32</v>
      </c>
      <c r="H253" t="s">
        <v>18</v>
      </c>
      <c r="I253" s="2">
        <v>44489</v>
      </c>
      <c r="J253" t="s">
        <v>50</v>
      </c>
      <c r="K253" s="4">
        <f>Table1[[#This Row],[Quantity]]*Table1[[#This Row],[Price]]</f>
        <v>4801.28</v>
      </c>
      <c r="L253" t="str">
        <f>IF(Table1[[#This Row],[Age]]&lt;25,"18-24",IF(Table1[[#This Row],[Age]]&lt;35,"25-34",IF(Table1[[#This Row],[Age]]&lt;45,"35-44",IF(Table1[[#This Row],[Age]]&lt;55,"45-54","55+"))))</f>
        <v>25-34</v>
      </c>
      <c r="M253" t="str">
        <f>TEXT(Table1[[#This Row],[Invoice_date]],"mmm")</f>
        <v>Oct</v>
      </c>
      <c r="N253">
        <f>YEAR(Table1[[#This Row],[Invoice_date]])</f>
        <v>2021</v>
      </c>
    </row>
    <row r="254" spans="1:14" x14ac:dyDescent="0.25">
      <c r="A254" t="s">
        <v>1255</v>
      </c>
      <c r="B254" t="s">
        <v>1256</v>
      </c>
      <c r="C254" t="s">
        <v>12</v>
      </c>
      <c r="D254">
        <v>26</v>
      </c>
      <c r="E254" t="s">
        <v>27</v>
      </c>
      <c r="F254">
        <v>5</v>
      </c>
      <c r="G254">
        <v>26.15</v>
      </c>
      <c r="H254" t="s">
        <v>4</v>
      </c>
      <c r="I254" s="2">
        <v>44982</v>
      </c>
      <c r="J254" t="s">
        <v>74</v>
      </c>
      <c r="K254" s="4">
        <f>Table1[[#This Row],[Quantity]]*Table1[[#This Row],[Price]]</f>
        <v>130.75</v>
      </c>
      <c r="L254" t="str">
        <f>IF(Table1[[#This Row],[Age]]&lt;25,"18-24",IF(Table1[[#This Row],[Age]]&lt;35,"25-34",IF(Table1[[#This Row],[Age]]&lt;45,"35-44",IF(Table1[[#This Row],[Age]]&lt;55,"45-54","55+"))))</f>
        <v>25-34</v>
      </c>
      <c r="M254" t="str">
        <f>TEXT(Table1[[#This Row],[Invoice_date]],"mmm")</f>
        <v>Feb</v>
      </c>
      <c r="N254">
        <f>YEAR(Table1[[#This Row],[Invoice_date]])</f>
        <v>2023</v>
      </c>
    </row>
    <row r="255" spans="1:14" x14ac:dyDescent="0.25">
      <c r="A255" t="s">
        <v>1267</v>
      </c>
      <c r="B255" t="s">
        <v>1268</v>
      </c>
      <c r="C255" t="s">
        <v>2</v>
      </c>
      <c r="D255">
        <v>25</v>
      </c>
      <c r="E255" t="s">
        <v>3</v>
      </c>
      <c r="F255">
        <v>2</v>
      </c>
      <c r="G255">
        <v>600.16</v>
      </c>
      <c r="H255" t="s">
        <v>4</v>
      </c>
      <c r="I255" s="2">
        <v>44979</v>
      </c>
      <c r="J255" t="s">
        <v>14</v>
      </c>
      <c r="K255" s="4">
        <f>Table1[[#This Row],[Quantity]]*Table1[[#This Row],[Price]]</f>
        <v>1200.32</v>
      </c>
      <c r="L255" t="str">
        <f>IF(Table1[[#This Row],[Age]]&lt;25,"18-24",IF(Table1[[#This Row],[Age]]&lt;35,"25-34",IF(Table1[[#This Row],[Age]]&lt;45,"35-44",IF(Table1[[#This Row],[Age]]&lt;55,"45-54","55+"))))</f>
        <v>25-34</v>
      </c>
      <c r="M255" t="str">
        <f>TEXT(Table1[[#This Row],[Invoice_date]],"mmm")</f>
        <v>Feb</v>
      </c>
      <c r="N255">
        <f>YEAR(Table1[[#This Row],[Invoice_date]])</f>
        <v>2023</v>
      </c>
    </row>
    <row r="256" spans="1:14" x14ac:dyDescent="0.25">
      <c r="A256" t="s">
        <v>1279</v>
      </c>
      <c r="B256" t="s">
        <v>1280</v>
      </c>
      <c r="C256" t="s">
        <v>12</v>
      </c>
      <c r="D256">
        <v>32</v>
      </c>
      <c r="E256" t="s">
        <v>8</v>
      </c>
      <c r="F256">
        <v>3</v>
      </c>
      <c r="G256">
        <v>121.98</v>
      </c>
      <c r="H256" t="s">
        <v>4</v>
      </c>
      <c r="I256" s="2">
        <v>44362</v>
      </c>
      <c r="J256" t="s">
        <v>33</v>
      </c>
      <c r="K256" s="4">
        <f>Table1[[#This Row],[Quantity]]*Table1[[#This Row],[Price]]</f>
        <v>365.94</v>
      </c>
      <c r="L256" t="str">
        <f>IF(Table1[[#This Row],[Age]]&lt;25,"18-24",IF(Table1[[#This Row],[Age]]&lt;35,"25-34",IF(Table1[[#This Row],[Age]]&lt;45,"35-44",IF(Table1[[#This Row],[Age]]&lt;55,"45-54","55+"))))</f>
        <v>25-34</v>
      </c>
      <c r="M256" t="str">
        <f>TEXT(Table1[[#This Row],[Invoice_date]],"mmm")</f>
        <v>Jun</v>
      </c>
      <c r="N256">
        <f>YEAR(Table1[[#This Row],[Invoice_date]])</f>
        <v>2021</v>
      </c>
    </row>
    <row r="257" spans="1:14" x14ac:dyDescent="0.25">
      <c r="A257" t="s">
        <v>1287</v>
      </c>
      <c r="B257" t="s">
        <v>1288</v>
      </c>
      <c r="C257" t="s">
        <v>12</v>
      </c>
      <c r="D257">
        <v>31</v>
      </c>
      <c r="E257" t="s">
        <v>38</v>
      </c>
      <c r="F257">
        <v>1</v>
      </c>
      <c r="G257">
        <v>600.16999999999996</v>
      </c>
      <c r="H257" t="s">
        <v>4</v>
      </c>
      <c r="I257" s="2">
        <v>44513</v>
      </c>
      <c r="J257" t="s">
        <v>43</v>
      </c>
      <c r="K257" s="4">
        <f>Table1[[#This Row],[Quantity]]*Table1[[#This Row],[Price]]</f>
        <v>600.16999999999996</v>
      </c>
      <c r="L257" t="str">
        <f>IF(Table1[[#This Row],[Age]]&lt;25,"18-24",IF(Table1[[#This Row],[Age]]&lt;35,"25-34",IF(Table1[[#This Row],[Age]]&lt;45,"35-44",IF(Table1[[#This Row],[Age]]&lt;55,"45-54","55+"))))</f>
        <v>25-34</v>
      </c>
      <c r="M257" t="str">
        <f>TEXT(Table1[[#This Row],[Invoice_date]],"mmm")</f>
        <v>Nov</v>
      </c>
      <c r="N257">
        <f>YEAR(Table1[[#This Row],[Invoice_date]])</f>
        <v>2021</v>
      </c>
    </row>
    <row r="258" spans="1:14" x14ac:dyDescent="0.25">
      <c r="A258" t="s">
        <v>1339</v>
      </c>
      <c r="B258" t="s">
        <v>1340</v>
      </c>
      <c r="C258" t="s">
        <v>2</v>
      </c>
      <c r="D258">
        <v>26</v>
      </c>
      <c r="E258" t="s">
        <v>3</v>
      </c>
      <c r="F258">
        <v>4</v>
      </c>
      <c r="G258">
        <v>1200.32</v>
      </c>
      <c r="H258" t="s">
        <v>4</v>
      </c>
      <c r="I258" s="2">
        <v>44306</v>
      </c>
      <c r="J258" t="s">
        <v>43</v>
      </c>
      <c r="K258" s="4">
        <f>Table1[[#This Row],[Quantity]]*Table1[[#This Row],[Price]]</f>
        <v>4801.28</v>
      </c>
      <c r="L258" t="str">
        <f>IF(Table1[[#This Row],[Age]]&lt;25,"18-24",IF(Table1[[#This Row],[Age]]&lt;35,"25-34",IF(Table1[[#This Row],[Age]]&lt;45,"35-44",IF(Table1[[#This Row],[Age]]&lt;55,"45-54","55+"))))</f>
        <v>25-34</v>
      </c>
      <c r="M258" t="str">
        <f>TEXT(Table1[[#This Row],[Invoice_date]],"mmm")</f>
        <v>Apr</v>
      </c>
      <c r="N258">
        <f>YEAR(Table1[[#This Row],[Invoice_date]])</f>
        <v>2021</v>
      </c>
    </row>
    <row r="259" spans="1:14" x14ac:dyDescent="0.25">
      <c r="A259" t="s">
        <v>1345</v>
      </c>
      <c r="B259" t="s">
        <v>1346</v>
      </c>
      <c r="C259" t="s">
        <v>12</v>
      </c>
      <c r="D259">
        <v>31</v>
      </c>
      <c r="E259" t="s">
        <v>46</v>
      </c>
      <c r="F259">
        <v>5</v>
      </c>
      <c r="G259">
        <v>58.65</v>
      </c>
      <c r="H259" t="s">
        <v>18</v>
      </c>
      <c r="I259" s="2">
        <v>44732</v>
      </c>
      <c r="J259" t="s">
        <v>24</v>
      </c>
      <c r="K259" s="4">
        <f>Table1[[#This Row],[Quantity]]*Table1[[#This Row],[Price]]</f>
        <v>293.25</v>
      </c>
      <c r="L259" t="str">
        <f>IF(Table1[[#This Row],[Age]]&lt;25,"18-24",IF(Table1[[#This Row],[Age]]&lt;35,"25-34",IF(Table1[[#This Row],[Age]]&lt;45,"35-44",IF(Table1[[#This Row],[Age]]&lt;55,"45-54","55+"))))</f>
        <v>25-34</v>
      </c>
      <c r="M259" t="str">
        <f>TEXT(Table1[[#This Row],[Invoice_date]],"mmm")</f>
        <v>Jun</v>
      </c>
      <c r="N259">
        <f>YEAR(Table1[[#This Row],[Invoice_date]])</f>
        <v>2022</v>
      </c>
    </row>
    <row r="260" spans="1:14" x14ac:dyDescent="0.25">
      <c r="A260" t="s">
        <v>1347</v>
      </c>
      <c r="B260" t="s">
        <v>1348</v>
      </c>
      <c r="C260" t="s">
        <v>2</v>
      </c>
      <c r="D260">
        <v>25</v>
      </c>
      <c r="E260" t="s">
        <v>38</v>
      </c>
      <c r="F260">
        <v>2</v>
      </c>
      <c r="G260">
        <v>1200.3399999999999</v>
      </c>
      <c r="H260" t="s">
        <v>4</v>
      </c>
      <c r="I260" s="2">
        <v>44611</v>
      </c>
      <c r="J260" t="s">
        <v>24</v>
      </c>
      <c r="K260" s="4">
        <f>Table1[[#This Row],[Quantity]]*Table1[[#This Row],[Price]]</f>
        <v>2400.6799999999998</v>
      </c>
      <c r="L260" t="str">
        <f>IF(Table1[[#This Row],[Age]]&lt;25,"18-24",IF(Table1[[#This Row],[Age]]&lt;35,"25-34",IF(Table1[[#This Row],[Age]]&lt;45,"35-44",IF(Table1[[#This Row],[Age]]&lt;55,"45-54","55+"))))</f>
        <v>25-34</v>
      </c>
      <c r="M260" t="str">
        <f>TEXT(Table1[[#This Row],[Invoice_date]],"mmm")</f>
        <v>Feb</v>
      </c>
      <c r="N260">
        <f>YEAR(Table1[[#This Row],[Invoice_date]])</f>
        <v>2022</v>
      </c>
    </row>
    <row r="261" spans="1:14" x14ac:dyDescent="0.25">
      <c r="A261" t="s">
        <v>1351</v>
      </c>
      <c r="B261" t="s">
        <v>1352</v>
      </c>
      <c r="C261" t="s">
        <v>12</v>
      </c>
      <c r="D261">
        <v>26</v>
      </c>
      <c r="E261" t="s">
        <v>49</v>
      </c>
      <c r="F261">
        <v>3</v>
      </c>
      <c r="G261">
        <v>107.52</v>
      </c>
      <c r="H261" t="s">
        <v>13</v>
      </c>
      <c r="I261" s="2">
        <v>44635</v>
      </c>
      <c r="J261" t="s">
        <v>74</v>
      </c>
      <c r="K261" s="4">
        <f>Table1[[#This Row],[Quantity]]*Table1[[#This Row],[Price]]</f>
        <v>322.56</v>
      </c>
      <c r="L261" t="str">
        <f>IF(Table1[[#This Row],[Age]]&lt;25,"18-24",IF(Table1[[#This Row],[Age]]&lt;35,"25-34",IF(Table1[[#This Row],[Age]]&lt;45,"35-44",IF(Table1[[#This Row],[Age]]&lt;55,"45-54","55+"))))</f>
        <v>25-34</v>
      </c>
      <c r="M261" t="str">
        <f>TEXT(Table1[[#This Row],[Invoice_date]],"mmm")</f>
        <v>Mar</v>
      </c>
      <c r="N261">
        <f>YEAR(Table1[[#This Row],[Invoice_date]])</f>
        <v>2022</v>
      </c>
    </row>
    <row r="262" spans="1:14" x14ac:dyDescent="0.25">
      <c r="A262" t="s">
        <v>1357</v>
      </c>
      <c r="B262" t="s">
        <v>1358</v>
      </c>
      <c r="C262" t="s">
        <v>12</v>
      </c>
      <c r="D262">
        <v>30</v>
      </c>
      <c r="E262" t="s">
        <v>3</v>
      </c>
      <c r="F262">
        <v>5</v>
      </c>
      <c r="G262">
        <v>1500.4</v>
      </c>
      <c r="H262" t="s">
        <v>13</v>
      </c>
      <c r="I262" s="2">
        <v>44763</v>
      </c>
      <c r="J262" t="s">
        <v>33</v>
      </c>
      <c r="K262" s="4">
        <f>Table1[[#This Row],[Quantity]]*Table1[[#This Row],[Price]]</f>
        <v>7502</v>
      </c>
      <c r="L262" t="str">
        <f>IF(Table1[[#This Row],[Age]]&lt;25,"18-24",IF(Table1[[#This Row],[Age]]&lt;35,"25-34",IF(Table1[[#This Row],[Age]]&lt;45,"35-44",IF(Table1[[#This Row],[Age]]&lt;55,"45-54","55+"))))</f>
        <v>25-34</v>
      </c>
      <c r="M262" t="str">
        <f>TEXT(Table1[[#This Row],[Invoice_date]],"mmm")</f>
        <v>Jul</v>
      </c>
      <c r="N262">
        <f>YEAR(Table1[[#This Row],[Invoice_date]])</f>
        <v>2022</v>
      </c>
    </row>
    <row r="263" spans="1:14" x14ac:dyDescent="0.25">
      <c r="A263" t="s">
        <v>1361</v>
      </c>
      <c r="B263" t="s">
        <v>1362</v>
      </c>
      <c r="C263" t="s">
        <v>2</v>
      </c>
      <c r="D263">
        <v>31</v>
      </c>
      <c r="E263" t="s">
        <v>3</v>
      </c>
      <c r="F263">
        <v>5</v>
      </c>
      <c r="G263">
        <v>1500.4</v>
      </c>
      <c r="H263" t="s">
        <v>13</v>
      </c>
      <c r="I263" s="2">
        <v>44810</v>
      </c>
      <c r="J263" t="s">
        <v>14</v>
      </c>
      <c r="K263" s="4">
        <f>Table1[[#This Row],[Quantity]]*Table1[[#This Row],[Price]]</f>
        <v>7502</v>
      </c>
      <c r="L263" t="str">
        <f>IF(Table1[[#This Row],[Age]]&lt;25,"18-24",IF(Table1[[#This Row],[Age]]&lt;35,"25-34",IF(Table1[[#This Row],[Age]]&lt;45,"35-44",IF(Table1[[#This Row],[Age]]&lt;55,"45-54","55+"))))</f>
        <v>25-34</v>
      </c>
      <c r="M263" t="str">
        <f>TEXT(Table1[[#This Row],[Invoice_date]],"mmm")</f>
        <v>Sep</v>
      </c>
      <c r="N263">
        <f>YEAR(Table1[[#This Row],[Invoice_date]])</f>
        <v>2022</v>
      </c>
    </row>
    <row r="264" spans="1:14" x14ac:dyDescent="0.25">
      <c r="A264" t="s">
        <v>1363</v>
      </c>
      <c r="B264" t="s">
        <v>1364</v>
      </c>
      <c r="C264" t="s">
        <v>12</v>
      </c>
      <c r="D264">
        <v>28</v>
      </c>
      <c r="E264" t="s">
        <v>38</v>
      </c>
      <c r="F264">
        <v>4</v>
      </c>
      <c r="G264">
        <v>2400.6799999999998</v>
      </c>
      <c r="H264" t="s">
        <v>18</v>
      </c>
      <c r="I264" s="2">
        <v>44372</v>
      </c>
      <c r="J264" t="s">
        <v>30</v>
      </c>
      <c r="K264" s="4">
        <f>Table1[[#This Row],[Quantity]]*Table1[[#This Row],[Price]]</f>
        <v>9602.7199999999993</v>
      </c>
      <c r="L264" t="str">
        <f>IF(Table1[[#This Row],[Age]]&lt;25,"18-24",IF(Table1[[#This Row],[Age]]&lt;35,"25-34",IF(Table1[[#This Row],[Age]]&lt;45,"35-44",IF(Table1[[#This Row],[Age]]&lt;55,"45-54","55+"))))</f>
        <v>25-34</v>
      </c>
      <c r="M264" t="str">
        <f>TEXT(Table1[[#This Row],[Invoice_date]],"mmm")</f>
        <v>Jun</v>
      </c>
      <c r="N264">
        <f>YEAR(Table1[[#This Row],[Invoice_date]])</f>
        <v>2021</v>
      </c>
    </row>
    <row r="265" spans="1:14" x14ac:dyDescent="0.25">
      <c r="A265" t="s">
        <v>1365</v>
      </c>
      <c r="B265" t="s">
        <v>1366</v>
      </c>
      <c r="C265" t="s">
        <v>2</v>
      </c>
      <c r="D265">
        <v>26</v>
      </c>
      <c r="E265" t="s">
        <v>3</v>
      </c>
      <c r="F265">
        <v>3</v>
      </c>
      <c r="G265">
        <v>900.24</v>
      </c>
      <c r="H265" t="s">
        <v>18</v>
      </c>
      <c r="I265" s="2">
        <v>44555</v>
      </c>
      <c r="J265" t="s">
        <v>24</v>
      </c>
      <c r="K265" s="4">
        <f>Table1[[#This Row],[Quantity]]*Table1[[#This Row],[Price]]</f>
        <v>2700.7200000000003</v>
      </c>
      <c r="L265" t="str">
        <f>IF(Table1[[#This Row],[Age]]&lt;25,"18-24",IF(Table1[[#This Row],[Age]]&lt;35,"25-34",IF(Table1[[#This Row],[Age]]&lt;45,"35-44",IF(Table1[[#This Row],[Age]]&lt;55,"45-54","55+"))))</f>
        <v>25-34</v>
      </c>
      <c r="M265" t="str">
        <f>TEXT(Table1[[#This Row],[Invoice_date]],"mmm")</f>
        <v>Dec</v>
      </c>
      <c r="N265">
        <f>YEAR(Table1[[#This Row],[Invoice_date]])</f>
        <v>2021</v>
      </c>
    </row>
    <row r="266" spans="1:14" x14ac:dyDescent="0.25">
      <c r="A266" t="s">
        <v>1381</v>
      </c>
      <c r="B266" t="s">
        <v>1382</v>
      </c>
      <c r="C266" t="s">
        <v>2</v>
      </c>
      <c r="D266">
        <v>34</v>
      </c>
      <c r="E266" t="s">
        <v>3</v>
      </c>
      <c r="F266">
        <v>1</v>
      </c>
      <c r="G266">
        <v>300.08</v>
      </c>
      <c r="H266" t="s">
        <v>13</v>
      </c>
      <c r="I266" s="2">
        <v>44620</v>
      </c>
      <c r="J266" t="s">
        <v>14</v>
      </c>
      <c r="K266" s="4">
        <f>Table1[[#This Row],[Quantity]]*Table1[[#This Row],[Price]]</f>
        <v>300.08</v>
      </c>
      <c r="L266" t="str">
        <f>IF(Table1[[#This Row],[Age]]&lt;25,"18-24",IF(Table1[[#This Row],[Age]]&lt;35,"25-34",IF(Table1[[#This Row],[Age]]&lt;45,"35-44",IF(Table1[[#This Row],[Age]]&lt;55,"45-54","55+"))))</f>
        <v>25-34</v>
      </c>
      <c r="M266" t="str">
        <f>TEXT(Table1[[#This Row],[Invoice_date]],"mmm")</f>
        <v>Feb</v>
      </c>
      <c r="N266">
        <f>YEAR(Table1[[#This Row],[Invoice_date]])</f>
        <v>2022</v>
      </c>
    </row>
    <row r="267" spans="1:14" x14ac:dyDescent="0.25">
      <c r="A267" t="s">
        <v>1423</v>
      </c>
      <c r="B267" t="s">
        <v>1424</v>
      </c>
      <c r="C267" t="s">
        <v>2</v>
      </c>
      <c r="D267">
        <v>31</v>
      </c>
      <c r="E267" t="s">
        <v>38</v>
      </c>
      <c r="F267">
        <v>4</v>
      </c>
      <c r="G267">
        <v>2400.6799999999998</v>
      </c>
      <c r="H267" t="s">
        <v>4</v>
      </c>
      <c r="I267" s="2">
        <v>44851</v>
      </c>
      <c r="J267" t="s">
        <v>33</v>
      </c>
      <c r="K267" s="4">
        <f>Table1[[#This Row],[Quantity]]*Table1[[#This Row],[Price]]</f>
        <v>9602.7199999999993</v>
      </c>
      <c r="L267" t="str">
        <f>IF(Table1[[#This Row],[Age]]&lt;25,"18-24",IF(Table1[[#This Row],[Age]]&lt;35,"25-34",IF(Table1[[#This Row],[Age]]&lt;45,"35-44",IF(Table1[[#This Row],[Age]]&lt;55,"45-54","55+"))))</f>
        <v>25-34</v>
      </c>
      <c r="M267" t="str">
        <f>TEXT(Table1[[#This Row],[Invoice_date]],"mmm")</f>
        <v>Oct</v>
      </c>
      <c r="N267">
        <f>YEAR(Table1[[#This Row],[Invoice_date]])</f>
        <v>2022</v>
      </c>
    </row>
    <row r="268" spans="1:14" x14ac:dyDescent="0.25">
      <c r="A268" t="s">
        <v>1429</v>
      </c>
      <c r="B268" t="s">
        <v>1430</v>
      </c>
      <c r="C268" t="s">
        <v>12</v>
      </c>
      <c r="D268">
        <v>28</v>
      </c>
      <c r="E268" t="s">
        <v>3</v>
      </c>
      <c r="F268">
        <v>1</v>
      </c>
      <c r="G268">
        <v>300.08</v>
      </c>
      <c r="H268" t="s">
        <v>18</v>
      </c>
      <c r="I268" s="2">
        <v>44248</v>
      </c>
      <c r="J268" t="s">
        <v>33</v>
      </c>
      <c r="K268" s="4">
        <f>Table1[[#This Row],[Quantity]]*Table1[[#This Row],[Price]]</f>
        <v>300.08</v>
      </c>
      <c r="L268" t="str">
        <f>IF(Table1[[#This Row],[Age]]&lt;25,"18-24",IF(Table1[[#This Row],[Age]]&lt;35,"25-34",IF(Table1[[#This Row],[Age]]&lt;45,"35-44",IF(Table1[[#This Row],[Age]]&lt;55,"45-54","55+"))))</f>
        <v>25-34</v>
      </c>
      <c r="M268" t="str">
        <f>TEXT(Table1[[#This Row],[Invoice_date]],"mmm")</f>
        <v>Feb</v>
      </c>
      <c r="N268">
        <f>YEAR(Table1[[#This Row],[Invoice_date]])</f>
        <v>2021</v>
      </c>
    </row>
    <row r="269" spans="1:14" x14ac:dyDescent="0.25">
      <c r="A269" t="s">
        <v>1443</v>
      </c>
      <c r="B269" t="s">
        <v>1444</v>
      </c>
      <c r="C269" t="s">
        <v>12</v>
      </c>
      <c r="D269">
        <v>29</v>
      </c>
      <c r="E269" t="s">
        <v>3</v>
      </c>
      <c r="F269">
        <v>4</v>
      </c>
      <c r="G269">
        <v>1200.32</v>
      </c>
      <c r="H269" t="s">
        <v>4</v>
      </c>
      <c r="I269" s="2">
        <v>44872</v>
      </c>
      <c r="J269" t="s">
        <v>33</v>
      </c>
      <c r="K269" s="4">
        <f>Table1[[#This Row],[Quantity]]*Table1[[#This Row],[Price]]</f>
        <v>4801.28</v>
      </c>
      <c r="L269" t="str">
        <f>IF(Table1[[#This Row],[Age]]&lt;25,"18-24",IF(Table1[[#This Row],[Age]]&lt;35,"25-34",IF(Table1[[#This Row],[Age]]&lt;45,"35-44",IF(Table1[[#This Row],[Age]]&lt;55,"45-54","55+"))))</f>
        <v>25-34</v>
      </c>
      <c r="M269" t="str">
        <f>TEXT(Table1[[#This Row],[Invoice_date]],"mmm")</f>
        <v>Nov</v>
      </c>
      <c r="N269">
        <f>YEAR(Table1[[#This Row],[Invoice_date]])</f>
        <v>2022</v>
      </c>
    </row>
    <row r="270" spans="1:14" x14ac:dyDescent="0.25">
      <c r="A270" t="s">
        <v>1447</v>
      </c>
      <c r="B270" t="s">
        <v>1448</v>
      </c>
      <c r="C270" t="s">
        <v>12</v>
      </c>
      <c r="D270">
        <v>29</v>
      </c>
      <c r="E270" t="s">
        <v>3</v>
      </c>
      <c r="F270">
        <v>3</v>
      </c>
      <c r="G270">
        <v>900.24</v>
      </c>
      <c r="H270" t="s">
        <v>4</v>
      </c>
      <c r="I270" s="2">
        <v>44592</v>
      </c>
      <c r="J270" t="s">
        <v>14</v>
      </c>
      <c r="K270" s="4">
        <f>Table1[[#This Row],[Quantity]]*Table1[[#This Row],[Price]]</f>
        <v>2700.7200000000003</v>
      </c>
      <c r="L270" t="str">
        <f>IF(Table1[[#This Row],[Age]]&lt;25,"18-24",IF(Table1[[#This Row],[Age]]&lt;35,"25-34",IF(Table1[[#This Row],[Age]]&lt;45,"35-44",IF(Table1[[#This Row],[Age]]&lt;55,"45-54","55+"))))</f>
        <v>25-34</v>
      </c>
      <c r="M270" t="str">
        <f>TEXT(Table1[[#This Row],[Invoice_date]],"mmm")</f>
        <v>Jan</v>
      </c>
      <c r="N270">
        <f>YEAR(Table1[[#This Row],[Invoice_date]])</f>
        <v>2022</v>
      </c>
    </row>
    <row r="271" spans="1:14" x14ac:dyDescent="0.25">
      <c r="A271" t="s">
        <v>1463</v>
      </c>
      <c r="B271" t="s">
        <v>1464</v>
      </c>
      <c r="C271" t="s">
        <v>2</v>
      </c>
      <c r="D271">
        <v>29</v>
      </c>
      <c r="E271" t="s">
        <v>3</v>
      </c>
      <c r="F271">
        <v>4</v>
      </c>
      <c r="G271">
        <v>1200.32</v>
      </c>
      <c r="H271" t="s">
        <v>18</v>
      </c>
      <c r="I271" s="2">
        <v>44369</v>
      </c>
      <c r="J271" t="s">
        <v>33</v>
      </c>
      <c r="K271" s="4">
        <f>Table1[[#This Row],[Quantity]]*Table1[[#This Row],[Price]]</f>
        <v>4801.28</v>
      </c>
      <c r="L271" t="str">
        <f>IF(Table1[[#This Row],[Age]]&lt;25,"18-24",IF(Table1[[#This Row],[Age]]&lt;35,"25-34",IF(Table1[[#This Row],[Age]]&lt;45,"35-44",IF(Table1[[#This Row],[Age]]&lt;55,"45-54","55+"))))</f>
        <v>25-34</v>
      </c>
      <c r="M271" t="str">
        <f>TEXT(Table1[[#This Row],[Invoice_date]],"mmm")</f>
        <v>Jun</v>
      </c>
      <c r="N271">
        <f>YEAR(Table1[[#This Row],[Invoice_date]])</f>
        <v>2021</v>
      </c>
    </row>
    <row r="272" spans="1:14" x14ac:dyDescent="0.25">
      <c r="A272" t="s">
        <v>1503</v>
      </c>
      <c r="B272" t="s">
        <v>1504</v>
      </c>
      <c r="C272" t="s">
        <v>2</v>
      </c>
      <c r="D272">
        <v>30</v>
      </c>
      <c r="E272" t="s">
        <v>27</v>
      </c>
      <c r="F272">
        <v>4</v>
      </c>
      <c r="G272">
        <v>20.92</v>
      </c>
      <c r="H272" t="s">
        <v>18</v>
      </c>
      <c r="I272" s="2">
        <v>44755</v>
      </c>
      <c r="J272" t="s">
        <v>14</v>
      </c>
      <c r="K272" s="4">
        <f>Table1[[#This Row],[Quantity]]*Table1[[#This Row],[Price]]</f>
        <v>83.68</v>
      </c>
      <c r="L272" t="str">
        <f>IF(Table1[[#This Row],[Age]]&lt;25,"18-24",IF(Table1[[#This Row],[Age]]&lt;35,"25-34",IF(Table1[[#This Row],[Age]]&lt;45,"35-44",IF(Table1[[#This Row],[Age]]&lt;55,"45-54","55+"))))</f>
        <v>25-34</v>
      </c>
      <c r="M272" t="str">
        <f>TEXT(Table1[[#This Row],[Invoice_date]],"mmm")</f>
        <v>Jul</v>
      </c>
      <c r="N272">
        <f>YEAR(Table1[[#This Row],[Invoice_date]])</f>
        <v>2022</v>
      </c>
    </row>
    <row r="273" spans="1:14" x14ac:dyDescent="0.25">
      <c r="A273" t="s">
        <v>1505</v>
      </c>
      <c r="B273" t="s">
        <v>1506</v>
      </c>
      <c r="C273" t="s">
        <v>12</v>
      </c>
      <c r="D273">
        <v>26</v>
      </c>
      <c r="E273" t="s">
        <v>46</v>
      </c>
      <c r="F273">
        <v>3</v>
      </c>
      <c r="G273">
        <v>35.19</v>
      </c>
      <c r="H273" t="s">
        <v>4</v>
      </c>
      <c r="I273" s="2">
        <v>44290</v>
      </c>
      <c r="J273" t="s">
        <v>9</v>
      </c>
      <c r="K273" s="4">
        <f>Table1[[#This Row],[Quantity]]*Table1[[#This Row],[Price]]</f>
        <v>105.57</v>
      </c>
      <c r="L273" t="str">
        <f>IF(Table1[[#This Row],[Age]]&lt;25,"18-24",IF(Table1[[#This Row],[Age]]&lt;35,"25-34",IF(Table1[[#This Row],[Age]]&lt;45,"35-44",IF(Table1[[#This Row],[Age]]&lt;55,"45-54","55+"))))</f>
        <v>25-34</v>
      </c>
      <c r="M273" t="str">
        <f>TEXT(Table1[[#This Row],[Invoice_date]],"mmm")</f>
        <v>Apr</v>
      </c>
      <c r="N273">
        <f>YEAR(Table1[[#This Row],[Invoice_date]])</f>
        <v>2021</v>
      </c>
    </row>
    <row r="274" spans="1:14" x14ac:dyDescent="0.25">
      <c r="A274" t="s">
        <v>1529</v>
      </c>
      <c r="B274" t="s">
        <v>1530</v>
      </c>
      <c r="C274" t="s">
        <v>2</v>
      </c>
      <c r="D274">
        <v>28</v>
      </c>
      <c r="E274" t="s">
        <v>3</v>
      </c>
      <c r="F274">
        <v>4</v>
      </c>
      <c r="G274">
        <v>1200.32</v>
      </c>
      <c r="H274" t="s">
        <v>4</v>
      </c>
      <c r="I274" s="2">
        <v>44225</v>
      </c>
      <c r="J274" t="s">
        <v>33</v>
      </c>
      <c r="K274" s="4">
        <f>Table1[[#This Row],[Quantity]]*Table1[[#This Row],[Price]]</f>
        <v>4801.28</v>
      </c>
      <c r="L274" t="str">
        <f>IF(Table1[[#This Row],[Age]]&lt;25,"18-24",IF(Table1[[#This Row],[Age]]&lt;35,"25-34",IF(Table1[[#This Row],[Age]]&lt;45,"35-44",IF(Table1[[#This Row],[Age]]&lt;55,"45-54","55+"))))</f>
        <v>25-34</v>
      </c>
      <c r="M274" t="str">
        <f>TEXT(Table1[[#This Row],[Invoice_date]],"mmm")</f>
        <v>Jan</v>
      </c>
      <c r="N274">
        <f>YEAR(Table1[[#This Row],[Invoice_date]])</f>
        <v>2021</v>
      </c>
    </row>
    <row r="275" spans="1:14" x14ac:dyDescent="0.25">
      <c r="A275" t="s">
        <v>1537</v>
      </c>
      <c r="B275" t="s">
        <v>1538</v>
      </c>
      <c r="C275" t="s">
        <v>12</v>
      </c>
      <c r="D275">
        <v>25</v>
      </c>
      <c r="E275" t="s">
        <v>3</v>
      </c>
      <c r="F275">
        <v>2</v>
      </c>
      <c r="G275">
        <v>600.16</v>
      </c>
      <c r="H275" t="s">
        <v>4</v>
      </c>
      <c r="I275" s="2">
        <v>44679</v>
      </c>
      <c r="J275" t="s">
        <v>24</v>
      </c>
      <c r="K275" s="4">
        <f>Table1[[#This Row],[Quantity]]*Table1[[#This Row],[Price]]</f>
        <v>1200.32</v>
      </c>
      <c r="L275" t="str">
        <f>IF(Table1[[#This Row],[Age]]&lt;25,"18-24",IF(Table1[[#This Row],[Age]]&lt;35,"25-34",IF(Table1[[#This Row],[Age]]&lt;45,"35-44",IF(Table1[[#This Row],[Age]]&lt;55,"45-54","55+"))))</f>
        <v>25-34</v>
      </c>
      <c r="M275" t="str">
        <f>TEXT(Table1[[#This Row],[Invoice_date]],"mmm")</f>
        <v>Apr</v>
      </c>
      <c r="N275">
        <f>YEAR(Table1[[#This Row],[Invoice_date]])</f>
        <v>2022</v>
      </c>
    </row>
    <row r="276" spans="1:14" x14ac:dyDescent="0.25">
      <c r="A276" t="s">
        <v>1587</v>
      </c>
      <c r="B276" t="s">
        <v>1588</v>
      </c>
      <c r="C276" t="s">
        <v>12</v>
      </c>
      <c r="D276">
        <v>28</v>
      </c>
      <c r="E276" t="s">
        <v>49</v>
      </c>
      <c r="F276">
        <v>1</v>
      </c>
      <c r="G276">
        <v>35.840000000000003</v>
      </c>
      <c r="H276" t="s">
        <v>13</v>
      </c>
      <c r="I276" s="2">
        <v>44278</v>
      </c>
      <c r="J276" t="s">
        <v>24</v>
      </c>
      <c r="K276" s="4">
        <f>Table1[[#This Row],[Quantity]]*Table1[[#This Row],[Price]]</f>
        <v>35.840000000000003</v>
      </c>
      <c r="L276" t="str">
        <f>IF(Table1[[#This Row],[Age]]&lt;25,"18-24",IF(Table1[[#This Row],[Age]]&lt;35,"25-34",IF(Table1[[#This Row],[Age]]&lt;45,"35-44",IF(Table1[[#This Row],[Age]]&lt;55,"45-54","55+"))))</f>
        <v>25-34</v>
      </c>
      <c r="M276" t="str">
        <f>TEXT(Table1[[#This Row],[Invoice_date]],"mmm")</f>
        <v>Mar</v>
      </c>
      <c r="N276">
        <f>YEAR(Table1[[#This Row],[Invoice_date]])</f>
        <v>2021</v>
      </c>
    </row>
    <row r="277" spans="1:14" x14ac:dyDescent="0.25">
      <c r="A277" t="s">
        <v>1601</v>
      </c>
      <c r="B277" t="s">
        <v>1602</v>
      </c>
      <c r="C277" t="s">
        <v>2</v>
      </c>
      <c r="D277">
        <v>33</v>
      </c>
      <c r="E277" t="s">
        <v>21</v>
      </c>
      <c r="F277">
        <v>5</v>
      </c>
      <c r="G277">
        <v>5250</v>
      </c>
      <c r="H277" t="s">
        <v>13</v>
      </c>
      <c r="I277" s="2">
        <v>44647</v>
      </c>
      <c r="J277" t="s">
        <v>14</v>
      </c>
      <c r="K277" s="4">
        <f>Table1[[#This Row],[Quantity]]*Table1[[#This Row],[Price]]</f>
        <v>26250</v>
      </c>
      <c r="L277" t="str">
        <f>IF(Table1[[#This Row],[Age]]&lt;25,"18-24",IF(Table1[[#This Row],[Age]]&lt;35,"25-34",IF(Table1[[#This Row],[Age]]&lt;45,"35-44",IF(Table1[[#This Row],[Age]]&lt;55,"45-54","55+"))))</f>
        <v>25-34</v>
      </c>
      <c r="M277" t="str">
        <f>TEXT(Table1[[#This Row],[Invoice_date]],"mmm")</f>
        <v>Mar</v>
      </c>
      <c r="N277">
        <f>YEAR(Table1[[#This Row],[Invoice_date]])</f>
        <v>2022</v>
      </c>
    </row>
    <row r="278" spans="1:14" x14ac:dyDescent="0.25">
      <c r="A278" t="s">
        <v>1603</v>
      </c>
      <c r="B278" t="s">
        <v>1604</v>
      </c>
      <c r="C278" t="s">
        <v>2</v>
      </c>
      <c r="D278">
        <v>28</v>
      </c>
      <c r="E278" t="s">
        <v>46</v>
      </c>
      <c r="F278">
        <v>2</v>
      </c>
      <c r="G278">
        <v>23.46</v>
      </c>
      <c r="H278" t="s">
        <v>4</v>
      </c>
      <c r="I278" s="2">
        <v>44251</v>
      </c>
      <c r="J278" t="s">
        <v>50</v>
      </c>
      <c r="K278" s="4">
        <f>Table1[[#This Row],[Quantity]]*Table1[[#This Row],[Price]]</f>
        <v>46.92</v>
      </c>
      <c r="L278" t="str">
        <f>IF(Table1[[#This Row],[Age]]&lt;25,"18-24",IF(Table1[[#This Row],[Age]]&lt;35,"25-34",IF(Table1[[#This Row],[Age]]&lt;45,"35-44",IF(Table1[[#This Row],[Age]]&lt;55,"45-54","55+"))))</f>
        <v>25-34</v>
      </c>
      <c r="M278" t="str">
        <f>TEXT(Table1[[#This Row],[Invoice_date]],"mmm")</f>
        <v>Feb</v>
      </c>
      <c r="N278">
        <f>YEAR(Table1[[#This Row],[Invoice_date]])</f>
        <v>2021</v>
      </c>
    </row>
    <row r="279" spans="1:14" x14ac:dyDescent="0.25">
      <c r="A279" t="s">
        <v>1607</v>
      </c>
      <c r="B279" t="s">
        <v>1608</v>
      </c>
      <c r="C279" t="s">
        <v>12</v>
      </c>
      <c r="D279">
        <v>34</v>
      </c>
      <c r="E279" t="s">
        <v>49</v>
      </c>
      <c r="F279">
        <v>5</v>
      </c>
      <c r="G279">
        <v>179.2</v>
      </c>
      <c r="H279" t="s">
        <v>4</v>
      </c>
      <c r="I279" s="2">
        <v>44291</v>
      </c>
      <c r="J279" t="s">
        <v>24</v>
      </c>
      <c r="K279" s="4">
        <f>Table1[[#This Row],[Quantity]]*Table1[[#This Row],[Price]]</f>
        <v>896</v>
      </c>
      <c r="L279" t="str">
        <f>IF(Table1[[#This Row],[Age]]&lt;25,"18-24",IF(Table1[[#This Row],[Age]]&lt;35,"25-34",IF(Table1[[#This Row],[Age]]&lt;45,"35-44",IF(Table1[[#This Row],[Age]]&lt;55,"45-54","55+"))))</f>
        <v>25-34</v>
      </c>
      <c r="M279" t="str">
        <f>TEXT(Table1[[#This Row],[Invoice_date]],"mmm")</f>
        <v>Apr</v>
      </c>
      <c r="N279">
        <f>YEAR(Table1[[#This Row],[Invoice_date]])</f>
        <v>2021</v>
      </c>
    </row>
    <row r="280" spans="1:14" x14ac:dyDescent="0.25">
      <c r="A280" t="s">
        <v>1627</v>
      </c>
      <c r="B280" t="s">
        <v>1628</v>
      </c>
      <c r="C280" t="s">
        <v>12</v>
      </c>
      <c r="D280">
        <v>28</v>
      </c>
      <c r="E280" t="s">
        <v>3</v>
      </c>
      <c r="F280">
        <v>3</v>
      </c>
      <c r="G280">
        <v>900.24</v>
      </c>
      <c r="H280" t="s">
        <v>18</v>
      </c>
      <c r="I280" s="2">
        <v>44697</v>
      </c>
      <c r="J280" t="s">
        <v>14</v>
      </c>
      <c r="K280" s="4">
        <f>Table1[[#This Row],[Quantity]]*Table1[[#This Row],[Price]]</f>
        <v>2700.7200000000003</v>
      </c>
      <c r="L280" t="str">
        <f>IF(Table1[[#This Row],[Age]]&lt;25,"18-24",IF(Table1[[#This Row],[Age]]&lt;35,"25-34",IF(Table1[[#This Row],[Age]]&lt;45,"35-44",IF(Table1[[#This Row],[Age]]&lt;55,"45-54","55+"))))</f>
        <v>25-34</v>
      </c>
      <c r="M280" t="str">
        <f>TEXT(Table1[[#This Row],[Invoice_date]],"mmm")</f>
        <v>May</v>
      </c>
      <c r="N280">
        <f>YEAR(Table1[[#This Row],[Invoice_date]])</f>
        <v>2022</v>
      </c>
    </row>
    <row r="281" spans="1:14" x14ac:dyDescent="0.25">
      <c r="A281" t="s">
        <v>1633</v>
      </c>
      <c r="B281" t="s">
        <v>1634</v>
      </c>
      <c r="C281" t="s">
        <v>12</v>
      </c>
      <c r="D281">
        <v>34</v>
      </c>
      <c r="E281" t="s">
        <v>3</v>
      </c>
      <c r="F281">
        <v>4</v>
      </c>
      <c r="G281">
        <v>1200.32</v>
      </c>
      <c r="H281" t="s">
        <v>13</v>
      </c>
      <c r="I281" s="2">
        <v>44851</v>
      </c>
      <c r="J281" t="s">
        <v>24</v>
      </c>
      <c r="K281" s="4">
        <f>Table1[[#This Row],[Quantity]]*Table1[[#This Row],[Price]]</f>
        <v>4801.28</v>
      </c>
      <c r="L281" t="str">
        <f>IF(Table1[[#This Row],[Age]]&lt;25,"18-24",IF(Table1[[#This Row],[Age]]&lt;35,"25-34",IF(Table1[[#This Row],[Age]]&lt;45,"35-44",IF(Table1[[#This Row],[Age]]&lt;55,"45-54","55+"))))</f>
        <v>25-34</v>
      </c>
      <c r="M281" t="str">
        <f>TEXT(Table1[[#This Row],[Invoice_date]],"mmm")</f>
        <v>Oct</v>
      </c>
      <c r="N281">
        <f>YEAR(Table1[[#This Row],[Invoice_date]])</f>
        <v>2022</v>
      </c>
    </row>
    <row r="282" spans="1:14" x14ac:dyDescent="0.25">
      <c r="A282" t="s">
        <v>1645</v>
      </c>
      <c r="B282" t="s">
        <v>1646</v>
      </c>
      <c r="C282" t="s">
        <v>12</v>
      </c>
      <c r="D282">
        <v>33</v>
      </c>
      <c r="E282" t="s">
        <v>17</v>
      </c>
      <c r="F282">
        <v>4</v>
      </c>
      <c r="G282">
        <v>60.6</v>
      </c>
      <c r="H282" t="s">
        <v>18</v>
      </c>
      <c r="I282" s="2">
        <v>44218</v>
      </c>
      <c r="J282" t="s">
        <v>5</v>
      </c>
      <c r="K282" s="4">
        <f>Table1[[#This Row],[Quantity]]*Table1[[#This Row],[Price]]</f>
        <v>242.4</v>
      </c>
      <c r="L282" t="str">
        <f>IF(Table1[[#This Row],[Age]]&lt;25,"18-24",IF(Table1[[#This Row],[Age]]&lt;35,"25-34",IF(Table1[[#This Row],[Age]]&lt;45,"35-44",IF(Table1[[#This Row],[Age]]&lt;55,"45-54","55+"))))</f>
        <v>25-34</v>
      </c>
      <c r="M282" t="str">
        <f>TEXT(Table1[[#This Row],[Invoice_date]],"mmm")</f>
        <v>Jan</v>
      </c>
      <c r="N282">
        <f>YEAR(Table1[[#This Row],[Invoice_date]])</f>
        <v>2021</v>
      </c>
    </row>
    <row r="283" spans="1:14" x14ac:dyDescent="0.25">
      <c r="A283" t="s">
        <v>1651</v>
      </c>
      <c r="B283" t="s">
        <v>1652</v>
      </c>
      <c r="C283" t="s">
        <v>2</v>
      </c>
      <c r="D283">
        <v>33</v>
      </c>
      <c r="E283" t="s">
        <v>8</v>
      </c>
      <c r="F283">
        <v>3</v>
      </c>
      <c r="G283">
        <v>121.98</v>
      </c>
      <c r="H283" t="s">
        <v>18</v>
      </c>
      <c r="I283" s="2">
        <v>44621</v>
      </c>
      <c r="J283" t="s">
        <v>63</v>
      </c>
      <c r="K283" s="4">
        <f>Table1[[#This Row],[Quantity]]*Table1[[#This Row],[Price]]</f>
        <v>365.94</v>
      </c>
      <c r="L283" t="str">
        <f>IF(Table1[[#This Row],[Age]]&lt;25,"18-24",IF(Table1[[#This Row],[Age]]&lt;35,"25-34",IF(Table1[[#This Row],[Age]]&lt;45,"35-44",IF(Table1[[#This Row],[Age]]&lt;55,"45-54","55+"))))</f>
        <v>25-34</v>
      </c>
      <c r="M283" t="str">
        <f>TEXT(Table1[[#This Row],[Invoice_date]],"mmm")</f>
        <v>Mar</v>
      </c>
      <c r="N283">
        <f>YEAR(Table1[[#This Row],[Invoice_date]])</f>
        <v>2022</v>
      </c>
    </row>
    <row r="284" spans="1:14" x14ac:dyDescent="0.25">
      <c r="A284" t="s">
        <v>1655</v>
      </c>
      <c r="B284" t="s">
        <v>1656</v>
      </c>
      <c r="C284" t="s">
        <v>12</v>
      </c>
      <c r="D284">
        <v>25</v>
      </c>
      <c r="E284" t="s">
        <v>3</v>
      </c>
      <c r="F284">
        <v>3</v>
      </c>
      <c r="G284">
        <v>900.24</v>
      </c>
      <c r="H284" t="s">
        <v>4</v>
      </c>
      <c r="I284" s="2">
        <v>44290</v>
      </c>
      <c r="J284" t="s">
        <v>5</v>
      </c>
      <c r="K284" s="4">
        <f>Table1[[#This Row],[Quantity]]*Table1[[#This Row],[Price]]</f>
        <v>2700.7200000000003</v>
      </c>
      <c r="L284" t="str">
        <f>IF(Table1[[#This Row],[Age]]&lt;25,"18-24",IF(Table1[[#This Row],[Age]]&lt;35,"25-34",IF(Table1[[#This Row],[Age]]&lt;45,"35-44",IF(Table1[[#This Row],[Age]]&lt;55,"45-54","55+"))))</f>
        <v>25-34</v>
      </c>
      <c r="M284" t="str">
        <f>TEXT(Table1[[#This Row],[Invoice_date]],"mmm")</f>
        <v>Apr</v>
      </c>
      <c r="N284">
        <f>YEAR(Table1[[#This Row],[Invoice_date]])</f>
        <v>2021</v>
      </c>
    </row>
    <row r="285" spans="1:14" x14ac:dyDescent="0.25">
      <c r="A285" t="s">
        <v>1659</v>
      </c>
      <c r="B285" t="s">
        <v>1660</v>
      </c>
      <c r="C285" t="s">
        <v>2</v>
      </c>
      <c r="D285">
        <v>34</v>
      </c>
      <c r="E285" t="s">
        <v>38</v>
      </c>
      <c r="F285">
        <v>1</v>
      </c>
      <c r="G285">
        <v>600.16999999999996</v>
      </c>
      <c r="H285" t="s">
        <v>4</v>
      </c>
      <c r="I285" s="2">
        <v>44247</v>
      </c>
      <c r="J285" t="s">
        <v>50</v>
      </c>
      <c r="K285" s="4">
        <f>Table1[[#This Row],[Quantity]]*Table1[[#This Row],[Price]]</f>
        <v>600.16999999999996</v>
      </c>
      <c r="L285" t="str">
        <f>IF(Table1[[#This Row],[Age]]&lt;25,"18-24",IF(Table1[[#This Row],[Age]]&lt;35,"25-34",IF(Table1[[#This Row],[Age]]&lt;45,"35-44",IF(Table1[[#This Row],[Age]]&lt;55,"45-54","55+"))))</f>
        <v>25-34</v>
      </c>
      <c r="M285" t="str">
        <f>TEXT(Table1[[#This Row],[Invoice_date]],"mmm")</f>
        <v>Feb</v>
      </c>
      <c r="N285">
        <f>YEAR(Table1[[#This Row],[Invoice_date]])</f>
        <v>2021</v>
      </c>
    </row>
    <row r="286" spans="1:14" x14ac:dyDescent="0.25">
      <c r="A286" t="s">
        <v>1663</v>
      </c>
      <c r="B286" t="s">
        <v>1664</v>
      </c>
      <c r="C286" t="s">
        <v>12</v>
      </c>
      <c r="D286">
        <v>34</v>
      </c>
      <c r="E286" t="s">
        <v>3</v>
      </c>
      <c r="F286">
        <v>2</v>
      </c>
      <c r="G286">
        <v>600.16</v>
      </c>
      <c r="H286" t="s">
        <v>18</v>
      </c>
      <c r="I286" s="2">
        <v>44298</v>
      </c>
      <c r="J286" t="s">
        <v>14</v>
      </c>
      <c r="K286" s="4">
        <f>Table1[[#This Row],[Quantity]]*Table1[[#This Row],[Price]]</f>
        <v>1200.32</v>
      </c>
      <c r="L286" t="str">
        <f>IF(Table1[[#This Row],[Age]]&lt;25,"18-24",IF(Table1[[#This Row],[Age]]&lt;35,"25-34",IF(Table1[[#This Row],[Age]]&lt;45,"35-44",IF(Table1[[#This Row],[Age]]&lt;55,"45-54","55+"))))</f>
        <v>25-34</v>
      </c>
      <c r="M286" t="str">
        <f>TEXT(Table1[[#This Row],[Invoice_date]],"mmm")</f>
        <v>Apr</v>
      </c>
      <c r="N286">
        <f>YEAR(Table1[[#This Row],[Invoice_date]])</f>
        <v>2021</v>
      </c>
    </row>
    <row r="287" spans="1:14" x14ac:dyDescent="0.25">
      <c r="A287" t="s">
        <v>1667</v>
      </c>
      <c r="B287" t="s">
        <v>1668</v>
      </c>
      <c r="C287" t="s">
        <v>12</v>
      </c>
      <c r="D287">
        <v>30</v>
      </c>
      <c r="E287" t="s">
        <v>38</v>
      </c>
      <c r="F287">
        <v>2</v>
      </c>
      <c r="G287">
        <v>1200.3399999999999</v>
      </c>
      <c r="H287" t="s">
        <v>4</v>
      </c>
      <c r="I287" s="2">
        <v>44475</v>
      </c>
      <c r="J287" t="s">
        <v>50</v>
      </c>
      <c r="K287" s="4">
        <f>Table1[[#This Row],[Quantity]]*Table1[[#This Row],[Price]]</f>
        <v>2400.6799999999998</v>
      </c>
      <c r="L287" t="str">
        <f>IF(Table1[[#This Row],[Age]]&lt;25,"18-24",IF(Table1[[#This Row],[Age]]&lt;35,"25-34",IF(Table1[[#This Row],[Age]]&lt;45,"35-44",IF(Table1[[#This Row],[Age]]&lt;55,"45-54","55+"))))</f>
        <v>25-34</v>
      </c>
      <c r="M287" t="str">
        <f>TEXT(Table1[[#This Row],[Invoice_date]],"mmm")</f>
        <v>Oct</v>
      </c>
      <c r="N287">
        <f>YEAR(Table1[[#This Row],[Invoice_date]])</f>
        <v>2021</v>
      </c>
    </row>
    <row r="288" spans="1:14" x14ac:dyDescent="0.25">
      <c r="A288" t="s">
        <v>1673</v>
      </c>
      <c r="B288" t="s">
        <v>1674</v>
      </c>
      <c r="C288" t="s">
        <v>2</v>
      </c>
      <c r="D288">
        <v>26</v>
      </c>
      <c r="E288" t="s">
        <v>3</v>
      </c>
      <c r="F288">
        <v>1</v>
      </c>
      <c r="G288">
        <v>300.08</v>
      </c>
      <c r="H288" t="s">
        <v>4</v>
      </c>
      <c r="I288" s="2">
        <v>44942</v>
      </c>
      <c r="J288" t="s">
        <v>33</v>
      </c>
      <c r="K288" s="4">
        <f>Table1[[#This Row],[Quantity]]*Table1[[#This Row],[Price]]</f>
        <v>300.08</v>
      </c>
      <c r="L288" t="str">
        <f>IF(Table1[[#This Row],[Age]]&lt;25,"18-24",IF(Table1[[#This Row],[Age]]&lt;35,"25-34",IF(Table1[[#This Row],[Age]]&lt;45,"35-44",IF(Table1[[#This Row],[Age]]&lt;55,"45-54","55+"))))</f>
        <v>25-34</v>
      </c>
      <c r="M288" t="str">
        <f>TEXT(Table1[[#This Row],[Invoice_date]],"mmm")</f>
        <v>Jan</v>
      </c>
      <c r="N288">
        <f>YEAR(Table1[[#This Row],[Invoice_date]])</f>
        <v>2023</v>
      </c>
    </row>
    <row r="289" spans="1:14" x14ac:dyDescent="0.25">
      <c r="A289" t="s">
        <v>1675</v>
      </c>
      <c r="B289" t="s">
        <v>1676</v>
      </c>
      <c r="C289" t="s">
        <v>12</v>
      </c>
      <c r="D289">
        <v>30</v>
      </c>
      <c r="E289" t="s">
        <v>3</v>
      </c>
      <c r="F289">
        <v>5</v>
      </c>
      <c r="G289">
        <v>1500.4</v>
      </c>
      <c r="H289" t="s">
        <v>13</v>
      </c>
      <c r="I289" s="2">
        <v>44453</v>
      </c>
      <c r="J289" t="s">
        <v>50</v>
      </c>
      <c r="K289" s="4">
        <f>Table1[[#This Row],[Quantity]]*Table1[[#This Row],[Price]]</f>
        <v>7502</v>
      </c>
      <c r="L289" t="str">
        <f>IF(Table1[[#This Row],[Age]]&lt;25,"18-24",IF(Table1[[#This Row],[Age]]&lt;35,"25-34",IF(Table1[[#This Row],[Age]]&lt;45,"35-44",IF(Table1[[#This Row],[Age]]&lt;55,"45-54","55+"))))</f>
        <v>25-34</v>
      </c>
      <c r="M289" t="str">
        <f>TEXT(Table1[[#This Row],[Invoice_date]],"mmm")</f>
        <v>Sep</v>
      </c>
      <c r="N289">
        <f>YEAR(Table1[[#This Row],[Invoice_date]])</f>
        <v>2021</v>
      </c>
    </row>
    <row r="290" spans="1:14" x14ac:dyDescent="0.25">
      <c r="A290" t="s">
        <v>1677</v>
      </c>
      <c r="B290" t="s">
        <v>1678</v>
      </c>
      <c r="C290" t="s">
        <v>12</v>
      </c>
      <c r="D290">
        <v>31</v>
      </c>
      <c r="E290" t="s">
        <v>17</v>
      </c>
      <c r="F290">
        <v>4</v>
      </c>
      <c r="G290">
        <v>60.6</v>
      </c>
      <c r="H290" t="s">
        <v>4</v>
      </c>
      <c r="I290" s="2">
        <v>44615</v>
      </c>
      <c r="J290" t="s">
        <v>14</v>
      </c>
      <c r="K290" s="4">
        <f>Table1[[#This Row],[Quantity]]*Table1[[#This Row],[Price]]</f>
        <v>242.4</v>
      </c>
      <c r="L290" t="str">
        <f>IF(Table1[[#This Row],[Age]]&lt;25,"18-24",IF(Table1[[#This Row],[Age]]&lt;35,"25-34",IF(Table1[[#This Row],[Age]]&lt;45,"35-44",IF(Table1[[#This Row],[Age]]&lt;55,"45-54","55+"))))</f>
        <v>25-34</v>
      </c>
      <c r="M290" t="str">
        <f>TEXT(Table1[[#This Row],[Invoice_date]],"mmm")</f>
        <v>Feb</v>
      </c>
      <c r="N290">
        <f>YEAR(Table1[[#This Row],[Invoice_date]])</f>
        <v>2022</v>
      </c>
    </row>
    <row r="291" spans="1:14" x14ac:dyDescent="0.25">
      <c r="A291" t="s">
        <v>1693</v>
      </c>
      <c r="B291" t="s">
        <v>1694</v>
      </c>
      <c r="C291" t="s">
        <v>12</v>
      </c>
      <c r="D291">
        <v>32</v>
      </c>
      <c r="E291" t="s">
        <v>27</v>
      </c>
      <c r="F291">
        <v>2</v>
      </c>
      <c r="G291">
        <v>10.46</v>
      </c>
      <c r="H291" t="s">
        <v>4</v>
      </c>
      <c r="I291" s="2">
        <v>44928</v>
      </c>
      <c r="J291" t="s">
        <v>33</v>
      </c>
      <c r="K291" s="4">
        <f>Table1[[#This Row],[Quantity]]*Table1[[#This Row],[Price]]</f>
        <v>20.92</v>
      </c>
      <c r="L291" t="str">
        <f>IF(Table1[[#This Row],[Age]]&lt;25,"18-24",IF(Table1[[#This Row],[Age]]&lt;35,"25-34",IF(Table1[[#This Row],[Age]]&lt;45,"35-44",IF(Table1[[#This Row],[Age]]&lt;55,"45-54","55+"))))</f>
        <v>25-34</v>
      </c>
      <c r="M291" t="str">
        <f>TEXT(Table1[[#This Row],[Invoice_date]],"mmm")</f>
        <v>Jan</v>
      </c>
      <c r="N291">
        <f>YEAR(Table1[[#This Row],[Invoice_date]])</f>
        <v>2023</v>
      </c>
    </row>
    <row r="292" spans="1:14" x14ac:dyDescent="0.25">
      <c r="A292" t="s">
        <v>1701</v>
      </c>
      <c r="B292" t="s">
        <v>1702</v>
      </c>
      <c r="C292" t="s">
        <v>2</v>
      </c>
      <c r="D292">
        <v>26</v>
      </c>
      <c r="E292" t="s">
        <v>38</v>
      </c>
      <c r="F292">
        <v>3</v>
      </c>
      <c r="G292">
        <v>1800.51</v>
      </c>
      <c r="H292" t="s">
        <v>4</v>
      </c>
      <c r="I292" s="2">
        <v>44380</v>
      </c>
      <c r="J292" t="s">
        <v>14</v>
      </c>
      <c r="K292" s="4">
        <f>Table1[[#This Row],[Quantity]]*Table1[[#This Row],[Price]]</f>
        <v>5401.53</v>
      </c>
      <c r="L292" t="str">
        <f>IF(Table1[[#This Row],[Age]]&lt;25,"18-24",IF(Table1[[#This Row],[Age]]&lt;35,"25-34",IF(Table1[[#This Row],[Age]]&lt;45,"35-44",IF(Table1[[#This Row],[Age]]&lt;55,"45-54","55+"))))</f>
        <v>25-34</v>
      </c>
      <c r="M292" t="str">
        <f>TEXT(Table1[[#This Row],[Invoice_date]],"mmm")</f>
        <v>Jul</v>
      </c>
      <c r="N292">
        <f>YEAR(Table1[[#This Row],[Invoice_date]])</f>
        <v>2021</v>
      </c>
    </row>
    <row r="293" spans="1:14" x14ac:dyDescent="0.25">
      <c r="A293" t="s">
        <v>1715</v>
      </c>
      <c r="B293" t="s">
        <v>1716</v>
      </c>
      <c r="C293" t="s">
        <v>2</v>
      </c>
      <c r="D293">
        <v>26</v>
      </c>
      <c r="E293" t="s">
        <v>38</v>
      </c>
      <c r="F293">
        <v>2</v>
      </c>
      <c r="G293">
        <v>1200.3399999999999</v>
      </c>
      <c r="H293" t="s">
        <v>4</v>
      </c>
      <c r="I293" s="2">
        <v>44344</v>
      </c>
      <c r="J293" t="s">
        <v>30</v>
      </c>
      <c r="K293" s="4">
        <f>Table1[[#This Row],[Quantity]]*Table1[[#This Row],[Price]]</f>
        <v>2400.6799999999998</v>
      </c>
      <c r="L293" t="str">
        <f>IF(Table1[[#This Row],[Age]]&lt;25,"18-24",IF(Table1[[#This Row],[Age]]&lt;35,"25-34",IF(Table1[[#This Row],[Age]]&lt;45,"35-44",IF(Table1[[#This Row],[Age]]&lt;55,"45-54","55+"))))</f>
        <v>25-34</v>
      </c>
      <c r="M293" t="str">
        <f>TEXT(Table1[[#This Row],[Invoice_date]],"mmm")</f>
        <v>May</v>
      </c>
      <c r="N293">
        <f>YEAR(Table1[[#This Row],[Invoice_date]])</f>
        <v>2021</v>
      </c>
    </row>
    <row r="294" spans="1:14" x14ac:dyDescent="0.25">
      <c r="A294" t="s">
        <v>1717</v>
      </c>
      <c r="B294" t="s">
        <v>1718</v>
      </c>
      <c r="C294" t="s">
        <v>2</v>
      </c>
      <c r="D294">
        <v>31</v>
      </c>
      <c r="E294" t="s">
        <v>3</v>
      </c>
      <c r="F294">
        <v>1</v>
      </c>
      <c r="G294">
        <v>300.08</v>
      </c>
      <c r="H294" t="s">
        <v>18</v>
      </c>
      <c r="I294" s="2">
        <v>44896</v>
      </c>
      <c r="J294" t="s">
        <v>63</v>
      </c>
      <c r="K294" s="4">
        <f>Table1[[#This Row],[Quantity]]*Table1[[#This Row],[Price]]</f>
        <v>300.08</v>
      </c>
      <c r="L294" t="str">
        <f>IF(Table1[[#This Row],[Age]]&lt;25,"18-24",IF(Table1[[#This Row],[Age]]&lt;35,"25-34",IF(Table1[[#This Row],[Age]]&lt;45,"35-44",IF(Table1[[#This Row],[Age]]&lt;55,"45-54","55+"))))</f>
        <v>25-34</v>
      </c>
      <c r="M294" t="str">
        <f>TEXT(Table1[[#This Row],[Invoice_date]],"mmm")</f>
        <v>Dec</v>
      </c>
      <c r="N294">
        <f>YEAR(Table1[[#This Row],[Invoice_date]])</f>
        <v>2022</v>
      </c>
    </row>
    <row r="295" spans="1:14" x14ac:dyDescent="0.25">
      <c r="A295" t="s">
        <v>1739</v>
      </c>
      <c r="B295" t="s">
        <v>1740</v>
      </c>
      <c r="C295" t="s">
        <v>12</v>
      </c>
      <c r="D295">
        <v>33</v>
      </c>
      <c r="E295" t="s">
        <v>3</v>
      </c>
      <c r="F295">
        <v>1</v>
      </c>
      <c r="G295">
        <v>300.08</v>
      </c>
      <c r="H295" t="s">
        <v>4</v>
      </c>
      <c r="I295" s="2">
        <v>44489</v>
      </c>
      <c r="J295" t="s">
        <v>33</v>
      </c>
      <c r="K295" s="4">
        <f>Table1[[#This Row],[Quantity]]*Table1[[#This Row],[Price]]</f>
        <v>300.08</v>
      </c>
      <c r="L295" t="str">
        <f>IF(Table1[[#This Row],[Age]]&lt;25,"18-24",IF(Table1[[#This Row],[Age]]&lt;35,"25-34",IF(Table1[[#This Row],[Age]]&lt;45,"35-44",IF(Table1[[#This Row],[Age]]&lt;55,"45-54","55+"))))</f>
        <v>25-34</v>
      </c>
      <c r="M295" t="str">
        <f>TEXT(Table1[[#This Row],[Invoice_date]],"mmm")</f>
        <v>Oct</v>
      </c>
      <c r="N295">
        <f>YEAR(Table1[[#This Row],[Invoice_date]])</f>
        <v>2021</v>
      </c>
    </row>
    <row r="296" spans="1:14" x14ac:dyDescent="0.25">
      <c r="A296" t="s">
        <v>1769</v>
      </c>
      <c r="B296" t="s">
        <v>1770</v>
      </c>
      <c r="C296" t="s">
        <v>12</v>
      </c>
      <c r="D296">
        <v>27</v>
      </c>
      <c r="E296" t="s">
        <v>38</v>
      </c>
      <c r="F296">
        <v>1</v>
      </c>
      <c r="G296">
        <v>600.16999999999996</v>
      </c>
      <c r="H296" t="s">
        <v>4</v>
      </c>
      <c r="I296" s="2">
        <v>44707</v>
      </c>
      <c r="J296" t="s">
        <v>24</v>
      </c>
      <c r="K296" s="4">
        <f>Table1[[#This Row],[Quantity]]*Table1[[#This Row],[Price]]</f>
        <v>600.16999999999996</v>
      </c>
      <c r="L296" t="str">
        <f>IF(Table1[[#This Row],[Age]]&lt;25,"18-24",IF(Table1[[#This Row],[Age]]&lt;35,"25-34",IF(Table1[[#This Row],[Age]]&lt;45,"35-44",IF(Table1[[#This Row],[Age]]&lt;55,"45-54","55+"))))</f>
        <v>25-34</v>
      </c>
      <c r="M296" t="str">
        <f>TEXT(Table1[[#This Row],[Invoice_date]],"mmm")</f>
        <v>May</v>
      </c>
      <c r="N296">
        <f>YEAR(Table1[[#This Row],[Invoice_date]])</f>
        <v>2022</v>
      </c>
    </row>
    <row r="297" spans="1:14" x14ac:dyDescent="0.25">
      <c r="A297" t="s">
        <v>1775</v>
      </c>
      <c r="B297" t="s">
        <v>1776</v>
      </c>
      <c r="C297" t="s">
        <v>12</v>
      </c>
      <c r="D297">
        <v>27</v>
      </c>
      <c r="E297" t="s">
        <v>49</v>
      </c>
      <c r="F297">
        <v>3</v>
      </c>
      <c r="G297">
        <v>107.52</v>
      </c>
      <c r="H297" t="s">
        <v>18</v>
      </c>
      <c r="I297" s="2">
        <v>44880</v>
      </c>
      <c r="J297" t="s">
        <v>24</v>
      </c>
      <c r="K297" s="4">
        <f>Table1[[#This Row],[Quantity]]*Table1[[#This Row],[Price]]</f>
        <v>322.56</v>
      </c>
      <c r="L297" t="str">
        <f>IF(Table1[[#This Row],[Age]]&lt;25,"18-24",IF(Table1[[#This Row],[Age]]&lt;35,"25-34",IF(Table1[[#This Row],[Age]]&lt;45,"35-44",IF(Table1[[#This Row],[Age]]&lt;55,"45-54","55+"))))</f>
        <v>25-34</v>
      </c>
      <c r="M297" t="str">
        <f>TEXT(Table1[[#This Row],[Invoice_date]],"mmm")</f>
        <v>Nov</v>
      </c>
      <c r="N297">
        <f>YEAR(Table1[[#This Row],[Invoice_date]])</f>
        <v>2022</v>
      </c>
    </row>
    <row r="298" spans="1:14" x14ac:dyDescent="0.25">
      <c r="A298" t="s">
        <v>1803</v>
      </c>
      <c r="B298" t="s">
        <v>1804</v>
      </c>
      <c r="C298" t="s">
        <v>12</v>
      </c>
      <c r="D298">
        <v>28</v>
      </c>
      <c r="E298" t="s">
        <v>3</v>
      </c>
      <c r="F298">
        <v>2</v>
      </c>
      <c r="G298">
        <v>600.16</v>
      </c>
      <c r="H298" t="s">
        <v>18</v>
      </c>
      <c r="I298" s="2">
        <v>44646</v>
      </c>
      <c r="J298" t="s">
        <v>14</v>
      </c>
      <c r="K298" s="4">
        <f>Table1[[#This Row],[Quantity]]*Table1[[#This Row],[Price]]</f>
        <v>1200.32</v>
      </c>
      <c r="L298" t="str">
        <f>IF(Table1[[#This Row],[Age]]&lt;25,"18-24",IF(Table1[[#This Row],[Age]]&lt;35,"25-34",IF(Table1[[#This Row],[Age]]&lt;45,"35-44",IF(Table1[[#This Row],[Age]]&lt;55,"45-54","55+"))))</f>
        <v>25-34</v>
      </c>
      <c r="M298" t="str">
        <f>TEXT(Table1[[#This Row],[Invoice_date]],"mmm")</f>
        <v>Mar</v>
      </c>
      <c r="N298">
        <f>YEAR(Table1[[#This Row],[Invoice_date]])</f>
        <v>2022</v>
      </c>
    </row>
    <row r="299" spans="1:14" x14ac:dyDescent="0.25">
      <c r="A299" t="s">
        <v>1831</v>
      </c>
      <c r="B299" t="s">
        <v>1832</v>
      </c>
      <c r="C299" t="s">
        <v>2</v>
      </c>
      <c r="D299">
        <v>33</v>
      </c>
      <c r="E299" t="s">
        <v>38</v>
      </c>
      <c r="F299">
        <v>5</v>
      </c>
      <c r="G299">
        <v>3000.85</v>
      </c>
      <c r="H299" t="s">
        <v>13</v>
      </c>
      <c r="I299" s="2">
        <v>44306</v>
      </c>
      <c r="J299" t="s">
        <v>9</v>
      </c>
      <c r="K299" s="4">
        <f>Table1[[#This Row],[Quantity]]*Table1[[#This Row],[Price]]</f>
        <v>15004.25</v>
      </c>
      <c r="L299" t="str">
        <f>IF(Table1[[#This Row],[Age]]&lt;25,"18-24",IF(Table1[[#This Row],[Age]]&lt;35,"25-34",IF(Table1[[#This Row],[Age]]&lt;45,"35-44",IF(Table1[[#This Row],[Age]]&lt;55,"45-54","55+"))))</f>
        <v>25-34</v>
      </c>
      <c r="M299" t="str">
        <f>TEXT(Table1[[#This Row],[Invoice_date]],"mmm")</f>
        <v>Apr</v>
      </c>
      <c r="N299">
        <f>YEAR(Table1[[#This Row],[Invoice_date]])</f>
        <v>2021</v>
      </c>
    </row>
    <row r="300" spans="1:14" x14ac:dyDescent="0.25">
      <c r="A300" t="s">
        <v>1843</v>
      </c>
      <c r="B300" t="s">
        <v>1844</v>
      </c>
      <c r="C300" t="s">
        <v>2</v>
      </c>
      <c r="D300">
        <v>27</v>
      </c>
      <c r="E300" t="s">
        <v>3</v>
      </c>
      <c r="F300">
        <v>5</v>
      </c>
      <c r="G300">
        <v>1500.4</v>
      </c>
      <c r="H300" t="s">
        <v>13</v>
      </c>
      <c r="I300" s="2">
        <v>44877</v>
      </c>
      <c r="J300" t="s">
        <v>74</v>
      </c>
      <c r="K300" s="4">
        <f>Table1[[#This Row],[Quantity]]*Table1[[#This Row],[Price]]</f>
        <v>7502</v>
      </c>
      <c r="L300" t="str">
        <f>IF(Table1[[#This Row],[Age]]&lt;25,"18-24",IF(Table1[[#This Row],[Age]]&lt;35,"25-34",IF(Table1[[#This Row],[Age]]&lt;45,"35-44",IF(Table1[[#This Row],[Age]]&lt;55,"45-54","55+"))))</f>
        <v>25-34</v>
      </c>
      <c r="M300" t="str">
        <f>TEXT(Table1[[#This Row],[Invoice_date]],"mmm")</f>
        <v>Nov</v>
      </c>
      <c r="N300">
        <f>YEAR(Table1[[#This Row],[Invoice_date]])</f>
        <v>2022</v>
      </c>
    </row>
    <row r="301" spans="1:14" x14ac:dyDescent="0.25">
      <c r="A301" t="s">
        <v>1867</v>
      </c>
      <c r="B301" t="s">
        <v>1868</v>
      </c>
      <c r="C301" t="s">
        <v>12</v>
      </c>
      <c r="D301">
        <v>25</v>
      </c>
      <c r="E301" t="s">
        <v>49</v>
      </c>
      <c r="F301">
        <v>4</v>
      </c>
      <c r="G301">
        <v>143.36000000000001</v>
      </c>
      <c r="H301" t="s">
        <v>18</v>
      </c>
      <c r="I301" s="2">
        <v>44797</v>
      </c>
      <c r="J301" t="s">
        <v>14</v>
      </c>
      <c r="K301" s="4">
        <f>Table1[[#This Row],[Quantity]]*Table1[[#This Row],[Price]]</f>
        <v>573.44000000000005</v>
      </c>
      <c r="L301" t="str">
        <f>IF(Table1[[#This Row],[Age]]&lt;25,"18-24",IF(Table1[[#This Row],[Age]]&lt;35,"25-34",IF(Table1[[#This Row],[Age]]&lt;45,"35-44",IF(Table1[[#This Row],[Age]]&lt;55,"45-54","55+"))))</f>
        <v>25-34</v>
      </c>
      <c r="M301" t="str">
        <f>TEXT(Table1[[#This Row],[Invoice_date]],"mmm")</f>
        <v>Aug</v>
      </c>
      <c r="N301">
        <f>YEAR(Table1[[#This Row],[Invoice_date]])</f>
        <v>2022</v>
      </c>
    </row>
    <row r="302" spans="1:14" x14ac:dyDescent="0.25">
      <c r="A302" t="s">
        <v>1871</v>
      </c>
      <c r="B302" t="s">
        <v>1872</v>
      </c>
      <c r="C302" t="s">
        <v>12</v>
      </c>
      <c r="D302">
        <v>29</v>
      </c>
      <c r="E302" t="s">
        <v>49</v>
      </c>
      <c r="F302">
        <v>4</v>
      </c>
      <c r="G302">
        <v>143.36000000000001</v>
      </c>
      <c r="H302" t="s">
        <v>4</v>
      </c>
      <c r="I302" s="2">
        <v>44890</v>
      </c>
      <c r="J302" t="s">
        <v>50</v>
      </c>
      <c r="K302" s="4">
        <f>Table1[[#This Row],[Quantity]]*Table1[[#This Row],[Price]]</f>
        <v>573.44000000000005</v>
      </c>
      <c r="L302" t="str">
        <f>IF(Table1[[#This Row],[Age]]&lt;25,"18-24",IF(Table1[[#This Row],[Age]]&lt;35,"25-34",IF(Table1[[#This Row],[Age]]&lt;45,"35-44",IF(Table1[[#This Row],[Age]]&lt;55,"45-54","55+"))))</f>
        <v>25-34</v>
      </c>
      <c r="M302" t="str">
        <f>TEXT(Table1[[#This Row],[Invoice_date]],"mmm")</f>
        <v>Nov</v>
      </c>
      <c r="N302">
        <f>YEAR(Table1[[#This Row],[Invoice_date]])</f>
        <v>2022</v>
      </c>
    </row>
    <row r="303" spans="1:14" x14ac:dyDescent="0.25">
      <c r="A303" t="s">
        <v>1873</v>
      </c>
      <c r="B303" t="s">
        <v>1874</v>
      </c>
      <c r="C303" t="s">
        <v>12</v>
      </c>
      <c r="D303">
        <v>26</v>
      </c>
      <c r="E303" t="s">
        <v>27</v>
      </c>
      <c r="F303">
        <v>4</v>
      </c>
      <c r="G303">
        <v>20.92</v>
      </c>
      <c r="H303" t="s">
        <v>13</v>
      </c>
      <c r="I303" s="2">
        <v>44807</v>
      </c>
      <c r="J303" t="s">
        <v>63</v>
      </c>
      <c r="K303" s="4">
        <f>Table1[[#This Row],[Quantity]]*Table1[[#This Row],[Price]]</f>
        <v>83.68</v>
      </c>
      <c r="L303" t="str">
        <f>IF(Table1[[#This Row],[Age]]&lt;25,"18-24",IF(Table1[[#This Row],[Age]]&lt;35,"25-34",IF(Table1[[#This Row],[Age]]&lt;45,"35-44",IF(Table1[[#This Row],[Age]]&lt;55,"45-54","55+"))))</f>
        <v>25-34</v>
      </c>
      <c r="M303" t="str">
        <f>TEXT(Table1[[#This Row],[Invoice_date]],"mmm")</f>
        <v>Sep</v>
      </c>
      <c r="N303">
        <f>YEAR(Table1[[#This Row],[Invoice_date]])</f>
        <v>2022</v>
      </c>
    </row>
    <row r="304" spans="1:14" x14ac:dyDescent="0.25">
      <c r="A304" t="s">
        <v>1897</v>
      </c>
      <c r="B304" t="s">
        <v>1898</v>
      </c>
      <c r="C304" t="s">
        <v>12</v>
      </c>
      <c r="D304">
        <v>27</v>
      </c>
      <c r="E304" t="s">
        <v>8</v>
      </c>
      <c r="F304">
        <v>5</v>
      </c>
      <c r="G304">
        <v>203.3</v>
      </c>
      <c r="H304" t="s">
        <v>18</v>
      </c>
      <c r="I304" s="2">
        <v>44939</v>
      </c>
      <c r="J304" t="s">
        <v>24</v>
      </c>
      <c r="K304" s="4">
        <f>Table1[[#This Row],[Quantity]]*Table1[[#This Row],[Price]]</f>
        <v>1016.5</v>
      </c>
      <c r="L304" t="str">
        <f>IF(Table1[[#This Row],[Age]]&lt;25,"18-24",IF(Table1[[#This Row],[Age]]&lt;35,"25-34",IF(Table1[[#This Row],[Age]]&lt;45,"35-44",IF(Table1[[#This Row],[Age]]&lt;55,"45-54","55+"))))</f>
        <v>25-34</v>
      </c>
      <c r="M304" t="str">
        <f>TEXT(Table1[[#This Row],[Invoice_date]],"mmm")</f>
        <v>Jan</v>
      </c>
      <c r="N304">
        <f>YEAR(Table1[[#This Row],[Invoice_date]])</f>
        <v>2023</v>
      </c>
    </row>
    <row r="305" spans="1:14" x14ac:dyDescent="0.25">
      <c r="A305" t="s">
        <v>1903</v>
      </c>
      <c r="B305" t="s">
        <v>1904</v>
      </c>
      <c r="C305" t="s">
        <v>2</v>
      </c>
      <c r="D305">
        <v>26</v>
      </c>
      <c r="E305" t="s">
        <v>38</v>
      </c>
      <c r="F305">
        <v>5</v>
      </c>
      <c r="G305">
        <v>3000.85</v>
      </c>
      <c r="H305" t="s">
        <v>13</v>
      </c>
      <c r="I305" s="2">
        <v>44699</v>
      </c>
      <c r="J305" t="s">
        <v>14</v>
      </c>
      <c r="K305" s="4">
        <f>Table1[[#This Row],[Quantity]]*Table1[[#This Row],[Price]]</f>
        <v>15004.25</v>
      </c>
      <c r="L305" t="str">
        <f>IF(Table1[[#This Row],[Age]]&lt;25,"18-24",IF(Table1[[#This Row],[Age]]&lt;35,"25-34",IF(Table1[[#This Row],[Age]]&lt;45,"35-44",IF(Table1[[#This Row],[Age]]&lt;55,"45-54","55+"))))</f>
        <v>25-34</v>
      </c>
      <c r="M305" t="str">
        <f>TEXT(Table1[[#This Row],[Invoice_date]],"mmm")</f>
        <v>May</v>
      </c>
      <c r="N305">
        <f>YEAR(Table1[[#This Row],[Invoice_date]])</f>
        <v>2022</v>
      </c>
    </row>
    <row r="306" spans="1:14" x14ac:dyDescent="0.25">
      <c r="A306" t="s">
        <v>1907</v>
      </c>
      <c r="B306" t="s">
        <v>1908</v>
      </c>
      <c r="C306" t="s">
        <v>12</v>
      </c>
      <c r="D306">
        <v>28</v>
      </c>
      <c r="E306" t="s">
        <v>3</v>
      </c>
      <c r="F306">
        <v>5</v>
      </c>
      <c r="G306">
        <v>1500.4</v>
      </c>
      <c r="H306" t="s">
        <v>18</v>
      </c>
      <c r="I306" s="2">
        <v>44682</v>
      </c>
      <c r="J306" t="s">
        <v>24</v>
      </c>
      <c r="K306" s="4">
        <f>Table1[[#This Row],[Quantity]]*Table1[[#This Row],[Price]]</f>
        <v>7502</v>
      </c>
      <c r="L306" t="str">
        <f>IF(Table1[[#This Row],[Age]]&lt;25,"18-24",IF(Table1[[#This Row],[Age]]&lt;35,"25-34",IF(Table1[[#This Row],[Age]]&lt;45,"35-44",IF(Table1[[#This Row],[Age]]&lt;55,"45-54","55+"))))</f>
        <v>25-34</v>
      </c>
      <c r="M306" t="str">
        <f>TEXT(Table1[[#This Row],[Invoice_date]],"mmm")</f>
        <v>May</v>
      </c>
      <c r="N306">
        <f>YEAR(Table1[[#This Row],[Invoice_date]])</f>
        <v>2022</v>
      </c>
    </row>
    <row r="307" spans="1:14" x14ac:dyDescent="0.25">
      <c r="A307" t="s">
        <v>1911</v>
      </c>
      <c r="B307" t="s">
        <v>1912</v>
      </c>
      <c r="C307" t="s">
        <v>2</v>
      </c>
      <c r="D307">
        <v>33</v>
      </c>
      <c r="E307" t="s">
        <v>8</v>
      </c>
      <c r="F307">
        <v>2</v>
      </c>
      <c r="G307">
        <v>81.319999999999993</v>
      </c>
      <c r="H307" t="s">
        <v>4</v>
      </c>
      <c r="I307" s="2">
        <v>44533</v>
      </c>
      <c r="J307" t="s">
        <v>43</v>
      </c>
      <c r="K307" s="4">
        <f>Table1[[#This Row],[Quantity]]*Table1[[#This Row],[Price]]</f>
        <v>162.63999999999999</v>
      </c>
      <c r="L307" t="str">
        <f>IF(Table1[[#This Row],[Age]]&lt;25,"18-24",IF(Table1[[#This Row],[Age]]&lt;35,"25-34",IF(Table1[[#This Row],[Age]]&lt;45,"35-44",IF(Table1[[#This Row],[Age]]&lt;55,"45-54","55+"))))</f>
        <v>25-34</v>
      </c>
      <c r="M307" t="str">
        <f>TEXT(Table1[[#This Row],[Invoice_date]],"mmm")</f>
        <v>Dec</v>
      </c>
      <c r="N307">
        <f>YEAR(Table1[[#This Row],[Invoice_date]])</f>
        <v>2021</v>
      </c>
    </row>
    <row r="308" spans="1:14" x14ac:dyDescent="0.25">
      <c r="A308" t="s">
        <v>1913</v>
      </c>
      <c r="B308" t="s">
        <v>1914</v>
      </c>
      <c r="C308" t="s">
        <v>12</v>
      </c>
      <c r="D308">
        <v>34</v>
      </c>
      <c r="E308" t="s">
        <v>3</v>
      </c>
      <c r="F308">
        <v>1</v>
      </c>
      <c r="G308">
        <v>300.08</v>
      </c>
      <c r="H308" t="s">
        <v>4</v>
      </c>
      <c r="I308" s="2">
        <v>44737</v>
      </c>
      <c r="J308" t="s">
        <v>24</v>
      </c>
      <c r="K308" s="4">
        <f>Table1[[#This Row],[Quantity]]*Table1[[#This Row],[Price]]</f>
        <v>300.08</v>
      </c>
      <c r="L308" t="str">
        <f>IF(Table1[[#This Row],[Age]]&lt;25,"18-24",IF(Table1[[#This Row],[Age]]&lt;35,"25-34",IF(Table1[[#This Row],[Age]]&lt;45,"35-44",IF(Table1[[#This Row],[Age]]&lt;55,"45-54","55+"))))</f>
        <v>25-34</v>
      </c>
      <c r="M308" t="str">
        <f>TEXT(Table1[[#This Row],[Invoice_date]],"mmm")</f>
        <v>Jun</v>
      </c>
      <c r="N308">
        <f>YEAR(Table1[[#This Row],[Invoice_date]])</f>
        <v>2022</v>
      </c>
    </row>
    <row r="309" spans="1:14" x14ac:dyDescent="0.25">
      <c r="A309" t="s">
        <v>1917</v>
      </c>
      <c r="B309" t="s">
        <v>1918</v>
      </c>
      <c r="C309" t="s">
        <v>2</v>
      </c>
      <c r="D309">
        <v>30</v>
      </c>
      <c r="E309" t="s">
        <v>27</v>
      </c>
      <c r="F309">
        <v>4</v>
      </c>
      <c r="G309">
        <v>20.92</v>
      </c>
      <c r="H309" t="s">
        <v>4</v>
      </c>
      <c r="I309" s="2">
        <v>44233</v>
      </c>
      <c r="J309" t="s">
        <v>14</v>
      </c>
      <c r="K309" s="4">
        <f>Table1[[#This Row],[Quantity]]*Table1[[#This Row],[Price]]</f>
        <v>83.68</v>
      </c>
      <c r="L309" t="str">
        <f>IF(Table1[[#This Row],[Age]]&lt;25,"18-24",IF(Table1[[#This Row],[Age]]&lt;35,"25-34",IF(Table1[[#This Row],[Age]]&lt;45,"35-44",IF(Table1[[#This Row],[Age]]&lt;55,"45-54","55+"))))</f>
        <v>25-34</v>
      </c>
      <c r="M309" t="str">
        <f>TEXT(Table1[[#This Row],[Invoice_date]],"mmm")</f>
        <v>Feb</v>
      </c>
      <c r="N309">
        <f>YEAR(Table1[[#This Row],[Invoice_date]])</f>
        <v>2021</v>
      </c>
    </row>
    <row r="310" spans="1:14" x14ac:dyDescent="0.25">
      <c r="A310" t="s">
        <v>1921</v>
      </c>
      <c r="B310" t="s">
        <v>1922</v>
      </c>
      <c r="C310" t="s">
        <v>12</v>
      </c>
      <c r="D310">
        <v>34</v>
      </c>
      <c r="E310" t="s">
        <v>21</v>
      </c>
      <c r="F310">
        <v>3</v>
      </c>
      <c r="G310">
        <v>3150</v>
      </c>
      <c r="H310" t="s">
        <v>18</v>
      </c>
      <c r="I310" s="2">
        <v>44221</v>
      </c>
      <c r="J310" t="s">
        <v>14</v>
      </c>
      <c r="K310" s="4">
        <f>Table1[[#This Row],[Quantity]]*Table1[[#This Row],[Price]]</f>
        <v>9450</v>
      </c>
      <c r="L310" t="str">
        <f>IF(Table1[[#This Row],[Age]]&lt;25,"18-24",IF(Table1[[#This Row],[Age]]&lt;35,"25-34",IF(Table1[[#This Row],[Age]]&lt;45,"35-44",IF(Table1[[#This Row],[Age]]&lt;55,"45-54","55+"))))</f>
        <v>25-34</v>
      </c>
      <c r="M310" t="str">
        <f>TEXT(Table1[[#This Row],[Invoice_date]],"mmm")</f>
        <v>Jan</v>
      </c>
      <c r="N310">
        <f>YEAR(Table1[[#This Row],[Invoice_date]])</f>
        <v>2021</v>
      </c>
    </row>
    <row r="311" spans="1:14" x14ac:dyDescent="0.25">
      <c r="A311" t="s">
        <v>1927</v>
      </c>
      <c r="B311" t="s">
        <v>1928</v>
      </c>
      <c r="C311" t="s">
        <v>12</v>
      </c>
      <c r="D311">
        <v>30</v>
      </c>
      <c r="E311" t="s">
        <v>46</v>
      </c>
      <c r="F311">
        <v>4</v>
      </c>
      <c r="G311">
        <v>46.92</v>
      </c>
      <c r="H311" t="s">
        <v>18</v>
      </c>
      <c r="I311" s="2">
        <v>44864</v>
      </c>
      <c r="J311" t="s">
        <v>50</v>
      </c>
      <c r="K311" s="4">
        <f>Table1[[#This Row],[Quantity]]*Table1[[#This Row],[Price]]</f>
        <v>187.68</v>
      </c>
      <c r="L311" t="str">
        <f>IF(Table1[[#This Row],[Age]]&lt;25,"18-24",IF(Table1[[#This Row],[Age]]&lt;35,"25-34",IF(Table1[[#This Row],[Age]]&lt;45,"35-44",IF(Table1[[#This Row],[Age]]&lt;55,"45-54","55+"))))</f>
        <v>25-34</v>
      </c>
      <c r="M311" t="str">
        <f>TEXT(Table1[[#This Row],[Invoice_date]],"mmm")</f>
        <v>Oct</v>
      </c>
      <c r="N311">
        <f>YEAR(Table1[[#This Row],[Invoice_date]])</f>
        <v>2022</v>
      </c>
    </row>
    <row r="312" spans="1:14" x14ac:dyDescent="0.25">
      <c r="A312" t="s">
        <v>1937</v>
      </c>
      <c r="B312" t="s">
        <v>1938</v>
      </c>
      <c r="C312" t="s">
        <v>12</v>
      </c>
      <c r="D312">
        <v>28</v>
      </c>
      <c r="E312" t="s">
        <v>17</v>
      </c>
      <c r="F312">
        <v>3</v>
      </c>
      <c r="G312">
        <v>45.45</v>
      </c>
      <c r="H312" t="s">
        <v>18</v>
      </c>
      <c r="I312" s="2">
        <v>44481</v>
      </c>
      <c r="J312" t="s">
        <v>24</v>
      </c>
      <c r="K312" s="4">
        <f>Table1[[#This Row],[Quantity]]*Table1[[#This Row],[Price]]</f>
        <v>136.35000000000002</v>
      </c>
      <c r="L312" t="str">
        <f>IF(Table1[[#This Row],[Age]]&lt;25,"18-24",IF(Table1[[#This Row],[Age]]&lt;35,"25-34",IF(Table1[[#This Row],[Age]]&lt;45,"35-44",IF(Table1[[#This Row],[Age]]&lt;55,"45-54","55+"))))</f>
        <v>25-34</v>
      </c>
      <c r="M312" t="str">
        <f>TEXT(Table1[[#This Row],[Invoice_date]],"mmm")</f>
        <v>Oct</v>
      </c>
      <c r="N312">
        <f>YEAR(Table1[[#This Row],[Invoice_date]])</f>
        <v>2021</v>
      </c>
    </row>
    <row r="313" spans="1:14" x14ac:dyDescent="0.25">
      <c r="A313" t="s">
        <v>1943</v>
      </c>
      <c r="B313" t="s">
        <v>1944</v>
      </c>
      <c r="C313" t="s">
        <v>2</v>
      </c>
      <c r="D313">
        <v>34</v>
      </c>
      <c r="E313" t="s">
        <v>49</v>
      </c>
      <c r="F313">
        <v>3</v>
      </c>
      <c r="G313">
        <v>107.52</v>
      </c>
      <c r="H313" t="s">
        <v>18</v>
      </c>
      <c r="I313" s="2">
        <v>44425</v>
      </c>
      <c r="J313" t="s">
        <v>24</v>
      </c>
      <c r="K313" s="4">
        <f>Table1[[#This Row],[Quantity]]*Table1[[#This Row],[Price]]</f>
        <v>322.56</v>
      </c>
      <c r="L313" t="str">
        <f>IF(Table1[[#This Row],[Age]]&lt;25,"18-24",IF(Table1[[#This Row],[Age]]&lt;35,"25-34",IF(Table1[[#This Row],[Age]]&lt;45,"35-44",IF(Table1[[#This Row],[Age]]&lt;55,"45-54","55+"))))</f>
        <v>25-34</v>
      </c>
      <c r="M313" t="str">
        <f>TEXT(Table1[[#This Row],[Invoice_date]],"mmm")</f>
        <v>Aug</v>
      </c>
      <c r="N313">
        <f>YEAR(Table1[[#This Row],[Invoice_date]])</f>
        <v>2021</v>
      </c>
    </row>
    <row r="314" spans="1:14" x14ac:dyDescent="0.25">
      <c r="A314" t="s">
        <v>1947</v>
      </c>
      <c r="B314" t="s">
        <v>1948</v>
      </c>
      <c r="C314" t="s">
        <v>2</v>
      </c>
      <c r="D314">
        <v>33</v>
      </c>
      <c r="E314" t="s">
        <v>27</v>
      </c>
      <c r="F314">
        <v>1</v>
      </c>
      <c r="G314">
        <v>5.23</v>
      </c>
      <c r="H314" t="s">
        <v>4</v>
      </c>
      <c r="I314" s="2">
        <v>44596</v>
      </c>
      <c r="J314" t="s">
        <v>50</v>
      </c>
      <c r="K314" s="4">
        <f>Table1[[#This Row],[Quantity]]*Table1[[#This Row],[Price]]</f>
        <v>5.23</v>
      </c>
      <c r="L314" t="str">
        <f>IF(Table1[[#This Row],[Age]]&lt;25,"18-24",IF(Table1[[#This Row],[Age]]&lt;35,"25-34",IF(Table1[[#This Row],[Age]]&lt;45,"35-44",IF(Table1[[#This Row],[Age]]&lt;55,"45-54","55+"))))</f>
        <v>25-34</v>
      </c>
      <c r="M314" t="str">
        <f>TEXT(Table1[[#This Row],[Invoice_date]],"mmm")</f>
        <v>Feb</v>
      </c>
      <c r="N314">
        <f>YEAR(Table1[[#This Row],[Invoice_date]])</f>
        <v>2022</v>
      </c>
    </row>
    <row r="315" spans="1:14" x14ac:dyDescent="0.25">
      <c r="A315" t="s">
        <v>1959</v>
      </c>
      <c r="B315" t="s">
        <v>1960</v>
      </c>
      <c r="C315" t="s">
        <v>12</v>
      </c>
      <c r="D315">
        <v>27</v>
      </c>
      <c r="E315" t="s">
        <v>17</v>
      </c>
      <c r="F315">
        <v>4</v>
      </c>
      <c r="G315">
        <v>60.6</v>
      </c>
      <c r="H315" t="s">
        <v>4</v>
      </c>
      <c r="I315" s="2">
        <v>44364</v>
      </c>
      <c r="J315" t="s">
        <v>14</v>
      </c>
      <c r="K315" s="4">
        <f>Table1[[#This Row],[Quantity]]*Table1[[#This Row],[Price]]</f>
        <v>242.4</v>
      </c>
      <c r="L315" t="str">
        <f>IF(Table1[[#This Row],[Age]]&lt;25,"18-24",IF(Table1[[#This Row],[Age]]&lt;35,"25-34",IF(Table1[[#This Row],[Age]]&lt;45,"35-44",IF(Table1[[#This Row],[Age]]&lt;55,"45-54","55+"))))</f>
        <v>25-34</v>
      </c>
      <c r="M315" t="str">
        <f>TEXT(Table1[[#This Row],[Invoice_date]],"mmm")</f>
        <v>Jun</v>
      </c>
      <c r="N315">
        <f>YEAR(Table1[[#This Row],[Invoice_date]])</f>
        <v>2021</v>
      </c>
    </row>
    <row r="316" spans="1:14" x14ac:dyDescent="0.25">
      <c r="A316" t="s">
        <v>1983</v>
      </c>
      <c r="B316" t="s">
        <v>1984</v>
      </c>
      <c r="C316" t="s">
        <v>12</v>
      </c>
      <c r="D316">
        <v>33</v>
      </c>
      <c r="E316" t="s">
        <v>27</v>
      </c>
      <c r="F316">
        <v>1</v>
      </c>
      <c r="G316">
        <v>5.23</v>
      </c>
      <c r="H316" t="s">
        <v>18</v>
      </c>
      <c r="I316" s="2">
        <v>44222</v>
      </c>
      <c r="J316" t="s">
        <v>5</v>
      </c>
      <c r="K316" s="4">
        <f>Table1[[#This Row],[Quantity]]*Table1[[#This Row],[Price]]</f>
        <v>5.23</v>
      </c>
      <c r="L316" t="str">
        <f>IF(Table1[[#This Row],[Age]]&lt;25,"18-24",IF(Table1[[#This Row],[Age]]&lt;35,"25-34",IF(Table1[[#This Row],[Age]]&lt;45,"35-44",IF(Table1[[#This Row],[Age]]&lt;55,"45-54","55+"))))</f>
        <v>25-34</v>
      </c>
      <c r="M316" t="str">
        <f>TEXT(Table1[[#This Row],[Invoice_date]],"mmm")</f>
        <v>Jan</v>
      </c>
      <c r="N316">
        <f>YEAR(Table1[[#This Row],[Invoice_date]])</f>
        <v>2021</v>
      </c>
    </row>
    <row r="317" spans="1:14" x14ac:dyDescent="0.25">
      <c r="A317" t="s">
        <v>1987</v>
      </c>
      <c r="B317" t="s">
        <v>1988</v>
      </c>
      <c r="C317" t="s">
        <v>2</v>
      </c>
      <c r="D317">
        <v>34</v>
      </c>
      <c r="E317" t="s">
        <v>27</v>
      </c>
      <c r="F317">
        <v>4</v>
      </c>
      <c r="G317">
        <v>20.92</v>
      </c>
      <c r="H317" t="s">
        <v>18</v>
      </c>
      <c r="I317" s="2">
        <v>44699</v>
      </c>
      <c r="J317" t="s">
        <v>14</v>
      </c>
      <c r="K317" s="4">
        <f>Table1[[#This Row],[Quantity]]*Table1[[#This Row],[Price]]</f>
        <v>83.68</v>
      </c>
      <c r="L317" t="str">
        <f>IF(Table1[[#This Row],[Age]]&lt;25,"18-24",IF(Table1[[#This Row],[Age]]&lt;35,"25-34",IF(Table1[[#This Row],[Age]]&lt;45,"35-44",IF(Table1[[#This Row],[Age]]&lt;55,"45-54","55+"))))</f>
        <v>25-34</v>
      </c>
      <c r="M317" t="str">
        <f>TEXT(Table1[[#This Row],[Invoice_date]],"mmm")</f>
        <v>May</v>
      </c>
      <c r="N317">
        <f>YEAR(Table1[[#This Row],[Invoice_date]])</f>
        <v>2022</v>
      </c>
    </row>
    <row r="318" spans="1:14" x14ac:dyDescent="0.25">
      <c r="A318" t="s">
        <v>1997</v>
      </c>
      <c r="B318" t="s">
        <v>1998</v>
      </c>
      <c r="C318" t="s">
        <v>2</v>
      </c>
      <c r="D318">
        <v>31</v>
      </c>
      <c r="E318" t="s">
        <v>17</v>
      </c>
      <c r="F318">
        <v>2</v>
      </c>
      <c r="G318">
        <v>30.3</v>
      </c>
      <c r="H318" t="s">
        <v>18</v>
      </c>
      <c r="I318" s="2">
        <v>44269</v>
      </c>
      <c r="J318" t="s">
        <v>14</v>
      </c>
      <c r="K318" s="4">
        <f>Table1[[#This Row],[Quantity]]*Table1[[#This Row],[Price]]</f>
        <v>60.6</v>
      </c>
      <c r="L318" t="str">
        <f>IF(Table1[[#This Row],[Age]]&lt;25,"18-24",IF(Table1[[#This Row],[Age]]&lt;35,"25-34",IF(Table1[[#This Row],[Age]]&lt;45,"35-44",IF(Table1[[#This Row],[Age]]&lt;55,"45-54","55+"))))</f>
        <v>25-34</v>
      </c>
      <c r="M318" t="str">
        <f>TEXT(Table1[[#This Row],[Invoice_date]],"mmm")</f>
        <v>Mar</v>
      </c>
      <c r="N318">
        <f>YEAR(Table1[[#This Row],[Invoice_date]])</f>
        <v>2021</v>
      </c>
    </row>
    <row r="319" spans="1:14" x14ac:dyDescent="0.25">
      <c r="A319" t="s">
        <v>2007</v>
      </c>
      <c r="B319" t="s">
        <v>2008</v>
      </c>
      <c r="C319" t="s">
        <v>2</v>
      </c>
      <c r="D319">
        <v>26</v>
      </c>
      <c r="E319" t="s">
        <v>27</v>
      </c>
      <c r="F319">
        <v>5</v>
      </c>
      <c r="G319">
        <v>26.15</v>
      </c>
      <c r="H319" t="s">
        <v>4</v>
      </c>
      <c r="I319" s="2">
        <v>44904</v>
      </c>
      <c r="J319" t="s">
        <v>14</v>
      </c>
      <c r="K319" s="4">
        <f>Table1[[#This Row],[Quantity]]*Table1[[#This Row],[Price]]</f>
        <v>130.75</v>
      </c>
      <c r="L319" t="str">
        <f>IF(Table1[[#This Row],[Age]]&lt;25,"18-24",IF(Table1[[#This Row],[Age]]&lt;35,"25-34",IF(Table1[[#This Row],[Age]]&lt;45,"35-44",IF(Table1[[#This Row],[Age]]&lt;55,"45-54","55+"))))</f>
        <v>25-34</v>
      </c>
      <c r="M319" t="str">
        <f>TEXT(Table1[[#This Row],[Invoice_date]],"mmm")</f>
        <v>Dec</v>
      </c>
      <c r="N319">
        <f>YEAR(Table1[[#This Row],[Invoice_date]])</f>
        <v>2022</v>
      </c>
    </row>
    <row r="320" spans="1:14" x14ac:dyDescent="0.25">
      <c r="A320" t="s">
        <v>2015</v>
      </c>
      <c r="B320" t="s">
        <v>2016</v>
      </c>
      <c r="C320" t="s">
        <v>12</v>
      </c>
      <c r="D320">
        <v>33</v>
      </c>
      <c r="E320" t="s">
        <v>17</v>
      </c>
      <c r="F320">
        <v>3</v>
      </c>
      <c r="G320">
        <v>45.45</v>
      </c>
      <c r="H320" t="s">
        <v>18</v>
      </c>
      <c r="I320" s="2">
        <v>44846</v>
      </c>
      <c r="J320" t="s">
        <v>24</v>
      </c>
      <c r="K320" s="4">
        <f>Table1[[#This Row],[Quantity]]*Table1[[#This Row],[Price]]</f>
        <v>136.35000000000002</v>
      </c>
      <c r="L320" t="str">
        <f>IF(Table1[[#This Row],[Age]]&lt;25,"18-24",IF(Table1[[#This Row],[Age]]&lt;35,"25-34",IF(Table1[[#This Row],[Age]]&lt;45,"35-44",IF(Table1[[#This Row],[Age]]&lt;55,"45-54","55+"))))</f>
        <v>25-34</v>
      </c>
      <c r="M320" t="str">
        <f>TEXT(Table1[[#This Row],[Invoice_date]],"mmm")</f>
        <v>Oct</v>
      </c>
      <c r="N320">
        <f>YEAR(Table1[[#This Row],[Invoice_date]])</f>
        <v>2022</v>
      </c>
    </row>
    <row r="321" spans="1:14" x14ac:dyDescent="0.25">
      <c r="A321" t="s">
        <v>2019</v>
      </c>
      <c r="B321" t="s">
        <v>2020</v>
      </c>
      <c r="C321" t="s">
        <v>12</v>
      </c>
      <c r="D321">
        <v>27</v>
      </c>
      <c r="E321" t="s">
        <v>3</v>
      </c>
      <c r="F321">
        <v>2</v>
      </c>
      <c r="G321">
        <v>600.16</v>
      </c>
      <c r="H321" t="s">
        <v>18</v>
      </c>
      <c r="I321" s="2">
        <v>44800</v>
      </c>
      <c r="J321" t="s">
        <v>33</v>
      </c>
      <c r="K321" s="4">
        <f>Table1[[#This Row],[Quantity]]*Table1[[#This Row],[Price]]</f>
        <v>1200.32</v>
      </c>
      <c r="L321" t="str">
        <f>IF(Table1[[#This Row],[Age]]&lt;25,"18-24",IF(Table1[[#This Row],[Age]]&lt;35,"25-34",IF(Table1[[#This Row],[Age]]&lt;45,"35-44",IF(Table1[[#This Row],[Age]]&lt;55,"45-54","55+"))))</f>
        <v>25-34</v>
      </c>
      <c r="M321" t="str">
        <f>TEXT(Table1[[#This Row],[Invoice_date]],"mmm")</f>
        <v>Aug</v>
      </c>
      <c r="N321">
        <f>YEAR(Table1[[#This Row],[Invoice_date]])</f>
        <v>2022</v>
      </c>
    </row>
    <row r="322" spans="1:14" x14ac:dyDescent="0.25">
      <c r="A322" t="s">
        <v>10</v>
      </c>
      <c r="B322" t="s">
        <v>11</v>
      </c>
      <c r="C322" t="s">
        <v>12</v>
      </c>
      <c r="D322">
        <v>35</v>
      </c>
      <c r="E322" t="s">
        <v>3</v>
      </c>
      <c r="F322">
        <v>2</v>
      </c>
      <c r="G322">
        <v>600.16</v>
      </c>
      <c r="H322" t="s">
        <v>13</v>
      </c>
      <c r="I322" s="2">
        <v>44259</v>
      </c>
      <c r="J322" t="s">
        <v>14</v>
      </c>
      <c r="K322" s="4">
        <f>Table1[[#This Row],[Quantity]]*Table1[[#This Row],[Price]]</f>
        <v>1200.32</v>
      </c>
      <c r="L322" t="str">
        <f>IF(Table1[[#This Row],[Age]]&lt;25,"18-24",IF(Table1[[#This Row],[Age]]&lt;35,"25-34",IF(Table1[[#This Row],[Age]]&lt;45,"35-44",IF(Table1[[#This Row],[Age]]&lt;55,"45-54","55+"))))</f>
        <v>35-44</v>
      </c>
      <c r="M322" t="str">
        <f>TEXT(Table1[[#This Row],[Invoice_date]],"mmm")</f>
        <v>Mar</v>
      </c>
      <c r="N322">
        <f>YEAR(Table1[[#This Row],[Invoice_date]])</f>
        <v>2021</v>
      </c>
    </row>
    <row r="323" spans="1:14" x14ac:dyDescent="0.25">
      <c r="A323" t="s">
        <v>36</v>
      </c>
      <c r="B323" t="s">
        <v>37</v>
      </c>
      <c r="C323" t="s">
        <v>2</v>
      </c>
      <c r="D323">
        <v>39</v>
      </c>
      <c r="E323" t="s">
        <v>38</v>
      </c>
      <c r="F323">
        <v>1</v>
      </c>
      <c r="G323">
        <v>600.16999999999996</v>
      </c>
      <c r="H323" t="s">
        <v>13</v>
      </c>
      <c r="I323" s="2">
        <v>44556</v>
      </c>
      <c r="J323" t="s">
        <v>14</v>
      </c>
      <c r="K323" s="4">
        <f>Table1[[#This Row],[Quantity]]*Table1[[#This Row],[Price]]</f>
        <v>600.16999999999996</v>
      </c>
      <c r="L323" t="str">
        <f>IF(Table1[[#This Row],[Age]]&lt;25,"18-24",IF(Table1[[#This Row],[Age]]&lt;35,"25-34",IF(Table1[[#This Row],[Age]]&lt;45,"35-44",IF(Table1[[#This Row],[Age]]&lt;55,"45-54","55+"))))</f>
        <v>35-44</v>
      </c>
      <c r="M323" t="str">
        <f>TEXT(Table1[[#This Row],[Invoice_date]],"mmm")</f>
        <v>Dec</v>
      </c>
      <c r="N323">
        <f>YEAR(Table1[[#This Row],[Invoice_date]])</f>
        <v>2021</v>
      </c>
    </row>
    <row r="324" spans="1:14" x14ac:dyDescent="0.25">
      <c r="A324" t="s">
        <v>61</v>
      </c>
      <c r="B324" t="s">
        <v>62</v>
      </c>
      <c r="C324" t="s">
        <v>12</v>
      </c>
      <c r="D324">
        <v>44</v>
      </c>
      <c r="E324" t="s">
        <v>46</v>
      </c>
      <c r="F324">
        <v>2</v>
      </c>
      <c r="G324">
        <v>23.46</v>
      </c>
      <c r="H324" t="s">
        <v>4</v>
      </c>
      <c r="I324" s="2">
        <v>44561</v>
      </c>
      <c r="J324" t="s">
        <v>63</v>
      </c>
      <c r="K324" s="4">
        <f>Table1[[#This Row],[Quantity]]*Table1[[#This Row],[Price]]</f>
        <v>46.92</v>
      </c>
      <c r="L324" t="str">
        <f>IF(Table1[[#This Row],[Age]]&lt;25,"18-24",IF(Table1[[#This Row],[Age]]&lt;35,"25-34",IF(Table1[[#This Row],[Age]]&lt;45,"35-44",IF(Table1[[#This Row],[Age]]&lt;55,"45-54","55+"))))</f>
        <v>35-44</v>
      </c>
      <c r="M324" t="str">
        <f>TEXT(Table1[[#This Row],[Invoice_date]],"mmm")</f>
        <v>Dec</v>
      </c>
      <c r="N324">
        <f>YEAR(Table1[[#This Row],[Invoice_date]])</f>
        <v>2021</v>
      </c>
    </row>
    <row r="325" spans="1:14" x14ac:dyDescent="0.25">
      <c r="A325" t="s">
        <v>79</v>
      </c>
      <c r="B325" t="s">
        <v>80</v>
      </c>
      <c r="C325" t="s">
        <v>2</v>
      </c>
      <c r="D325">
        <v>39</v>
      </c>
      <c r="E325" t="s">
        <v>27</v>
      </c>
      <c r="F325">
        <v>4</v>
      </c>
      <c r="G325">
        <v>20.92</v>
      </c>
      <c r="H325" t="s">
        <v>13</v>
      </c>
      <c r="I325" s="2">
        <v>44666</v>
      </c>
      <c r="J325" t="s">
        <v>33</v>
      </c>
      <c r="K325" s="4">
        <f>Table1[[#This Row],[Quantity]]*Table1[[#This Row],[Price]]</f>
        <v>83.68</v>
      </c>
      <c r="L325" t="str">
        <f>IF(Table1[[#This Row],[Age]]&lt;25,"18-24",IF(Table1[[#This Row],[Age]]&lt;35,"25-34",IF(Table1[[#This Row],[Age]]&lt;45,"35-44",IF(Table1[[#This Row],[Age]]&lt;55,"45-54","55+"))))</f>
        <v>35-44</v>
      </c>
      <c r="M325" t="str">
        <f>TEXT(Table1[[#This Row],[Invoice_date]],"mmm")</f>
        <v>Apr</v>
      </c>
      <c r="N325">
        <f>YEAR(Table1[[#This Row],[Invoice_date]])</f>
        <v>2022</v>
      </c>
    </row>
    <row r="326" spans="1:14" x14ac:dyDescent="0.25">
      <c r="A326" t="s">
        <v>81</v>
      </c>
      <c r="B326" t="s">
        <v>82</v>
      </c>
      <c r="C326" t="s">
        <v>2</v>
      </c>
      <c r="D326">
        <v>36</v>
      </c>
      <c r="E326" t="s">
        <v>27</v>
      </c>
      <c r="F326">
        <v>2</v>
      </c>
      <c r="G326">
        <v>10.46</v>
      </c>
      <c r="H326" t="s">
        <v>18</v>
      </c>
      <c r="I326" s="2">
        <v>44451</v>
      </c>
      <c r="J326" t="s">
        <v>50</v>
      </c>
      <c r="K326" s="4">
        <f>Table1[[#This Row],[Quantity]]*Table1[[#This Row],[Price]]</f>
        <v>20.92</v>
      </c>
      <c r="L326" t="str">
        <f>IF(Table1[[#This Row],[Age]]&lt;25,"18-24",IF(Table1[[#This Row],[Age]]&lt;35,"25-34",IF(Table1[[#This Row],[Age]]&lt;45,"35-44",IF(Table1[[#This Row],[Age]]&lt;55,"45-54","55+"))))</f>
        <v>35-44</v>
      </c>
      <c r="M326" t="str">
        <f>TEXT(Table1[[#This Row],[Invoice_date]],"mmm")</f>
        <v>Sep</v>
      </c>
      <c r="N326">
        <f>YEAR(Table1[[#This Row],[Invoice_date]])</f>
        <v>2021</v>
      </c>
    </row>
    <row r="327" spans="1:14" x14ac:dyDescent="0.25">
      <c r="A327" t="s">
        <v>93</v>
      </c>
      <c r="B327" t="s">
        <v>94</v>
      </c>
      <c r="C327" t="s">
        <v>2</v>
      </c>
      <c r="D327">
        <v>38</v>
      </c>
      <c r="E327" t="s">
        <v>3</v>
      </c>
      <c r="F327">
        <v>2</v>
      </c>
      <c r="G327">
        <v>600.16</v>
      </c>
      <c r="H327" t="s">
        <v>13</v>
      </c>
      <c r="I327" s="2">
        <v>44516</v>
      </c>
      <c r="J327" t="s">
        <v>63</v>
      </c>
      <c r="K327" s="4">
        <f>Table1[[#This Row],[Quantity]]*Table1[[#This Row],[Price]]</f>
        <v>1200.32</v>
      </c>
      <c r="L327" t="str">
        <f>IF(Table1[[#This Row],[Age]]&lt;25,"18-24",IF(Table1[[#This Row],[Age]]&lt;35,"25-34",IF(Table1[[#This Row],[Age]]&lt;45,"35-44",IF(Table1[[#This Row],[Age]]&lt;55,"45-54","55+"))))</f>
        <v>35-44</v>
      </c>
      <c r="M327" t="str">
        <f>TEXT(Table1[[#This Row],[Invoice_date]],"mmm")</f>
        <v>Nov</v>
      </c>
      <c r="N327">
        <f>YEAR(Table1[[#This Row],[Invoice_date]])</f>
        <v>2021</v>
      </c>
    </row>
    <row r="328" spans="1:14" x14ac:dyDescent="0.25">
      <c r="A328" t="s">
        <v>97</v>
      </c>
      <c r="B328" t="s">
        <v>98</v>
      </c>
      <c r="C328" t="s">
        <v>2</v>
      </c>
      <c r="D328">
        <v>35</v>
      </c>
      <c r="E328" t="s">
        <v>38</v>
      </c>
      <c r="F328">
        <v>5</v>
      </c>
      <c r="G328">
        <v>3000.85</v>
      </c>
      <c r="H328" t="s">
        <v>4</v>
      </c>
      <c r="I328" s="2">
        <v>44332</v>
      </c>
      <c r="J328" t="s">
        <v>14</v>
      </c>
      <c r="K328" s="4">
        <f>Table1[[#This Row],[Quantity]]*Table1[[#This Row],[Price]]</f>
        <v>15004.25</v>
      </c>
      <c r="L328" t="str">
        <f>IF(Table1[[#This Row],[Age]]&lt;25,"18-24",IF(Table1[[#This Row],[Age]]&lt;35,"25-34",IF(Table1[[#This Row],[Age]]&lt;45,"35-44",IF(Table1[[#This Row],[Age]]&lt;55,"45-54","55+"))))</f>
        <v>35-44</v>
      </c>
      <c r="M328" t="str">
        <f>TEXT(Table1[[#This Row],[Invoice_date]],"mmm")</f>
        <v>May</v>
      </c>
      <c r="N328">
        <f>YEAR(Table1[[#This Row],[Invoice_date]])</f>
        <v>2021</v>
      </c>
    </row>
    <row r="329" spans="1:14" x14ac:dyDescent="0.25">
      <c r="A329" t="s">
        <v>101</v>
      </c>
      <c r="B329" t="s">
        <v>102</v>
      </c>
      <c r="C329" t="s">
        <v>2</v>
      </c>
      <c r="D329">
        <v>37</v>
      </c>
      <c r="E329" t="s">
        <v>3</v>
      </c>
      <c r="F329">
        <v>4</v>
      </c>
      <c r="G329">
        <v>1200.32</v>
      </c>
      <c r="H329" t="s">
        <v>13</v>
      </c>
      <c r="I329" s="2">
        <v>44436</v>
      </c>
      <c r="J329" t="s">
        <v>50</v>
      </c>
      <c r="K329" s="4">
        <f>Table1[[#This Row],[Quantity]]*Table1[[#This Row],[Price]]</f>
        <v>4801.28</v>
      </c>
      <c r="L329" t="str">
        <f>IF(Table1[[#This Row],[Age]]&lt;25,"18-24",IF(Table1[[#This Row],[Age]]&lt;35,"25-34",IF(Table1[[#This Row],[Age]]&lt;45,"35-44",IF(Table1[[#This Row],[Age]]&lt;55,"45-54","55+"))))</f>
        <v>35-44</v>
      </c>
      <c r="M329" t="str">
        <f>TEXT(Table1[[#This Row],[Invoice_date]],"mmm")</f>
        <v>Aug</v>
      </c>
      <c r="N329">
        <f>YEAR(Table1[[#This Row],[Invoice_date]])</f>
        <v>2021</v>
      </c>
    </row>
    <row r="330" spans="1:14" x14ac:dyDescent="0.25">
      <c r="A330" t="s">
        <v>113</v>
      </c>
      <c r="B330" t="s">
        <v>114</v>
      </c>
      <c r="C330" t="s">
        <v>12</v>
      </c>
      <c r="D330">
        <v>43</v>
      </c>
      <c r="E330" t="s">
        <v>38</v>
      </c>
      <c r="F330">
        <v>5</v>
      </c>
      <c r="G330">
        <v>3000.85</v>
      </c>
      <c r="H330" t="s">
        <v>18</v>
      </c>
      <c r="I330" s="2">
        <v>44252</v>
      </c>
      <c r="J330" t="s">
        <v>14</v>
      </c>
      <c r="K330" s="4">
        <f>Table1[[#This Row],[Quantity]]*Table1[[#This Row],[Price]]</f>
        <v>15004.25</v>
      </c>
      <c r="L330" t="str">
        <f>IF(Table1[[#This Row],[Age]]&lt;25,"18-24",IF(Table1[[#This Row],[Age]]&lt;35,"25-34",IF(Table1[[#This Row],[Age]]&lt;45,"35-44",IF(Table1[[#This Row],[Age]]&lt;55,"45-54","55+"))))</f>
        <v>35-44</v>
      </c>
      <c r="M330" t="str">
        <f>TEXT(Table1[[#This Row],[Invoice_date]],"mmm")</f>
        <v>Feb</v>
      </c>
      <c r="N330">
        <f>YEAR(Table1[[#This Row],[Invoice_date]])</f>
        <v>2021</v>
      </c>
    </row>
    <row r="331" spans="1:14" x14ac:dyDescent="0.25">
      <c r="A331" t="s">
        <v>121</v>
      </c>
      <c r="B331" t="s">
        <v>122</v>
      </c>
      <c r="C331" t="s">
        <v>2</v>
      </c>
      <c r="D331">
        <v>43</v>
      </c>
      <c r="E331" t="s">
        <v>38</v>
      </c>
      <c r="F331">
        <v>4</v>
      </c>
      <c r="G331">
        <v>2400.6799999999998</v>
      </c>
      <c r="H331" t="s">
        <v>4</v>
      </c>
      <c r="I331" s="2">
        <v>44515</v>
      </c>
      <c r="J331" t="s">
        <v>30</v>
      </c>
      <c r="K331" s="4">
        <f>Table1[[#This Row],[Quantity]]*Table1[[#This Row],[Price]]</f>
        <v>9602.7199999999993</v>
      </c>
      <c r="L331" t="str">
        <f>IF(Table1[[#This Row],[Age]]&lt;25,"18-24",IF(Table1[[#This Row],[Age]]&lt;35,"25-34",IF(Table1[[#This Row],[Age]]&lt;45,"35-44",IF(Table1[[#This Row],[Age]]&lt;55,"45-54","55+"))))</f>
        <v>35-44</v>
      </c>
      <c r="M331" t="str">
        <f>TEXT(Table1[[#This Row],[Invoice_date]],"mmm")</f>
        <v>Nov</v>
      </c>
      <c r="N331">
        <f>YEAR(Table1[[#This Row],[Invoice_date]])</f>
        <v>2021</v>
      </c>
    </row>
    <row r="332" spans="1:14" x14ac:dyDescent="0.25">
      <c r="A332" t="s">
        <v>125</v>
      </c>
      <c r="B332" t="s">
        <v>126</v>
      </c>
      <c r="C332" t="s">
        <v>12</v>
      </c>
      <c r="D332">
        <v>36</v>
      </c>
      <c r="E332" t="s">
        <v>3</v>
      </c>
      <c r="F332">
        <v>1</v>
      </c>
      <c r="G332">
        <v>300.08</v>
      </c>
      <c r="H332" t="s">
        <v>4</v>
      </c>
      <c r="I332" s="2">
        <v>44537</v>
      </c>
      <c r="J332" t="s">
        <v>14</v>
      </c>
      <c r="K332" s="4">
        <f>Table1[[#This Row],[Quantity]]*Table1[[#This Row],[Price]]</f>
        <v>300.08</v>
      </c>
      <c r="L332" t="str">
        <f>IF(Table1[[#This Row],[Age]]&lt;25,"18-24",IF(Table1[[#This Row],[Age]]&lt;35,"25-34",IF(Table1[[#This Row],[Age]]&lt;45,"35-44",IF(Table1[[#This Row],[Age]]&lt;55,"45-54","55+"))))</f>
        <v>35-44</v>
      </c>
      <c r="M332" t="str">
        <f>TEXT(Table1[[#This Row],[Invoice_date]],"mmm")</f>
        <v>Dec</v>
      </c>
      <c r="N332">
        <f>YEAR(Table1[[#This Row],[Invoice_date]])</f>
        <v>2021</v>
      </c>
    </row>
    <row r="333" spans="1:14" x14ac:dyDescent="0.25">
      <c r="A333" t="s">
        <v>133</v>
      </c>
      <c r="B333" t="s">
        <v>134</v>
      </c>
      <c r="C333" t="s">
        <v>12</v>
      </c>
      <c r="D333">
        <v>41</v>
      </c>
      <c r="E333" t="s">
        <v>27</v>
      </c>
      <c r="F333">
        <v>1</v>
      </c>
      <c r="G333">
        <v>5.23</v>
      </c>
      <c r="H333" t="s">
        <v>18</v>
      </c>
      <c r="I333" s="2">
        <v>44405</v>
      </c>
      <c r="J333" t="s">
        <v>24</v>
      </c>
      <c r="K333" s="4">
        <f>Table1[[#This Row],[Quantity]]*Table1[[#This Row],[Price]]</f>
        <v>5.23</v>
      </c>
      <c r="L333" t="str">
        <f>IF(Table1[[#This Row],[Age]]&lt;25,"18-24",IF(Table1[[#This Row],[Age]]&lt;35,"25-34",IF(Table1[[#This Row],[Age]]&lt;45,"35-44",IF(Table1[[#This Row],[Age]]&lt;55,"45-54","55+"))))</f>
        <v>35-44</v>
      </c>
      <c r="M333" t="str">
        <f>TEXT(Table1[[#This Row],[Invoice_date]],"mmm")</f>
        <v>Jul</v>
      </c>
      <c r="N333">
        <f>YEAR(Table1[[#This Row],[Invoice_date]])</f>
        <v>2021</v>
      </c>
    </row>
    <row r="334" spans="1:14" x14ac:dyDescent="0.25">
      <c r="A334" t="s">
        <v>159</v>
      </c>
      <c r="B334" t="s">
        <v>160</v>
      </c>
      <c r="C334" t="s">
        <v>12</v>
      </c>
      <c r="D334">
        <v>42</v>
      </c>
      <c r="E334" t="s">
        <v>3</v>
      </c>
      <c r="F334">
        <v>3</v>
      </c>
      <c r="G334">
        <v>900.24</v>
      </c>
      <c r="H334" t="s">
        <v>4</v>
      </c>
      <c r="I334" s="2">
        <v>44626</v>
      </c>
      <c r="J334" t="s">
        <v>74</v>
      </c>
      <c r="K334" s="4">
        <f>Table1[[#This Row],[Quantity]]*Table1[[#This Row],[Price]]</f>
        <v>2700.7200000000003</v>
      </c>
      <c r="L334" t="str">
        <f>IF(Table1[[#This Row],[Age]]&lt;25,"18-24",IF(Table1[[#This Row],[Age]]&lt;35,"25-34",IF(Table1[[#This Row],[Age]]&lt;45,"35-44",IF(Table1[[#This Row],[Age]]&lt;55,"45-54","55+"))))</f>
        <v>35-44</v>
      </c>
      <c r="M334" t="str">
        <f>TEXT(Table1[[#This Row],[Invoice_date]],"mmm")</f>
        <v>Mar</v>
      </c>
      <c r="N334">
        <f>YEAR(Table1[[#This Row],[Invoice_date]])</f>
        <v>2022</v>
      </c>
    </row>
    <row r="335" spans="1:14" x14ac:dyDescent="0.25">
      <c r="A335" t="s">
        <v>165</v>
      </c>
      <c r="B335" t="s">
        <v>166</v>
      </c>
      <c r="C335" t="s">
        <v>2</v>
      </c>
      <c r="D335">
        <v>37</v>
      </c>
      <c r="E335" t="s">
        <v>27</v>
      </c>
      <c r="F335">
        <v>1</v>
      </c>
      <c r="G335">
        <v>5.23</v>
      </c>
      <c r="H335" t="s">
        <v>4</v>
      </c>
      <c r="I335" s="2">
        <v>44849</v>
      </c>
      <c r="J335" t="s">
        <v>33</v>
      </c>
      <c r="K335" s="4">
        <f>Table1[[#This Row],[Quantity]]*Table1[[#This Row],[Price]]</f>
        <v>5.23</v>
      </c>
      <c r="L335" t="str">
        <f>IF(Table1[[#This Row],[Age]]&lt;25,"18-24",IF(Table1[[#This Row],[Age]]&lt;35,"25-34",IF(Table1[[#This Row],[Age]]&lt;45,"35-44",IF(Table1[[#This Row],[Age]]&lt;55,"45-54","55+"))))</f>
        <v>35-44</v>
      </c>
      <c r="M335" t="str">
        <f>TEXT(Table1[[#This Row],[Invoice_date]],"mmm")</f>
        <v>Oct</v>
      </c>
      <c r="N335">
        <f>YEAR(Table1[[#This Row],[Invoice_date]])</f>
        <v>2022</v>
      </c>
    </row>
    <row r="336" spans="1:14" x14ac:dyDescent="0.25">
      <c r="A336" t="s">
        <v>171</v>
      </c>
      <c r="B336" t="s">
        <v>172</v>
      </c>
      <c r="C336" t="s">
        <v>2</v>
      </c>
      <c r="D336">
        <v>44</v>
      </c>
      <c r="E336" t="s">
        <v>8</v>
      </c>
      <c r="F336">
        <v>3</v>
      </c>
      <c r="G336">
        <v>121.98</v>
      </c>
      <c r="H336" t="s">
        <v>18</v>
      </c>
      <c r="I336" s="2">
        <v>44846</v>
      </c>
      <c r="J336" t="s">
        <v>74</v>
      </c>
      <c r="K336" s="4">
        <f>Table1[[#This Row],[Quantity]]*Table1[[#This Row],[Price]]</f>
        <v>365.94</v>
      </c>
      <c r="L336" t="str">
        <f>IF(Table1[[#This Row],[Age]]&lt;25,"18-24",IF(Table1[[#This Row],[Age]]&lt;35,"25-34",IF(Table1[[#This Row],[Age]]&lt;45,"35-44",IF(Table1[[#This Row],[Age]]&lt;55,"45-54","55+"))))</f>
        <v>35-44</v>
      </c>
      <c r="M336" t="str">
        <f>TEXT(Table1[[#This Row],[Invoice_date]],"mmm")</f>
        <v>Oct</v>
      </c>
      <c r="N336">
        <f>YEAR(Table1[[#This Row],[Invoice_date]])</f>
        <v>2022</v>
      </c>
    </row>
    <row r="337" spans="1:14" x14ac:dyDescent="0.25">
      <c r="A337" t="s">
        <v>175</v>
      </c>
      <c r="B337" t="s">
        <v>176</v>
      </c>
      <c r="C337" t="s">
        <v>2</v>
      </c>
      <c r="D337">
        <v>42</v>
      </c>
      <c r="E337" t="s">
        <v>3</v>
      </c>
      <c r="F337">
        <v>2</v>
      </c>
      <c r="G337">
        <v>600.16</v>
      </c>
      <c r="H337" t="s">
        <v>4</v>
      </c>
      <c r="I337" s="2">
        <v>44978</v>
      </c>
      <c r="J337" t="s">
        <v>14</v>
      </c>
      <c r="K337" s="4">
        <f>Table1[[#This Row],[Quantity]]*Table1[[#This Row],[Price]]</f>
        <v>1200.32</v>
      </c>
      <c r="L337" t="str">
        <f>IF(Table1[[#This Row],[Age]]&lt;25,"18-24",IF(Table1[[#This Row],[Age]]&lt;35,"25-34",IF(Table1[[#This Row],[Age]]&lt;45,"35-44",IF(Table1[[#This Row],[Age]]&lt;55,"45-54","55+"))))</f>
        <v>35-44</v>
      </c>
      <c r="M337" t="str">
        <f>TEXT(Table1[[#This Row],[Invoice_date]],"mmm")</f>
        <v>Feb</v>
      </c>
      <c r="N337">
        <f>YEAR(Table1[[#This Row],[Invoice_date]])</f>
        <v>2023</v>
      </c>
    </row>
    <row r="338" spans="1:14" x14ac:dyDescent="0.25">
      <c r="A338" t="s">
        <v>183</v>
      </c>
      <c r="B338" t="s">
        <v>184</v>
      </c>
      <c r="C338" t="s">
        <v>12</v>
      </c>
      <c r="D338">
        <v>42</v>
      </c>
      <c r="E338" t="s">
        <v>3</v>
      </c>
      <c r="F338">
        <v>1</v>
      </c>
      <c r="G338">
        <v>300.08</v>
      </c>
      <c r="H338" t="s">
        <v>4</v>
      </c>
      <c r="I338" s="2">
        <v>44938</v>
      </c>
      <c r="J338" t="s">
        <v>33</v>
      </c>
      <c r="K338" s="4">
        <f>Table1[[#This Row],[Quantity]]*Table1[[#This Row],[Price]]</f>
        <v>300.08</v>
      </c>
      <c r="L338" t="str">
        <f>IF(Table1[[#This Row],[Age]]&lt;25,"18-24",IF(Table1[[#This Row],[Age]]&lt;35,"25-34",IF(Table1[[#This Row],[Age]]&lt;45,"35-44",IF(Table1[[#This Row],[Age]]&lt;55,"45-54","55+"))))</f>
        <v>35-44</v>
      </c>
      <c r="M338" t="str">
        <f>TEXT(Table1[[#This Row],[Invoice_date]],"mmm")</f>
        <v>Jan</v>
      </c>
      <c r="N338">
        <f>YEAR(Table1[[#This Row],[Invoice_date]])</f>
        <v>2023</v>
      </c>
    </row>
    <row r="339" spans="1:14" x14ac:dyDescent="0.25">
      <c r="A339" t="s">
        <v>185</v>
      </c>
      <c r="B339" t="s">
        <v>186</v>
      </c>
      <c r="C339" t="s">
        <v>2</v>
      </c>
      <c r="D339">
        <v>40</v>
      </c>
      <c r="E339" t="s">
        <v>3</v>
      </c>
      <c r="F339">
        <v>5</v>
      </c>
      <c r="G339">
        <v>1500.4</v>
      </c>
      <c r="H339" t="s">
        <v>18</v>
      </c>
      <c r="I339" s="2">
        <v>44914</v>
      </c>
      <c r="J339" t="s">
        <v>33</v>
      </c>
      <c r="K339" s="4">
        <f>Table1[[#This Row],[Quantity]]*Table1[[#This Row],[Price]]</f>
        <v>7502</v>
      </c>
      <c r="L339" t="str">
        <f>IF(Table1[[#This Row],[Age]]&lt;25,"18-24",IF(Table1[[#This Row],[Age]]&lt;35,"25-34",IF(Table1[[#This Row],[Age]]&lt;45,"35-44",IF(Table1[[#This Row],[Age]]&lt;55,"45-54","55+"))))</f>
        <v>35-44</v>
      </c>
      <c r="M339" t="str">
        <f>TEXT(Table1[[#This Row],[Invoice_date]],"mmm")</f>
        <v>Dec</v>
      </c>
      <c r="N339">
        <f>YEAR(Table1[[#This Row],[Invoice_date]])</f>
        <v>2022</v>
      </c>
    </row>
    <row r="340" spans="1:14" x14ac:dyDescent="0.25">
      <c r="A340" t="s">
        <v>187</v>
      </c>
      <c r="B340" t="s">
        <v>188</v>
      </c>
      <c r="C340" t="s">
        <v>12</v>
      </c>
      <c r="D340">
        <v>36</v>
      </c>
      <c r="E340" t="s">
        <v>46</v>
      </c>
      <c r="F340">
        <v>4</v>
      </c>
      <c r="G340">
        <v>46.92</v>
      </c>
      <c r="H340" t="s">
        <v>4</v>
      </c>
      <c r="I340" s="2">
        <v>44710</v>
      </c>
      <c r="J340" t="s">
        <v>50</v>
      </c>
      <c r="K340" s="4">
        <f>Table1[[#This Row],[Quantity]]*Table1[[#This Row],[Price]]</f>
        <v>187.68</v>
      </c>
      <c r="L340" t="str">
        <f>IF(Table1[[#This Row],[Age]]&lt;25,"18-24",IF(Table1[[#This Row],[Age]]&lt;35,"25-34",IF(Table1[[#This Row],[Age]]&lt;45,"35-44",IF(Table1[[#This Row],[Age]]&lt;55,"45-54","55+"))))</f>
        <v>35-44</v>
      </c>
      <c r="M340" t="str">
        <f>TEXT(Table1[[#This Row],[Invoice_date]],"mmm")</f>
        <v>May</v>
      </c>
      <c r="N340">
        <f>YEAR(Table1[[#This Row],[Invoice_date]])</f>
        <v>2022</v>
      </c>
    </row>
    <row r="341" spans="1:14" x14ac:dyDescent="0.25">
      <c r="A341" t="s">
        <v>189</v>
      </c>
      <c r="B341" t="s">
        <v>190</v>
      </c>
      <c r="C341" t="s">
        <v>12</v>
      </c>
      <c r="D341">
        <v>41</v>
      </c>
      <c r="E341" t="s">
        <v>8</v>
      </c>
      <c r="F341">
        <v>2</v>
      </c>
      <c r="G341">
        <v>81.319999999999993</v>
      </c>
      <c r="H341" t="s">
        <v>18</v>
      </c>
      <c r="I341" s="2">
        <v>44988</v>
      </c>
      <c r="J341" t="s">
        <v>14</v>
      </c>
      <c r="K341" s="4">
        <f>Table1[[#This Row],[Quantity]]*Table1[[#This Row],[Price]]</f>
        <v>162.63999999999999</v>
      </c>
      <c r="L341" t="str">
        <f>IF(Table1[[#This Row],[Age]]&lt;25,"18-24",IF(Table1[[#This Row],[Age]]&lt;35,"25-34",IF(Table1[[#This Row],[Age]]&lt;45,"35-44",IF(Table1[[#This Row],[Age]]&lt;55,"45-54","55+"))))</f>
        <v>35-44</v>
      </c>
      <c r="M341" t="str">
        <f>TEXT(Table1[[#This Row],[Invoice_date]],"mmm")</f>
        <v>Mar</v>
      </c>
      <c r="N341">
        <f>YEAR(Table1[[#This Row],[Invoice_date]])</f>
        <v>2023</v>
      </c>
    </row>
    <row r="342" spans="1:14" x14ac:dyDescent="0.25">
      <c r="A342" t="s">
        <v>193</v>
      </c>
      <c r="B342" t="s">
        <v>194</v>
      </c>
      <c r="C342" t="s">
        <v>2</v>
      </c>
      <c r="D342">
        <v>37</v>
      </c>
      <c r="E342" t="s">
        <v>49</v>
      </c>
      <c r="F342">
        <v>4</v>
      </c>
      <c r="G342">
        <v>143.36000000000001</v>
      </c>
      <c r="H342" t="s">
        <v>13</v>
      </c>
      <c r="I342" s="2">
        <v>44240</v>
      </c>
      <c r="J342" t="s">
        <v>24</v>
      </c>
      <c r="K342" s="4">
        <f>Table1[[#This Row],[Quantity]]*Table1[[#This Row],[Price]]</f>
        <v>573.44000000000005</v>
      </c>
      <c r="L342" t="str">
        <f>IF(Table1[[#This Row],[Age]]&lt;25,"18-24",IF(Table1[[#This Row],[Age]]&lt;35,"25-34",IF(Table1[[#This Row],[Age]]&lt;45,"35-44",IF(Table1[[#This Row],[Age]]&lt;55,"45-54","55+"))))</f>
        <v>35-44</v>
      </c>
      <c r="M342" t="str">
        <f>TEXT(Table1[[#This Row],[Invoice_date]],"mmm")</f>
        <v>Feb</v>
      </c>
      <c r="N342">
        <f>YEAR(Table1[[#This Row],[Invoice_date]])</f>
        <v>2021</v>
      </c>
    </row>
    <row r="343" spans="1:14" x14ac:dyDescent="0.25">
      <c r="A343" t="s">
        <v>197</v>
      </c>
      <c r="B343" t="s">
        <v>198</v>
      </c>
      <c r="C343" t="s">
        <v>2</v>
      </c>
      <c r="D343">
        <v>39</v>
      </c>
      <c r="E343" t="s">
        <v>49</v>
      </c>
      <c r="F343">
        <v>1</v>
      </c>
      <c r="G343">
        <v>35.840000000000003</v>
      </c>
      <c r="H343" t="s">
        <v>13</v>
      </c>
      <c r="I343" s="2">
        <v>44375</v>
      </c>
      <c r="J343" t="s">
        <v>33</v>
      </c>
      <c r="K343" s="4">
        <f>Table1[[#This Row],[Quantity]]*Table1[[#This Row],[Price]]</f>
        <v>35.840000000000003</v>
      </c>
      <c r="L343" t="str">
        <f>IF(Table1[[#This Row],[Age]]&lt;25,"18-24",IF(Table1[[#This Row],[Age]]&lt;35,"25-34",IF(Table1[[#This Row],[Age]]&lt;45,"35-44",IF(Table1[[#This Row],[Age]]&lt;55,"45-54","55+"))))</f>
        <v>35-44</v>
      </c>
      <c r="M343" t="str">
        <f>TEXT(Table1[[#This Row],[Invoice_date]],"mmm")</f>
        <v>Jun</v>
      </c>
      <c r="N343">
        <f>YEAR(Table1[[#This Row],[Invoice_date]])</f>
        <v>2021</v>
      </c>
    </row>
    <row r="344" spans="1:14" x14ac:dyDescent="0.25">
      <c r="A344" t="s">
        <v>233</v>
      </c>
      <c r="B344" t="s">
        <v>234</v>
      </c>
      <c r="C344" t="s">
        <v>2</v>
      </c>
      <c r="D344">
        <v>40</v>
      </c>
      <c r="E344" t="s">
        <v>38</v>
      </c>
      <c r="F344">
        <v>2</v>
      </c>
      <c r="G344">
        <v>1200.3399999999999</v>
      </c>
      <c r="H344" t="s">
        <v>4</v>
      </c>
      <c r="I344" s="2">
        <v>44908</v>
      </c>
      <c r="J344" t="s">
        <v>63</v>
      </c>
      <c r="K344" s="4">
        <f>Table1[[#This Row],[Quantity]]*Table1[[#This Row],[Price]]</f>
        <v>2400.6799999999998</v>
      </c>
      <c r="L344" t="str">
        <f>IF(Table1[[#This Row],[Age]]&lt;25,"18-24",IF(Table1[[#This Row],[Age]]&lt;35,"25-34",IF(Table1[[#This Row],[Age]]&lt;45,"35-44",IF(Table1[[#This Row],[Age]]&lt;55,"45-54","55+"))))</f>
        <v>35-44</v>
      </c>
      <c r="M344" t="str">
        <f>TEXT(Table1[[#This Row],[Invoice_date]],"mmm")</f>
        <v>Dec</v>
      </c>
      <c r="N344">
        <f>YEAR(Table1[[#This Row],[Invoice_date]])</f>
        <v>2022</v>
      </c>
    </row>
    <row r="345" spans="1:14" x14ac:dyDescent="0.25">
      <c r="A345" t="s">
        <v>247</v>
      </c>
      <c r="B345" t="s">
        <v>248</v>
      </c>
      <c r="C345" t="s">
        <v>12</v>
      </c>
      <c r="D345">
        <v>39</v>
      </c>
      <c r="E345" t="s">
        <v>27</v>
      </c>
      <c r="F345">
        <v>1</v>
      </c>
      <c r="G345">
        <v>5.23</v>
      </c>
      <c r="H345" t="s">
        <v>4</v>
      </c>
      <c r="I345" s="2">
        <v>44774</v>
      </c>
      <c r="J345" t="s">
        <v>50</v>
      </c>
      <c r="K345" s="4">
        <f>Table1[[#This Row],[Quantity]]*Table1[[#This Row],[Price]]</f>
        <v>5.23</v>
      </c>
      <c r="L345" t="str">
        <f>IF(Table1[[#This Row],[Age]]&lt;25,"18-24",IF(Table1[[#This Row],[Age]]&lt;35,"25-34",IF(Table1[[#This Row],[Age]]&lt;45,"35-44",IF(Table1[[#This Row],[Age]]&lt;55,"45-54","55+"))))</f>
        <v>35-44</v>
      </c>
      <c r="M345" t="str">
        <f>TEXT(Table1[[#This Row],[Invoice_date]],"mmm")</f>
        <v>Aug</v>
      </c>
      <c r="N345">
        <f>YEAR(Table1[[#This Row],[Invoice_date]])</f>
        <v>2022</v>
      </c>
    </row>
    <row r="346" spans="1:14" x14ac:dyDescent="0.25">
      <c r="A346" t="s">
        <v>273</v>
      </c>
      <c r="B346" t="s">
        <v>274</v>
      </c>
      <c r="C346" t="s">
        <v>12</v>
      </c>
      <c r="D346">
        <v>36</v>
      </c>
      <c r="E346" t="s">
        <v>3</v>
      </c>
      <c r="F346">
        <v>2</v>
      </c>
      <c r="G346">
        <v>600.16</v>
      </c>
      <c r="H346" t="s">
        <v>4</v>
      </c>
      <c r="I346" s="2">
        <v>44897</v>
      </c>
      <c r="J346" t="s">
        <v>43</v>
      </c>
      <c r="K346" s="4">
        <f>Table1[[#This Row],[Quantity]]*Table1[[#This Row],[Price]]</f>
        <v>1200.32</v>
      </c>
      <c r="L346" t="str">
        <f>IF(Table1[[#This Row],[Age]]&lt;25,"18-24",IF(Table1[[#This Row],[Age]]&lt;35,"25-34",IF(Table1[[#This Row],[Age]]&lt;45,"35-44",IF(Table1[[#This Row],[Age]]&lt;55,"45-54","55+"))))</f>
        <v>35-44</v>
      </c>
      <c r="M346" t="str">
        <f>TEXT(Table1[[#This Row],[Invoice_date]],"mmm")</f>
        <v>Dec</v>
      </c>
      <c r="N346">
        <f>YEAR(Table1[[#This Row],[Invoice_date]])</f>
        <v>2022</v>
      </c>
    </row>
    <row r="347" spans="1:14" x14ac:dyDescent="0.25">
      <c r="A347" t="s">
        <v>289</v>
      </c>
      <c r="B347" t="s">
        <v>290</v>
      </c>
      <c r="C347" t="s">
        <v>12</v>
      </c>
      <c r="D347">
        <v>37</v>
      </c>
      <c r="E347" t="s">
        <v>49</v>
      </c>
      <c r="F347">
        <v>3</v>
      </c>
      <c r="G347">
        <v>107.52</v>
      </c>
      <c r="H347" t="s">
        <v>4</v>
      </c>
      <c r="I347" s="2">
        <v>44417</v>
      </c>
      <c r="J347" t="s">
        <v>33</v>
      </c>
      <c r="K347" s="4">
        <f>Table1[[#This Row],[Quantity]]*Table1[[#This Row],[Price]]</f>
        <v>322.56</v>
      </c>
      <c r="L347" t="str">
        <f>IF(Table1[[#This Row],[Age]]&lt;25,"18-24",IF(Table1[[#This Row],[Age]]&lt;35,"25-34",IF(Table1[[#This Row],[Age]]&lt;45,"35-44",IF(Table1[[#This Row],[Age]]&lt;55,"45-54","55+"))))</f>
        <v>35-44</v>
      </c>
      <c r="M347" t="str">
        <f>TEXT(Table1[[#This Row],[Invoice_date]],"mmm")</f>
        <v>Aug</v>
      </c>
      <c r="N347">
        <f>YEAR(Table1[[#This Row],[Invoice_date]])</f>
        <v>2021</v>
      </c>
    </row>
    <row r="348" spans="1:14" x14ac:dyDescent="0.25">
      <c r="A348" t="s">
        <v>291</v>
      </c>
      <c r="B348" t="s">
        <v>292</v>
      </c>
      <c r="C348" t="s">
        <v>12</v>
      </c>
      <c r="D348">
        <v>35</v>
      </c>
      <c r="E348" t="s">
        <v>27</v>
      </c>
      <c r="F348">
        <v>2</v>
      </c>
      <c r="G348">
        <v>10.46</v>
      </c>
      <c r="H348" t="s">
        <v>18</v>
      </c>
      <c r="I348" s="2">
        <v>44822</v>
      </c>
      <c r="J348" t="s">
        <v>24</v>
      </c>
      <c r="K348" s="4">
        <f>Table1[[#This Row],[Quantity]]*Table1[[#This Row],[Price]]</f>
        <v>20.92</v>
      </c>
      <c r="L348" t="str">
        <f>IF(Table1[[#This Row],[Age]]&lt;25,"18-24",IF(Table1[[#This Row],[Age]]&lt;35,"25-34",IF(Table1[[#This Row],[Age]]&lt;45,"35-44",IF(Table1[[#This Row],[Age]]&lt;55,"45-54","55+"))))</f>
        <v>35-44</v>
      </c>
      <c r="M348" t="str">
        <f>TEXT(Table1[[#This Row],[Invoice_date]],"mmm")</f>
        <v>Sep</v>
      </c>
      <c r="N348">
        <f>YEAR(Table1[[#This Row],[Invoice_date]])</f>
        <v>2022</v>
      </c>
    </row>
    <row r="349" spans="1:14" x14ac:dyDescent="0.25">
      <c r="A349" t="s">
        <v>311</v>
      </c>
      <c r="B349" t="s">
        <v>312</v>
      </c>
      <c r="C349" t="s">
        <v>12</v>
      </c>
      <c r="D349">
        <v>43</v>
      </c>
      <c r="E349" t="s">
        <v>8</v>
      </c>
      <c r="F349">
        <v>3</v>
      </c>
      <c r="G349">
        <v>121.98</v>
      </c>
      <c r="H349" t="s">
        <v>4</v>
      </c>
      <c r="I349" s="2">
        <v>44813</v>
      </c>
      <c r="J349" t="s">
        <v>74</v>
      </c>
      <c r="K349" s="4">
        <f>Table1[[#This Row],[Quantity]]*Table1[[#This Row],[Price]]</f>
        <v>365.94</v>
      </c>
      <c r="L349" t="str">
        <f>IF(Table1[[#This Row],[Age]]&lt;25,"18-24",IF(Table1[[#This Row],[Age]]&lt;35,"25-34",IF(Table1[[#This Row],[Age]]&lt;45,"35-44",IF(Table1[[#This Row],[Age]]&lt;55,"45-54","55+"))))</f>
        <v>35-44</v>
      </c>
      <c r="M349" t="str">
        <f>TEXT(Table1[[#This Row],[Invoice_date]],"mmm")</f>
        <v>Sep</v>
      </c>
      <c r="N349">
        <f>YEAR(Table1[[#This Row],[Invoice_date]])</f>
        <v>2022</v>
      </c>
    </row>
    <row r="350" spans="1:14" x14ac:dyDescent="0.25">
      <c r="A350" t="s">
        <v>317</v>
      </c>
      <c r="B350" t="s">
        <v>318</v>
      </c>
      <c r="C350" t="s">
        <v>12</v>
      </c>
      <c r="D350">
        <v>40</v>
      </c>
      <c r="E350" t="s">
        <v>49</v>
      </c>
      <c r="F350">
        <v>3</v>
      </c>
      <c r="G350">
        <v>107.52</v>
      </c>
      <c r="H350" t="s">
        <v>13</v>
      </c>
      <c r="I350" s="2">
        <v>44981</v>
      </c>
      <c r="J350" t="s">
        <v>74</v>
      </c>
      <c r="K350" s="4">
        <f>Table1[[#This Row],[Quantity]]*Table1[[#This Row],[Price]]</f>
        <v>322.56</v>
      </c>
      <c r="L350" t="str">
        <f>IF(Table1[[#This Row],[Age]]&lt;25,"18-24",IF(Table1[[#This Row],[Age]]&lt;35,"25-34",IF(Table1[[#This Row],[Age]]&lt;45,"35-44",IF(Table1[[#This Row],[Age]]&lt;55,"45-54","55+"))))</f>
        <v>35-44</v>
      </c>
      <c r="M350" t="str">
        <f>TEXT(Table1[[#This Row],[Invoice_date]],"mmm")</f>
        <v>Feb</v>
      </c>
      <c r="N350">
        <f>YEAR(Table1[[#This Row],[Invoice_date]])</f>
        <v>2023</v>
      </c>
    </row>
    <row r="351" spans="1:14" x14ac:dyDescent="0.25">
      <c r="A351" t="s">
        <v>323</v>
      </c>
      <c r="B351" t="s">
        <v>324</v>
      </c>
      <c r="C351" t="s">
        <v>12</v>
      </c>
      <c r="D351">
        <v>37</v>
      </c>
      <c r="E351" t="s">
        <v>3</v>
      </c>
      <c r="F351">
        <v>3</v>
      </c>
      <c r="G351">
        <v>900.24</v>
      </c>
      <c r="H351" t="s">
        <v>13</v>
      </c>
      <c r="I351" s="2">
        <v>44457</v>
      </c>
      <c r="J351" t="s">
        <v>24</v>
      </c>
      <c r="K351" s="4">
        <f>Table1[[#This Row],[Quantity]]*Table1[[#This Row],[Price]]</f>
        <v>2700.7200000000003</v>
      </c>
      <c r="L351" t="str">
        <f>IF(Table1[[#This Row],[Age]]&lt;25,"18-24",IF(Table1[[#This Row],[Age]]&lt;35,"25-34",IF(Table1[[#This Row],[Age]]&lt;45,"35-44",IF(Table1[[#This Row],[Age]]&lt;55,"45-54","55+"))))</f>
        <v>35-44</v>
      </c>
      <c r="M351" t="str">
        <f>TEXT(Table1[[#This Row],[Invoice_date]],"mmm")</f>
        <v>Sep</v>
      </c>
      <c r="N351">
        <f>YEAR(Table1[[#This Row],[Invoice_date]])</f>
        <v>2021</v>
      </c>
    </row>
    <row r="352" spans="1:14" x14ac:dyDescent="0.25">
      <c r="A352" t="s">
        <v>327</v>
      </c>
      <c r="B352" t="s">
        <v>328</v>
      </c>
      <c r="C352" t="s">
        <v>2</v>
      </c>
      <c r="D352">
        <v>44</v>
      </c>
      <c r="E352" t="s">
        <v>3</v>
      </c>
      <c r="F352">
        <v>2</v>
      </c>
      <c r="G352">
        <v>600.16</v>
      </c>
      <c r="H352" t="s">
        <v>13</v>
      </c>
      <c r="I352" s="2">
        <v>44317</v>
      </c>
      <c r="J352" t="s">
        <v>14</v>
      </c>
      <c r="K352" s="4">
        <f>Table1[[#This Row],[Quantity]]*Table1[[#This Row],[Price]]</f>
        <v>1200.32</v>
      </c>
      <c r="L352" t="str">
        <f>IF(Table1[[#This Row],[Age]]&lt;25,"18-24",IF(Table1[[#This Row],[Age]]&lt;35,"25-34",IF(Table1[[#This Row],[Age]]&lt;45,"35-44",IF(Table1[[#This Row],[Age]]&lt;55,"45-54","55+"))))</f>
        <v>35-44</v>
      </c>
      <c r="M352" t="str">
        <f>TEXT(Table1[[#This Row],[Invoice_date]],"mmm")</f>
        <v>May</v>
      </c>
      <c r="N352">
        <f>YEAR(Table1[[#This Row],[Invoice_date]])</f>
        <v>2021</v>
      </c>
    </row>
    <row r="353" spans="1:14" x14ac:dyDescent="0.25">
      <c r="A353" t="s">
        <v>335</v>
      </c>
      <c r="B353" t="s">
        <v>336</v>
      </c>
      <c r="C353" t="s">
        <v>2</v>
      </c>
      <c r="D353">
        <v>43</v>
      </c>
      <c r="E353" t="s">
        <v>8</v>
      </c>
      <c r="F353">
        <v>1</v>
      </c>
      <c r="G353">
        <v>40.659999999999997</v>
      </c>
      <c r="H353" t="s">
        <v>4</v>
      </c>
      <c r="I353" s="2">
        <v>44440</v>
      </c>
      <c r="J353" t="s">
        <v>14</v>
      </c>
      <c r="K353" s="4">
        <f>Table1[[#This Row],[Quantity]]*Table1[[#This Row],[Price]]</f>
        <v>40.659999999999997</v>
      </c>
      <c r="L353" t="str">
        <f>IF(Table1[[#This Row],[Age]]&lt;25,"18-24",IF(Table1[[#This Row],[Age]]&lt;35,"25-34",IF(Table1[[#This Row],[Age]]&lt;45,"35-44",IF(Table1[[#This Row],[Age]]&lt;55,"45-54","55+"))))</f>
        <v>35-44</v>
      </c>
      <c r="M353" t="str">
        <f>TEXT(Table1[[#This Row],[Invoice_date]],"mmm")</f>
        <v>Sep</v>
      </c>
      <c r="N353">
        <f>YEAR(Table1[[#This Row],[Invoice_date]])</f>
        <v>2021</v>
      </c>
    </row>
    <row r="354" spans="1:14" x14ac:dyDescent="0.25">
      <c r="A354" t="s">
        <v>361</v>
      </c>
      <c r="B354" t="s">
        <v>362</v>
      </c>
      <c r="C354" t="s">
        <v>2</v>
      </c>
      <c r="D354">
        <v>36</v>
      </c>
      <c r="E354" t="s">
        <v>27</v>
      </c>
      <c r="F354">
        <v>3</v>
      </c>
      <c r="G354">
        <v>15.69</v>
      </c>
      <c r="H354" t="s">
        <v>13</v>
      </c>
      <c r="I354" s="2">
        <v>44664</v>
      </c>
      <c r="J354" t="s">
        <v>33</v>
      </c>
      <c r="K354" s="4">
        <f>Table1[[#This Row],[Quantity]]*Table1[[#This Row],[Price]]</f>
        <v>47.07</v>
      </c>
      <c r="L354" t="str">
        <f>IF(Table1[[#This Row],[Age]]&lt;25,"18-24",IF(Table1[[#This Row],[Age]]&lt;35,"25-34",IF(Table1[[#This Row],[Age]]&lt;45,"35-44",IF(Table1[[#This Row],[Age]]&lt;55,"45-54","55+"))))</f>
        <v>35-44</v>
      </c>
      <c r="M354" t="str">
        <f>TEXT(Table1[[#This Row],[Invoice_date]],"mmm")</f>
        <v>Apr</v>
      </c>
      <c r="N354">
        <f>YEAR(Table1[[#This Row],[Invoice_date]])</f>
        <v>2022</v>
      </c>
    </row>
    <row r="355" spans="1:14" x14ac:dyDescent="0.25">
      <c r="A355" t="s">
        <v>367</v>
      </c>
      <c r="B355" t="s">
        <v>368</v>
      </c>
      <c r="C355" t="s">
        <v>2</v>
      </c>
      <c r="D355">
        <v>35</v>
      </c>
      <c r="E355" t="s">
        <v>8</v>
      </c>
      <c r="F355">
        <v>3</v>
      </c>
      <c r="G355">
        <v>121.98</v>
      </c>
      <c r="H355" t="s">
        <v>13</v>
      </c>
      <c r="I355" s="2">
        <v>44790</v>
      </c>
      <c r="J355" t="s">
        <v>14</v>
      </c>
      <c r="K355" s="4">
        <f>Table1[[#This Row],[Quantity]]*Table1[[#This Row],[Price]]</f>
        <v>365.94</v>
      </c>
      <c r="L355" t="str">
        <f>IF(Table1[[#This Row],[Age]]&lt;25,"18-24",IF(Table1[[#This Row],[Age]]&lt;35,"25-34",IF(Table1[[#This Row],[Age]]&lt;45,"35-44",IF(Table1[[#This Row],[Age]]&lt;55,"45-54","55+"))))</f>
        <v>35-44</v>
      </c>
      <c r="M355" t="str">
        <f>TEXT(Table1[[#This Row],[Invoice_date]],"mmm")</f>
        <v>Aug</v>
      </c>
      <c r="N355">
        <f>YEAR(Table1[[#This Row],[Invoice_date]])</f>
        <v>2022</v>
      </c>
    </row>
    <row r="356" spans="1:14" x14ac:dyDescent="0.25">
      <c r="A356" t="s">
        <v>375</v>
      </c>
      <c r="B356" t="s">
        <v>376</v>
      </c>
      <c r="C356" t="s">
        <v>12</v>
      </c>
      <c r="D356">
        <v>35</v>
      </c>
      <c r="E356" t="s">
        <v>3</v>
      </c>
      <c r="F356">
        <v>2</v>
      </c>
      <c r="G356">
        <v>600.16</v>
      </c>
      <c r="H356" t="s">
        <v>18</v>
      </c>
      <c r="I356" s="2">
        <v>44726</v>
      </c>
      <c r="J356" t="s">
        <v>24</v>
      </c>
      <c r="K356" s="4">
        <f>Table1[[#This Row],[Quantity]]*Table1[[#This Row],[Price]]</f>
        <v>1200.32</v>
      </c>
      <c r="L356" t="str">
        <f>IF(Table1[[#This Row],[Age]]&lt;25,"18-24",IF(Table1[[#This Row],[Age]]&lt;35,"25-34",IF(Table1[[#This Row],[Age]]&lt;45,"35-44",IF(Table1[[#This Row],[Age]]&lt;55,"45-54","55+"))))</f>
        <v>35-44</v>
      </c>
      <c r="M356" t="str">
        <f>TEXT(Table1[[#This Row],[Invoice_date]],"mmm")</f>
        <v>Jun</v>
      </c>
      <c r="N356">
        <f>YEAR(Table1[[#This Row],[Invoice_date]])</f>
        <v>2022</v>
      </c>
    </row>
    <row r="357" spans="1:14" x14ac:dyDescent="0.25">
      <c r="A357" t="s">
        <v>385</v>
      </c>
      <c r="B357" t="s">
        <v>386</v>
      </c>
      <c r="C357" t="s">
        <v>12</v>
      </c>
      <c r="D357">
        <v>38</v>
      </c>
      <c r="E357" t="s">
        <v>46</v>
      </c>
      <c r="F357">
        <v>5</v>
      </c>
      <c r="G357">
        <v>58.65</v>
      </c>
      <c r="H357" t="s">
        <v>4</v>
      </c>
      <c r="I357" s="2">
        <v>44887</v>
      </c>
      <c r="J357" t="s">
        <v>63</v>
      </c>
      <c r="K357" s="4">
        <f>Table1[[#This Row],[Quantity]]*Table1[[#This Row],[Price]]</f>
        <v>293.25</v>
      </c>
      <c r="L357" t="str">
        <f>IF(Table1[[#This Row],[Age]]&lt;25,"18-24",IF(Table1[[#This Row],[Age]]&lt;35,"25-34",IF(Table1[[#This Row],[Age]]&lt;45,"35-44",IF(Table1[[#This Row],[Age]]&lt;55,"45-54","55+"))))</f>
        <v>35-44</v>
      </c>
      <c r="M357" t="str">
        <f>TEXT(Table1[[#This Row],[Invoice_date]],"mmm")</f>
        <v>Nov</v>
      </c>
      <c r="N357">
        <f>YEAR(Table1[[#This Row],[Invoice_date]])</f>
        <v>2022</v>
      </c>
    </row>
    <row r="358" spans="1:14" x14ac:dyDescent="0.25">
      <c r="A358" t="s">
        <v>389</v>
      </c>
      <c r="B358" t="s">
        <v>390</v>
      </c>
      <c r="C358" t="s">
        <v>12</v>
      </c>
      <c r="D358">
        <v>44</v>
      </c>
      <c r="E358" t="s">
        <v>3</v>
      </c>
      <c r="F358">
        <v>3</v>
      </c>
      <c r="G358">
        <v>900.24</v>
      </c>
      <c r="H358" t="s">
        <v>4</v>
      </c>
      <c r="I358" s="2">
        <v>44814</v>
      </c>
      <c r="J358" t="s">
        <v>33</v>
      </c>
      <c r="K358" s="4">
        <f>Table1[[#This Row],[Quantity]]*Table1[[#This Row],[Price]]</f>
        <v>2700.7200000000003</v>
      </c>
      <c r="L358" t="str">
        <f>IF(Table1[[#This Row],[Age]]&lt;25,"18-24",IF(Table1[[#This Row],[Age]]&lt;35,"25-34",IF(Table1[[#This Row],[Age]]&lt;45,"35-44",IF(Table1[[#This Row],[Age]]&lt;55,"45-54","55+"))))</f>
        <v>35-44</v>
      </c>
      <c r="M358" t="str">
        <f>TEXT(Table1[[#This Row],[Invoice_date]],"mmm")</f>
        <v>Sep</v>
      </c>
      <c r="N358">
        <f>YEAR(Table1[[#This Row],[Invoice_date]])</f>
        <v>2022</v>
      </c>
    </row>
    <row r="359" spans="1:14" x14ac:dyDescent="0.25">
      <c r="A359" t="s">
        <v>395</v>
      </c>
      <c r="B359" t="s">
        <v>396</v>
      </c>
      <c r="C359" t="s">
        <v>2</v>
      </c>
      <c r="D359">
        <v>42</v>
      </c>
      <c r="E359" t="s">
        <v>3</v>
      </c>
      <c r="F359">
        <v>5</v>
      </c>
      <c r="G359">
        <v>1500.4</v>
      </c>
      <c r="H359" t="s">
        <v>4</v>
      </c>
      <c r="I359" s="2">
        <v>44821</v>
      </c>
      <c r="J359" t="s">
        <v>50</v>
      </c>
      <c r="K359" s="4">
        <f>Table1[[#This Row],[Quantity]]*Table1[[#This Row],[Price]]</f>
        <v>7502</v>
      </c>
      <c r="L359" t="str">
        <f>IF(Table1[[#This Row],[Age]]&lt;25,"18-24",IF(Table1[[#This Row],[Age]]&lt;35,"25-34",IF(Table1[[#This Row],[Age]]&lt;45,"35-44",IF(Table1[[#This Row],[Age]]&lt;55,"45-54","55+"))))</f>
        <v>35-44</v>
      </c>
      <c r="M359" t="str">
        <f>TEXT(Table1[[#This Row],[Invoice_date]],"mmm")</f>
        <v>Sep</v>
      </c>
      <c r="N359">
        <f>YEAR(Table1[[#This Row],[Invoice_date]])</f>
        <v>2022</v>
      </c>
    </row>
    <row r="360" spans="1:14" x14ac:dyDescent="0.25">
      <c r="A360" t="s">
        <v>407</v>
      </c>
      <c r="B360" t="s">
        <v>408</v>
      </c>
      <c r="C360" t="s">
        <v>12</v>
      </c>
      <c r="D360">
        <v>36</v>
      </c>
      <c r="E360" t="s">
        <v>27</v>
      </c>
      <c r="F360">
        <v>3</v>
      </c>
      <c r="G360">
        <v>15.69</v>
      </c>
      <c r="H360" t="s">
        <v>18</v>
      </c>
      <c r="I360" s="2">
        <v>44828</v>
      </c>
      <c r="J360" t="s">
        <v>33</v>
      </c>
      <c r="K360" s="4">
        <f>Table1[[#This Row],[Quantity]]*Table1[[#This Row],[Price]]</f>
        <v>47.07</v>
      </c>
      <c r="L360" t="str">
        <f>IF(Table1[[#This Row],[Age]]&lt;25,"18-24",IF(Table1[[#This Row],[Age]]&lt;35,"25-34",IF(Table1[[#This Row],[Age]]&lt;45,"35-44",IF(Table1[[#This Row],[Age]]&lt;55,"45-54","55+"))))</f>
        <v>35-44</v>
      </c>
      <c r="M360" t="str">
        <f>TEXT(Table1[[#This Row],[Invoice_date]],"mmm")</f>
        <v>Sep</v>
      </c>
      <c r="N360">
        <f>YEAR(Table1[[#This Row],[Invoice_date]])</f>
        <v>2022</v>
      </c>
    </row>
    <row r="361" spans="1:14" x14ac:dyDescent="0.25">
      <c r="A361" t="s">
        <v>429</v>
      </c>
      <c r="B361" t="s">
        <v>430</v>
      </c>
      <c r="C361" t="s">
        <v>12</v>
      </c>
      <c r="D361">
        <v>41</v>
      </c>
      <c r="E361" t="s">
        <v>8</v>
      </c>
      <c r="F361">
        <v>5</v>
      </c>
      <c r="G361">
        <v>203.3</v>
      </c>
      <c r="H361" t="s">
        <v>4</v>
      </c>
      <c r="I361" s="2">
        <v>44388</v>
      </c>
      <c r="J361" t="s">
        <v>63</v>
      </c>
      <c r="K361" s="4">
        <f>Table1[[#This Row],[Quantity]]*Table1[[#This Row],[Price]]</f>
        <v>1016.5</v>
      </c>
      <c r="L361" t="str">
        <f>IF(Table1[[#This Row],[Age]]&lt;25,"18-24",IF(Table1[[#This Row],[Age]]&lt;35,"25-34",IF(Table1[[#This Row],[Age]]&lt;45,"35-44",IF(Table1[[#This Row],[Age]]&lt;55,"45-54","55+"))))</f>
        <v>35-44</v>
      </c>
      <c r="M361" t="str">
        <f>TEXT(Table1[[#This Row],[Invoice_date]],"mmm")</f>
        <v>Jul</v>
      </c>
      <c r="N361">
        <f>YEAR(Table1[[#This Row],[Invoice_date]])</f>
        <v>2021</v>
      </c>
    </row>
    <row r="362" spans="1:14" x14ac:dyDescent="0.25">
      <c r="A362" t="s">
        <v>453</v>
      </c>
      <c r="B362" t="s">
        <v>454</v>
      </c>
      <c r="C362" t="s">
        <v>12</v>
      </c>
      <c r="D362">
        <v>41</v>
      </c>
      <c r="E362" t="s">
        <v>8</v>
      </c>
      <c r="F362">
        <v>2</v>
      </c>
      <c r="G362">
        <v>81.319999999999993</v>
      </c>
      <c r="H362" t="s">
        <v>18</v>
      </c>
      <c r="I362" s="2">
        <v>44454</v>
      </c>
      <c r="J362" t="s">
        <v>50</v>
      </c>
      <c r="K362" s="4">
        <f>Table1[[#This Row],[Quantity]]*Table1[[#This Row],[Price]]</f>
        <v>162.63999999999999</v>
      </c>
      <c r="L362" t="str">
        <f>IF(Table1[[#This Row],[Age]]&lt;25,"18-24",IF(Table1[[#This Row],[Age]]&lt;35,"25-34",IF(Table1[[#This Row],[Age]]&lt;45,"35-44",IF(Table1[[#This Row],[Age]]&lt;55,"45-54","55+"))))</f>
        <v>35-44</v>
      </c>
      <c r="M362" t="str">
        <f>TEXT(Table1[[#This Row],[Invoice_date]],"mmm")</f>
        <v>Sep</v>
      </c>
      <c r="N362">
        <f>YEAR(Table1[[#This Row],[Invoice_date]])</f>
        <v>2021</v>
      </c>
    </row>
    <row r="363" spans="1:14" x14ac:dyDescent="0.25">
      <c r="A363" t="s">
        <v>461</v>
      </c>
      <c r="B363" t="s">
        <v>462</v>
      </c>
      <c r="C363" t="s">
        <v>12</v>
      </c>
      <c r="D363">
        <v>41</v>
      </c>
      <c r="E363" t="s">
        <v>27</v>
      </c>
      <c r="F363">
        <v>5</v>
      </c>
      <c r="G363">
        <v>26.15</v>
      </c>
      <c r="H363" t="s">
        <v>4</v>
      </c>
      <c r="I363" s="2">
        <v>44465</v>
      </c>
      <c r="J363" t="s">
        <v>14</v>
      </c>
      <c r="K363" s="4">
        <f>Table1[[#This Row],[Quantity]]*Table1[[#This Row],[Price]]</f>
        <v>130.75</v>
      </c>
      <c r="L363" t="str">
        <f>IF(Table1[[#This Row],[Age]]&lt;25,"18-24",IF(Table1[[#This Row],[Age]]&lt;35,"25-34",IF(Table1[[#This Row],[Age]]&lt;45,"35-44",IF(Table1[[#This Row],[Age]]&lt;55,"45-54","55+"))))</f>
        <v>35-44</v>
      </c>
      <c r="M363" t="str">
        <f>TEXT(Table1[[#This Row],[Invoice_date]],"mmm")</f>
        <v>Sep</v>
      </c>
      <c r="N363">
        <f>YEAR(Table1[[#This Row],[Invoice_date]])</f>
        <v>2021</v>
      </c>
    </row>
    <row r="364" spans="1:14" x14ac:dyDescent="0.25">
      <c r="A364" t="s">
        <v>475</v>
      </c>
      <c r="B364" t="s">
        <v>476</v>
      </c>
      <c r="C364" t="s">
        <v>12</v>
      </c>
      <c r="D364">
        <v>35</v>
      </c>
      <c r="E364" t="s">
        <v>3</v>
      </c>
      <c r="F364">
        <v>2</v>
      </c>
      <c r="G364">
        <v>600.16</v>
      </c>
      <c r="H364" t="s">
        <v>4</v>
      </c>
      <c r="I364" s="2">
        <v>44677</v>
      </c>
      <c r="J364" t="s">
        <v>9</v>
      </c>
      <c r="K364" s="4">
        <f>Table1[[#This Row],[Quantity]]*Table1[[#This Row],[Price]]</f>
        <v>1200.32</v>
      </c>
      <c r="L364" t="str">
        <f>IF(Table1[[#This Row],[Age]]&lt;25,"18-24",IF(Table1[[#This Row],[Age]]&lt;35,"25-34",IF(Table1[[#This Row],[Age]]&lt;45,"35-44",IF(Table1[[#This Row],[Age]]&lt;55,"45-54","55+"))))</f>
        <v>35-44</v>
      </c>
      <c r="M364" t="str">
        <f>TEXT(Table1[[#This Row],[Invoice_date]],"mmm")</f>
        <v>Apr</v>
      </c>
      <c r="N364">
        <f>YEAR(Table1[[#This Row],[Invoice_date]])</f>
        <v>2022</v>
      </c>
    </row>
    <row r="365" spans="1:14" x14ac:dyDescent="0.25">
      <c r="A365" t="s">
        <v>479</v>
      </c>
      <c r="B365" t="s">
        <v>480</v>
      </c>
      <c r="C365" t="s">
        <v>2</v>
      </c>
      <c r="D365">
        <v>44</v>
      </c>
      <c r="E365" t="s">
        <v>3</v>
      </c>
      <c r="F365">
        <v>2</v>
      </c>
      <c r="G365">
        <v>600.16</v>
      </c>
      <c r="H365" t="s">
        <v>4</v>
      </c>
      <c r="I365" s="2">
        <v>44389</v>
      </c>
      <c r="J365" t="s">
        <v>24</v>
      </c>
      <c r="K365" s="4">
        <f>Table1[[#This Row],[Quantity]]*Table1[[#This Row],[Price]]</f>
        <v>1200.32</v>
      </c>
      <c r="L365" t="str">
        <f>IF(Table1[[#This Row],[Age]]&lt;25,"18-24",IF(Table1[[#This Row],[Age]]&lt;35,"25-34",IF(Table1[[#This Row],[Age]]&lt;45,"35-44",IF(Table1[[#This Row],[Age]]&lt;55,"45-54","55+"))))</f>
        <v>35-44</v>
      </c>
      <c r="M365" t="str">
        <f>TEXT(Table1[[#This Row],[Invoice_date]],"mmm")</f>
        <v>Jul</v>
      </c>
      <c r="N365">
        <f>YEAR(Table1[[#This Row],[Invoice_date]])</f>
        <v>2021</v>
      </c>
    </row>
    <row r="366" spans="1:14" x14ac:dyDescent="0.25">
      <c r="A366" t="s">
        <v>483</v>
      </c>
      <c r="B366" t="s">
        <v>484</v>
      </c>
      <c r="C366" t="s">
        <v>2</v>
      </c>
      <c r="D366">
        <v>44</v>
      </c>
      <c r="E366" t="s">
        <v>17</v>
      </c>
      <c r="F366">
        <v>1</v>
      </c>
      <c r="G366">
        <v>15.15</v>
      </c>
      <c r="H366" t="s">
        <v>18</v>
      </c>
      <c r="I366" s="2">
        <v>44262</v>
      </c>
      <c r="J366" t="s">
        <v>14</v>
      </c>
      <c r="K366" s="4">
        <f>Table1[[#This Row],[Quantity]]*Table1[[#This Row],[Price]]</f>
        <v>15.15</v>
      </c>
      <c r="L366" t="str">
        <f>IF(Table1[[#This Row],[Age]]&lt;25,"18-24",IF(Table1[[#This Row],[Age]]&lt;35,"25-34",IF(Table1[[#This Row],[Age]]&lt;45,"35-44",IF(Table1[[#This Row],[Age]]&lt;55,"45-54","55+"))))</f>
        <v>35-44</v>
      </c>
      <c r="M366" t="str">
        <f>TEXT(Table1[[#This Row],[Invoice_date]],"mmm")</f>
        <v>Mar</v>
      </c>
      <c r="N366">
        <f>YEAR(Table1[[#This Row],[Invoice_date]])</f>
        <v>2021</v>
      </c>
    </row>
    <row r="367" spans="1:14" x14ac:dyDescent="0.25">
      <c r="A367" t="s">
        <v>487</v>
      </c>
      <c r="B367" t="s">
        <v>488</v>
      </c>
      <c r="C367" t="s">
        <v>2</v>
      </c>
      <c r="D367">
        <v>36</v>
      </c>
      <c r="E367" t="s">
        <v>3</v>
      </c>
      <c r="F367">
        <v>2</v>
      </c>
      <c r="G367">
        <v>600.16</v>
      </c>
      <c r="H367" t="s">
        <v>4</v>
      </c>
      <c r="I367" s="2">
        <v>44781</v>
      </c>
      <c r="J367" t="s">
        <v>24</v>
      </c>
      <c r="K367" s="4">
        <f>Table1[[#This Row],[Quantity]]*Table1[[#This Row],[Price]]</f>
        <v>1200.32</v>
      </c>
      <c r="L367" t="str">
        <f>IF(Table1[[#This Row],[Age]]&lt;25,"18-24",IF(Table1[[#This Row],[Age]]&lt;35,"25-34",IF(Table1[[#This Row],[Age]]&lt;45,"35-44",IF(Table1[[#This Row],[Age]]&lt;55,"45-54","55+"))))</f>
        <v>35-44</v>
      </c>
      <c r="M367" t="str">
        <f>TEXT(Table1[[#This Row],[Invoice_date]],"mmm")</f>
        <v>Aug</v>
      </c>
      <c r="N367">
        <f>YEAR(Table1[[#This Row],[Invoice_date]])</f>
        <v>2022</v>
      </c>
    </row>
    <row r="368" spans="1:14" x14ac:dyDescent="0.25">
      <c r="A368" t="s">
        <v>491</v>
      </c>
      <c r="B368" t="s">
        <v>492</v>
      </c>
      <c r="C368" t="s">
        <v>12</v>
      </c>
      <c r="D368">
        <v>40</v>
      </c>
      <c r="E368" t="s">
        <v>3</v>
      </c>
      <c r="F368">
        <v>3</v>
      </c>
      <c r="G368">
        <v>900.24</v>
      </c>
      <c r="H368" t="s">
        <v>13</v>
      </c>
      <c r="I368" s="2">
        <v>44426</v>
      </c>
      <c r="J368" t="s">
        <v>14</v>
      </c>
      <c r="K368" s="4">
        <f>Table1[[#This Row],[Quantity]]*Table1[[#This Row],[Price]]</f>
        <v>2700.7200000000003</v>
      </c>
      <c r="L368" t="str">
        <f>IF(Table1[[#This Row],[Age]]&lt;25,"18-24",IF(Table1[[#This Row],[Age]]&lt;35,"25-34",IF(Table1[[#This Row],[Age]]&lt;45,"35-44",IF(Table1[[#This Row],[Age]]&lt;55,"45-54","55+"))))</f>
        <v>35-44</v>
      </c>
      <c r="M368" t="str">
        <f>TEXT(Table1[[#This Row],[Invoice_date]],"mmm")</f>
        <v>Aug</v>
      </c>
      <c r="N368">
        <f>YEAR(Table1[[#This Row],[Invoice_date]])</f>
        <v>2021</v>
      </c>
    </row>
    <row r="369" spans="1:14" x14ac:dyDescent="0.25">
      <c r="A369" t="s">
        <v>497</v>
      </c>
      <c r="B369" t="s">
        <v>498</v>
      </c>
      <c r="C369" t="s">
        <v>12</v>
      </c>
      <c r="D369">
        <v>38</v>
      </c>
      <c r="E369" t="s">
        <v>49</v>
      </c>
      <c r="F369">
        <v>1</v>
      </c>
      <c r="G369">
        <v>35.840000000000003</v>
      </c>
      <c r="H369" t="s">
        <v>13</v>
      </c>
      <c r="I369" s="2">
        <v>44235</v>
      </c>
      <c r="J369" t="s">
        <v>14</v>
      </c>
      <c r="K369" s="4">
        <f>Table1[[#This Row],[Quantity]]*Table1[[#This Row],[Price]]</f>
        <v>35.840000000000003</v>
      </c>
      <c r="L369" t="str">
        <f>IF(Table1[[#This Row],[Age]]&lt;25,"18-24",IF(Table1[[#This Row],[Age]]&lt;35,"25-34",IF(Table1[[#This Row],[Age]]&lt;45,"35-44",IF(Table1[[#This Row],[Age]]&lt;55,"45-54","55+"))))</f>
        <v>35-44</v>
      </c>
      <c r="M369" t="str">
        <f>TEXT(Table1[[#This Row],[Invoice_date]],"mmm")</f>
        <v>Feb</v>
      </c>
      <c r="N369">
        <f>YEAR(Table1[[#This Row],[Invoice_date]])</f>
        <v>2021</v>
      </c>
    </row>
    <row r="370" spans="1:14" x14ac:dyDescent="0.25">
      <c r="A370" t="s">
        <v>501</v>
      </c>
      <c r="B370" t="s">
        <v>502</v>
      </c>
      <c r="C370" t="s">
        <v>12</v>
      </c>
      <c r="D370">
        <v>42</v>
      </c>
      <c r="E370" t="s">
        <v>17</v>
      </c>
      <c r="F370">
        <v>1</v>
      </c>
      <c r="G370">
        <v>15.15</v>
      </c>
      <c r="H370" t="s">
        <v>4</v>
      </c>
      <c r="I370" s="2">
        <v>44620</v>
      </c>
      <c r="J370" t="s">
        <v>33</v>
      </c>
      <c r="K370" s="4">
        <f>Table1[[#This Row],[Quantity]]*Table1[[#This Row],[Price]]</f>
        <v>15.15</v>
      </c>
      <c r="L370" t="str">
        <f>IF(Table1[[#This Row],[Age]]&lt;25,"18-24",IF(Table1[[#This Row],[Age]]&lt;35,"25-34",IF(Table1[[#This Row],[Age]]&lt;45,"35-44",IF(Table1[[#This Row],[Age]]&lt;55,"45-54","55+"))))</f>
        <v>35-44</v>
      </c>
      <c r="M370" t="str">
        <f>TEXT(Table1[[#This Row],[Invoice_date]],"mmm")</f>
        <v>Feb</v>
      </c>
      <c r="N370">
        <f>YEAR(Table1[[#This Row],[Invoice_date]])</f>
        <v>2022</v>
      </c>
    </row>
    <row r="371" spans="1:14" x14ac:dyDescent="0.25">
      <c r="A371" t="s">
        <v>503</v>
      </c>
      <c r="B371" t="s">
        <v>504</v>
      </c>
      <c r="C371" t="s">
        <v>12</v>
      </c>
      <c r="D371">
        <v>44</v>
      </c>
      <c r="E371" t="s">
        <v>46</v>
      </c>
      <c r="F371">
        <v>4</v>
      </c>
      <c r="G371">
        <v>46.92</v>
      </c>
      <c r="H371" t="s">
        <v>13</v>
      </c>
      <c r="I371" s="2">
        <v>44594</v>
      </c>
      <c r="J371" t="s">
        <v>50</v>
      </c>
      <c r="K371" s="4">
        <f>Table1[[#This Row],[Quantity]]*Table1[[#This Row],[Price]]</f>
        <v>187.68</v>
      </c>
      <c r="L371" t="str">
        <f>IF(Table1[[#This Row],[Age]]&lt;25,"18-24",IF(Table1[[#This Row],[Age]]&lt;35,"25-34",IF(Table1[[#This Row],[Age]]&lt;45,"35-44",IF(Table1[[#This Row],[Age]]&lt;55,"45-54","55+"))))</f>
        <v>35-44</v>
      </c>
      <c r="M371" t="str">
        <f>TEXT(Table1[[#This Row],[Invoice_date]],"mmm")</f>
        <v>Feb</v>
      </c>
      <c r="N371">
        <f>YEAR(Table1[[#This Row],[Invoice_date]])</f>
        <v>2022</v>
      </c>
    </row>
    <row r="372" spans="1:14" x14ac:dyDescent="0.25">
      <c r="A372" t="s">
        <v>507</v>
      </c>
      <c r="B372" t="s">
        <v>508</v>
      </c>
      <c r="C372" t="s">
        <v>2</v>
      </c>
      <c r="D372">
        <v>41</v>
      </c>
      <c r="E372" t="s">
        <v>8</v>
      </c>
      <c r="F372">
        <v>5</v>
      </c>
      <c r="G372">
        <v>203.3</v>
      </c>
      <c r="H372" t="s">
        <v>13</v>
      </c>
      <c r="I372" s="2">
        <v>44201</v>
      </c>
      <c r="J372" t="s">
        <v>63</v>
      </c>
      <c r="K372" s="4">
        <f>Table1[[#This Row],[Quantity]]*Table1[[#This Row],[Price]]</f>
        <v>1016.5</v>
      </c>
      <c r="L372" t="str">
        <f>IF(Table1[[#This Row],[Age]]&lt;25,"18-24",IF(Table1[[#This Row],[Age]]&lt;35,"25-34",IF(Table1[[#This Row],[Age]]&lt;45,"35-44",IF(Table1[[#This Row],[Age]]&lt;55,"45-54","55+"))))</f>
        <v>35-44</v>
      </c>
      <c r="M372" t="str">
        <f>TEXT(Table1[[#This Row],[Invoice_date]],"mmm")</f>
        <v>Jan</v>
      </c>
      <c r="N372">
        <f>YEAR(Table1[[#This Row],[Invoice_date]])</f>
        <v>2021</v>
      </c>
    </row>
    <row r="373" spans="1:14" x14ac:dyDescent="0.25">
      <c r="A373" t="s">
        <v>521</v>
      </c>
      <c r="B373" t="s">
        <v>522</v>
      </c>
      <c r="C373" t="s">
        <v>12</v>
      </c>
      <c r="D373">
        <v>35</v>
      </c>
      <c r="E373" t="s">
        <v>8</v>
      </c>
      <c r="F373">
        <v>4</v>
      </c>
      <c r="G373">
        <v>162.63999999999999</v>
      </c>
      <c r="H373" t="s">
        <v>4</v>
      </c>
      <c r="I373" s="2">
        <v>44752</v>
      </c>
      <c r="J373" t="s">
        <v>63</v>
      </c>
      <c r="K373" s="4">
        <f>Table1[[#This Row],[Quantity]]*Table1[[#This Row],[Price]]</f>
        <v>650.55999999999995</v>
      </c>
      <c r="L373" t="str">
        <f>IF(Table1[[#This Row],[Age]]&lt;25,"18-24",IF(Table1[[#This Row],[Age]]&lt;35,"25-34",IF(Table1[[#This Row],[Age]]&lt;45,"35-44",IF(Table1[[#This Row],[Age]]&lt;55,"45-54","55+"))))</f>
        <v>35-44</v>
      </c>
      <c r="M373" t="str">
        <f>TEXT(Table1[[#This Row],[Invoice_date]],"mmm")</f>
        <v>Jul</v>
      </c>
      <c r="N373">
        <f>YEAR(Table1[[#This Row],[Invoice_date]])</f>
        <v>2022</v>
      </c>
    </row>
    <row r="374" spans="1:14" x14ac:dyDescent="0.25">
      <c r="A374" t="s">
        <v>533</v>
      </c>
      <c r="B374" t="s">
        <v>534</v>
      </c>
      <c r="C374" t="s">
        <v>12</v>
      </c>
      <c r="D374">
        <v>38</v>
      </c>
      <c r="E374" t="s">
        <v>49</v>
      </c>
      <c r="F374">
        <v>3</v>
      </c>
      <c r="G374">
        <v>107.52</v>
      </c>
      <c r="H374" t="s">
        <v>18</v>
      </c>
      <c r="I374" s="2">
        <v>44498</v>
      </c>
      <c r="J374" t="s">
        <v>33</v>
      </c>
      <c r="K374" s="4">
        <f>Table1[[#This Row],[Quantity]]*Table1[[#This Row],[Price]]</f>
        <v>322.56</v>
      </c>
      <c r="L374" t="str">
        <f>IF(Table1[[#This Row],[Age]]&lt;25,"18-24",IF(Table1[[#This Row],[Age]]&lt;35,"25-34",IF(Table1[[#This Row],[Age]]&lt;45,"35-44",IF(Table1[[#This Row],[Age]]&lt;55,"45-54","55+"))))</f>
        <v>35-44</v>
      </c>
      <c r="M374" t="str">
        <f>TEXT(Table1[[#This Row],[Invoice_date]],"mmm")</f>
        <v>Oct</v>
      </c>
      <c r="N374">
        <f>YEAR(Table1[[#This Row],[Invoice_date]])</f>
        <v>2021</v>
      </c>
    </row>
    <row r="375" spans="1:14" x14ac:dyDescent="0.25">
      <c r="A375" t="s">
        <v>539</v>
      </c>
      <c r="B375" t="s">
        <v>540</v>
      </c>
      <c r="C375" t="s">
        <v>12</v>
      </c>
      <c r="D375">
        <v>39</v>
      </c>
      <c r="E375" t="s">
        <v>8</v>
      </c>
      <c r="F375">
        <v>4</v>
      </c>
      <c r="G375">
        <v>162.63999999999999</v>
      </c>
      <c r="H375" t="s">
        <v>4</v>
      </c>
      <c r="I375" s="2">
        <v>44480</v>
      </c>
      <c r="J375" t="s">
        <v>50</v>
      </c>
      <c r="K375" s="4">
        <f>Table1[[#This Row],[Quantity]]*Table1[[#This Row],[Price]]</f>
        <v>650.55999999999995</v>
      </c>
      <c r="L375" t="str">
        <f>IF(Table1[[#This Row],[Age]]&lt;25,"18-24",IF(Table1[[#This Row],[Age]]&lt;35,"25-34",IF(Table1[[#This Row],[Age]]&lt;45,"35-44",IF(Table1[[#This Row],[Age]]&lt;55,"45-54","55+"))))</f>
        <v>35-44</v>
      </c>
      <c r="M375" t="str">
        <f>TEXT(Table1[[#This Row],[Invoice_date]],"mmm")</f>
        <v>Oct</v>
      </c>
      <c r="N375">
        <f>YEAR(Table1[[#This Row],[Invoice_date]])</f>
        <v>2021</v>
      </c>
    </row>
    <row r="376" spans="1:14" x14ac:dyDescent="0.25">
      <c r="A376" t="s">
        <v>547</v>
      </c>
      <c r="B376" t="s">
        <v>548</v>
      </c>
      <c r="C376" t="s">
        <v>12</v>
      </c>
      <c r="D376">
        <v>38</v>
      </c>
      <c r="E376" t="s">
        <v>17</v>
      </c>
      <c r="F376">
        <v>5</v>
      </c>
      <c r="G376">
        <v>75.75</v>
      </c>
      <c r="H376" t="s">
        <v>4</v>
      </c>
      <c r="I376" s="2">
        <v>44981</v>
      </c>
      <c r="J376" t="s">
        <v>14</v>
      </c>
      <c r="K376" s="4">
        <f>Table1[[#This Row],[Quantity]]*Table1[[#This Row],[Price]]</f>
        <v>378.75</v>
      </c>
      <c r="L376" t="str">
        <f>IF(Table1[[#This Row],[Age]]&lt;25,"18-24",IF(Table1[[#This Row],[Age]]&lt;35,"25-34",IF(Table1[[#This Row],[Age]]&lt;45,"35-44",IF(Table1[[#This Row],[Age]]&lt;55,"45-54","55+"))))</f>
        <v>35-44</v>
      </c>
      <c r="M376" t="str">
        <f>TEXT(Table1[[#This Row],[Invoice_date]],"mmm")</f>
        <v>Feb</v>
      </c>
      <c r="N376">
        <f>YEAR(Table1[[#This Row],[Invoice_date]])</f>
        <v>2023</v>
      </c>
    </row>
    <row r="377" spans="1:14" x14ac:dyDescent="0.25">
      <c r="A377" t="s">
        <v>553</v>
      </c>
      <c r="B377" t="s">
        <v>554</v>
      </c>
      <c r="C377" t="s">
        <v>12</v>
      </c>
      <c r="D377">
        <v>38</v>
      </c>
      <c r="E377" t="s">
        <v>17</v>
      </c>
      <c r="F377">
        <v>3</v>
      </c>
      <c r="G377">
        <v>45.45</v>
      </c>
      <c r="H377" t="s">
        <v>18</v>
      </c>
      <c r="I377" s="2">
        <v>44785</v>
      </c>
      <c r="J377" t="s">
        <v>14</v>
      </c>
      <c r="K377" s="4">
        <f>Table1[[#This Row],[Quantity]]*Table1[[#This Row],[Price]]</f>
        <v>136.35000000000002</v>
      </c>
      <c r="L377" t="str">
        <f>IF(Table1[[#This Row],[Age]]&lt;25,"18-24",IF(Table1[[#This Row],[Age]]&lt;35,"25-34",IF(Table1[[#This Row],[Age]]&lt;45,"35-44",IF(Table1[[#This Row],[Age]]&lt;55,"45-54","55+"))))</f>
        <v>35-44</v>
      </c>
      <c r="M377" t="str">
        <f>TEXT(Table1[[#This Row],[Invoice_date]],"mmm")</f>
        <v>Aug</v>
      </c>
      <c r="N377">
        <f>YEAR(Table1[[#This Row],[Invoice_date]])</f>
        <v>2022</v>
      </c>
    </row>
    <row r="378" spans="1:14" x14ac:dyDescent="0.25">
      <c r="A378" t="s">
        <v>565</v>
      </c>
      <c r="B378" t="s">
        <v>566</v>
      </c>
      <c r="C378" t="s">
        <v>12</v>
      </c>
      <c r="D378">
        <v>43</v>
      </c>
      <c r="E378" t="s">
        <v>3</v>
      </c>
      <c r="F378">
        <v>5</v>
      </c>
      <c r="G378">
        <v>1500.4</v>
      </c>
      <c r="H378" t="s">
        <v>13</v>
      </c>
      <c r="I378" s="2">
        <v>44800</v>
      </c>
      <c r="J378" t="s">
        <v>9</v>
      </c>
      <c r="K378" s="4">
        <f>Table1[[#This Row],[Quantity]]*Table1[[#This Row],[Price]]</f>
        <v>7502</v>
      </c>
      <c r="L378" t="str">
        <f>IF(Table1[[#This Row],[Age]]&lt;25,"18-24",IF(Table1[[#This Row],[Age]]&lt;35,"25-34",IF(Table1[[#This Row],[Age]]&lt;45,"35-44",IF(Table1[[#This Row],[Age]]&lt;55,"45-54","55+"))))</f>
        <v>35-44</v>
      </c>
      <c r="M378" t="str">
        <f>TEXT(Table1[[#This Row],[Invoice_date]],"mmm")</f>
        <v>Aug</v>
      </c>
      <c r="N378">
        <f>YEAR(Table1[[#This Row],[Invoice_date]])</f>
        <v>2022</v>
      </c>
    </row>
    <row r="379" spans="1:14" x14ac:dyDescent="0.25">
      <c r="A379" t="s">
        <v>577</v>
      </c>
      <c r="B379" t="s">
        <v>578</v>
      </c>
      <c r="C379" t="s">
        <v>2</v>
      </c>
      <c r="D379">
        <v>44</v>
      </c>
      <c r="E379" t="s">
        <v>27</v>
      </c>
      <c r="F379">
        <v>3</v>
      </c>
      <c r="G379">
        <v>15.69</v>
      </c>
      <c r="H379" t="s">
        <v>4</v>
      </c>
      <c r="I379" s="2">
        <v>44721</v>
      </c>
      <c r="J379" t="s">
        <v>50</v>
      </c>
      <c r="K379" s="4">
        <f>Table1[[#This Row],[Quantity]]*Table1[[#This Row],[Price]]</f>
        <v>47.07</v>
      </c>
      <c r="L379" t="str">
        <f>IF(Table1[[#This Row],[Age]]&lt;25,"18-24",IF(Table1[[#This Row],[Age]]&lt;35,"25-34",IF(Table1[[#This Row],[Age]]&lt;45,"35-44",IF(Table1[[#This Row],[Age]]&lt;55,"45-54","55+"))))</f>
        <v>35-44</v>
      </c>
      <c r="M379" t="str">
        <f>TEXT(Table1[[#This Row],[Invoice_date]],"mmm")</f>
        <v>Jun</v>
      </c>
      <c r="N379">
        <f>YEAR(Table1[[#This Row],[Invoice_date]])</f>
        <v>2022</v>
      </c>
    </row>
    <row r="380" spans="1:14" x14ac:dyDescent="0.25">
      <c r="A380" t="s">
        <v>581</v>
      </c>
      <c r="B380" t="s">
        <v>582</v>
      </c>
      <c r="C380" t="s">
        <v>2</v>
      </c>
      <c r="D380">
        <v>35</v>
      </c>
      <c r="E380" t="s">
        <v>27</v>
      </c>
      <c r="F380">
        <v>2</v>
      </c>
      <c r="G380">
        <v>10.46</v>
      </c>
      <c r="H380" t="s">
        <v>4</v>
      </c>
      <c r="I380" s="2">
        <v>44930</v>
      </c>
      <c r="J380" t="s">
        <v>5</v>
      </c>
      <c r="K380" s="4">
        <f>Table1[[#This Row],[Quantity]]*Table1[[#This Row],[Price]]</f>
        <v>20.92</v>
      </c>
      <c r="L380" t="str">
        <f>IF(Table1[[#This Row],[Age]]&lt;25,"18-24",IF(Table1[[#This Row],[Age]]&lt;35,"25-34",IF(Table1[[#This Row],[Age]]&lt;45,"35-44",IF(Table1[[#This Row],[Age]]&lt;55,"45-54","55+"))))</f>
        <v>35-44</v>
      </c>
      <c r="M380" t="str">
        <f>TEXT(Table1[[#This Row],[Invoice_date]],"mmm")</f>
        <v>Jan</v>
      </c>
      <c r="N380">
        <f>YEAR(Table1[[#This Row],[Invoice_date]])</f>
        <v>2023</v>
      </c>
    </row>
    <row r="381" spans="1:14" x14ac:dyDescent="0.25">
      <c r="A381" t="s">
        <v>583</v>
      </c>
      <c r="B381" t="s">
        <v>584</v>
      </c>
      <c r="C381" t="s">
        <v>12</v>
      </c>
      <c r="D381">
        <v>44</v>
      </c>
      <c r="E381" t="s">
        <v>8</v>
      </c>
      <c r="F381">
        <v>3</v>
      </c>
      <c r="G381">
        <v>121.98</v>
      </c>
      <c r="H381" t="s">
        <v>4</v>
      </c>
      <c r="I381" s="2">
        <v>44602</v>
      </c>
      <c r="J381" t="s">
        <v>74</v>
      </c>
      <c r="K381" s="4">
        <f>Table1[[#This Row],[Quantity]]*Table1[[#This Row],[Price]]</f>
        <v>365.94</v>
      </c>
      <c r="L381" t="str">
        <f>IF(Table1[[#This Row],[Age]]&lt;25,"18-24",IF(Table1[[#This Row],[Age]]&lt;35,"25-34",IF(Table1[[#This Row],[Age]]&lt;45,"35-44",IF(Table1[[#This Row],[Age]]&lt;55,"45-54","55+"))))</f>
        <v>35-44</v>
      </c>
      <c r="M381" t="str">
        <f>TEXT(Table1[[#This Row],[Invoice_date]],"mmm")</f>
        <v>Feb</v>
      </c>
      <c r="N381">
        <f>YEAR(Table1[[#This Row],[Invoice_date]])</f>
        <v>2022</v>
      </c>
    </row>
    <row r="382" spans="1:14" x14ac:dyDescent="0.25">
      <c r="A382" t="s">
        <v>591</v>
      </c>
      <c r="B382" t="s">
        <v>592</v>
      </c>
      <c r="C382" t="s">
        <v>12</v>
      </c>
      <c r="D382">
        <v>39</v>
      </c>
      <c r="E382" t="s">
        <v>38</v>
      </c>
      <c r="F382">
        <v>3</v>
      </c>
      <c r="G382">
        <v>1800.51</v>
      </c>
      <c r="H382" t="s">
        <v>4</v>
      </c>
      <c r="I382" s="2">
        <v>44209</v>
      </c>
      <c r="J382" t="s">
        <v>50</v>
      </c>
      <c r="K382" s="4">
        <f>Table1[[#This Row],[Quantity]]*Table1[[#This Row],[Price]]</f>
        <v>5401.53</v>
      </c>
      <c r="L382" t="str">
        <f>IF(Table1[[#This Row],[Age]]&lt;25,"18-24",IF(Table1[[#This Row],[Age]]&lt;35,"25-34",IF(Table1[[#This Row],[Age]]&lt;45,"35-44",IF(Table1[[#This Row],[Age]]&lt;55,"45-54","55+"))))</f>
        <v>35-44</v>
      </c>
      <c r="M382" t="str">
        <f>TEXT(Table1[[#This Row],[Invoice_date]],"mmm")</f>
        <v>Jan</v>
      </c>
      <c r="N382">
        <f>YEAR(Table1[[#This Row],[Invoice_date]])</f>
        <v>2021</v>
      </c>
    </row>
    <row r="383" spans="1:14" x14ac:dyDescent="0.25">
      <c r="A383" t="s">
        <v>595</v>
      </c>
      <c r="B383" t="s">
        <v>596</v>
      </c>
      <c r="C383" t="s">
        <v>12</v>
      </c>
      <c r="D383">
        <v>37</v>
      </c>
      <c r="E383" t="s">
        <v>46</v>
      </c>
      <c r="F383">
        <v>1</v>
      </c>
      <c r="G383">
        <v>11.73</v>
      </c>
      <c r="H383" t="s">
        <v>4</v>
      </c>
      <c r="I383" s="2">
        <v>44972</v>
      </c>
      <c r="J383" t="s">
        <v>24</v>
      </c>
      <c r="K383" s="4">
        <f>Table1[[#This Row],[Quantity]]*Table1[[#This Row],[Price]]</f>
        <v>11.73</v>
      </c>
      <c r="L383" t="str">
        <f>IF(Table1[[#This Row],[Age]]&lt;25,"18-24",IF(Table1[[#This Row],[Age]]&lt;35,"25-34",IF(Table1[[#This Row],[Age]]&lt;45,"35-44",IF(Table1[[#This Row],[Age]]&lt;55,"45-54","55+"))))</f>
        <v>35-44</v>
      </c>
      <c r="M383" t="str">
        <f>TEXT(Table1[[#This Row],[Invoice_date]],"mmm")</f>
        <v>Feb</v>
      </c>
      <c r="N383">
        <f>YEAR(Table1[[#This Row],[Invoice_date]])</f>
        <v>2023</v>
      </c>
    </row>
    <row r="384" spans="1:14" x14ac:dyDescent="0.25">
      <c r="A384" t="s">
        <v>597</v>
      </c>
      <c r="B384" t="s">
        <v>598</v>
      </c>
      <c r="C384" t="s">
        <v>2</v>
      </c>
      <c r="D384">
        <v>38</v>
      </c>
      <c r="E384" t="s">
        <v>17</v>
      </c>
      <c r="F384">
        <v>5</v>
      </c>
      <c r="G384">
        <v>75.75</v>
      </c>
      <c r="H384" t="s">
        <v>4</v>
      </c>
      <c r="I384" s="2">
        <v>44440</v>
      </c>
      <c r="J384" t="s">
        <v>14</v>
      </c>
      <c r="K384" s="4">
        <f>Table1[[#This Row],[Quantity]]*Table1[[#This Row],[Price]]</f>
        <v>378.75</v>
      </c>
      <c r="L384" t="str">
        <f>IF(Table1[[#This Row],[Age]]&lt;25,"18-24",IF(Table1[[#This Row],[Age]]&lt;35,"25-34",IF(Table1[[#This Row],[Age]]&lt;45,"35-44",IF(Table1[[#This Row],[Age]]&lt;55,"45-54","55+"))))</f>
        <v>35-44</v>
      </c>
      <c r="M384" t="str">
        <f>TEXT(Table1[[#This Row],[Invoice_date]],"mmm")</f>
        <v>Sep</v>
      </c>
      <c r="N384">
        <f>YEAR(Table1[[#This Row],[Invoice_date]])</f>
        <v>2021</v>
      </c>
    </row>
    <row r="385" spans="1:14" x14ac:dyDescent="0.25">
      <c r="A385" t="s">
        <v>599</v>
      </c>
      <c r="B385" t="s">
        <v>600</v>
      </c>
      <c r="C385" t="s">
        <v>12</v>
      </c>
      <c r="D385">
        <v>41</v>
      </c>
      <c r="E385" t="s">
        <v>8</v>
      </c>
      <c r="F385">
        <v>5</v>
      </c>
      <c r="G385">
        <v>203.3</v>
      </c>
      <c r="H385" t="s">
        <v>4</v>
      </c>
      <c r="I385" s="2">
        <v>44549</v>
      </c>
      <c r="J385" t="s">
        <v>24</v>
      </c>
      <c r="K385" s="4">
        <f>Table1[[#This Row],[Quantity]]*Table1[[#This Row],[Price]]</f>
        <v>1016.5</v>
      </c>
      <c r="L385" t="str">
        <f>IF(Table1[[#This Row],[Age]]&lt;25,"18-24",IF(Table1[[#This Row],[Age]]&lt;35,"25-34",IF(Table1[[#This Row],[Age]]&lt;45,"35-44",IF(Table1[[#This Row],[Age]]&lt;55,"45-54","55+"))))</f>
        <v>35-44</v>
      </c>
      <c r="M385" t="str">
        <f>TEXT(Table1[[#This Row],[Invoice_date]],"mmm")</f>
        <v>Dec</v>
      </c>
      <c r="N385">
        <f>YEAR(Table1[[#This Row],[Invoice_date]])</f>
        <v>2021</v>
      </c>
    </row>
    <row r="386" spans="1:14" x14ac:dyDescent="0.25">
      <c r="A386" t="s">
        <v>607</v>
      </c>
      <c r="B386" t="s">
        <v>608</v>
      </c>
      <c r="C386" t="s">
        <v>12</v>
      </c>
      <c r="D386">
        <v>41</v>
      </c>
      <c r="E386" t="s">
        <v>3</v>
      </c>
      <c r="F386">
        <v>1</v>
      </c>
      <c r="G386">
        <v>300.08</v>
      </c>
      <c r="H386" t="s">
        <v>13</v>
      </c>
      <c r="I386" s="2">
        <v>44729</v>
      </c>
      <c r="J386" t="s">
        <v>33</v>
      </c>
      <c r="K386" s="4">
        <f>Table1[[#This Row],[Quantity]]*Table1[[#This Row],[Price]]</f>
        <v>300.08</v>
      </c>
      <c r="L386" t="str">
        <f>IF(Table1[[#This Row],[Age]]&lt;25,"18-24",IF(Table1[[#This Row],[Age]]&lt;35,"25-34",IF(Table1[[#This Row],[Age]]&lt;45,"35-44",IF(Table1[[#This Row],[Age]]&lt;55,"45-54","55+"))))</f>
        <v>35-44</v>
      </c>
      <c r="M386" t="str">
        <f>TEXT(Table1[[#This Row],[Invoice_date]],"mmm")</f>
        <v>Jun</v>
      </c>
      <c r="N386">
        <f>YEAR(Table1[[#This Row],[Invoice_date]])</f>
        <v>2022</v>
      </c>
    </row>
    <row r="387" spans="1:14" x14ac:dyDescent="0.25">
      <c r="A387" t="s">
        <v>615</v>
      </c>
      <c r="B387" t="s">
        <v>616</v>
      </c>
      <c r="C387" t="s">
        <v>12</v>
      </c>
      <c r="D387">
        <v>41</v>
      </c>
      <c r="E387" t="s">
        <v>38</v>
      </c>
      <c r="F387">
        <v>4</v>
      </c>
      <c r="G387">
        <v>2400.6799999999998</v>
      </c>
      <c r="H387" t="s">
        <v>4</v>
      </c>
      <c r="I387" s="2">
        <v>44799</v>
      </c>
      <c r="J387" t="s">
        <v>9</v>
      </c>
      <c r="K387" s="4">
        <f>Table1[[#This Row],[Quantity]]*Table1[[#This Row],[Price]]</f>
        <v>9602.7199999999993</v>
      </c>
      <c r="L387" t="str">
        <f>IF(Table1[[#This Row],[Age]]&lt;25,"18-24",IF(Table1[[#This Row],[Age]]&lt;35,"25-34",IF(Table1[[#This Row],[Age]]&lt;45,"35-44",IF(Table1[[#This Row],[Age]]&lt;55,"45-54","55+"))))</f>
        <v>35-44</v>
      </c>
      <c r="M387" t="str">
        <f>TEXT(Table1[[#This Row],[Invoice_date]],"mmm")</f>
        <v>Aug</v>
      </c>
      <c r="N387">
        <f>YEAR(Table1[[#This Row],[Invoice_date]])</f>
        <v>2022</v>
      </c>
    </row>
    <row r="388" spans="1:14" x14ac:dyDescent="0.25">
      <c r="A388" t="s">
        <v>625</v>
      </c>
      <c r="B388" t="s">
        <v>626</v>
      </c>
      <c r="C388" t="s">
        <v>12</v>
      </c>
      <c r="D388">
        <v>41</v>
      </c>
      <c r="E388" t="s">
        <v>27</v>
      </c>
      <c r="F388">
        <v>1</v>
      </c>
      <c r="G388">
        <v>5.23</v>
      </c>
      <c r="H388" t="s">
        <v>18</v>
      </c>
      <c r="I388" s="2">
        <v>44659</v>
      </c>
      <c r="J388" t="s">
        <v>74</v>
      </c>
      <c r="K388" s="4">
        <f>Table1[[#This Row],[Quantity]]*Table1[[#This Row],[Price]]</f>
        <v>5.23</v>
      </c>
      <c r="L388" t="str">
        <f>IF(Table1[[#This Row],[Age]]&lt;25,"18-24",IF(Table1[[#This Row],[Age]]&lt;35,"25-34",IF(Table1[[#This Row],[Age]]&lt;45,"35-44",IF(Table1[[#This Row],[Age]]&lt;55,"45-54","55+"))))</f>
        <v>35-44</v>
      </c>
      <c r="M388" t="str">
        <f>TEXT(Table1[[#This Row],[Invoice_date]],"mmm")</f>
        <v>Apr</v>
      </c>
      <c r="N388">
        <f>YEAR(Table1[[#This Row],[Invoice_date]])</f>
        <v>2022</v>
      </c>
    </row>
    <row r="389" spans="1:14" x14ac:dyDescent="0.25">
      <c r="A389" t="s">
        <v>629</v>
      </c>
      <c r="B389" t="s">
        <v>630</v>
      </c>
      <c r="C389" t="s">
        <v>2</v>
      </c>
      <c r="D389">
        <v>43</v>
      </c>
      <c r="E389" t="s">
        <v>3</v>
      </c>
      <c r="F389">
        <v>2</v>
      </c>
      <c r="G389">
        <v>600.16</v>
      </c>
      <c r="H389" t="s">
        <v>4</v>
      </c>
      <c r="I389" s="2">
        <v>44862</v>
      </c>
      <c r="J389" t="s">
        <v>14</v>
      </c>
      <c r="K389" s="4">
        <f>Table1[[#This Row],[Quantity]]*Table1[[#This Row],[Price]]</f>
        <v>1200.32</v>
      </c>
      <c r="L389" t="str">
        <f>IF(Table1[[#This Row],[Age]]&lt;25,"18-24",IF(Table1[[#This Row],[Age]]&lt;35,"25-34",IF(Table1[[#This Row],[Age]]&lt;45,"35-44",IF(Table1[[#This Row],[Age]]&lt;55,"45-54","55+"))))</f>
        <v>35-44</v>
      </c>
      <c r="M389" t="str">
        <f>TEXT(Table1[[#This Row],[Invoice_date]],"mmm")</f>
        <v>Oct</v>
      </c>
      <c r="N389">
        <f>YEAR(Table1[[#This Row],[Invoice_date]])</f>
        <v>2022</v>
      </c>
    </row>
    <row r="390" spans="1:14" x14ac:dyDescent="0.25">
      <c r="A390" t="s">
        <v>631</v>
      </c>
      <c r="B390" t="s">
        <v>632</v>
      </c>
      <c r="C390" t="s">
        <v>12</v>
      </c>
      <c r="D390">
        <v>35</v>
      </c>
      <c r="E390" t="s">
        <v>3</v>
      </c>
      <c r="F390">
        <v>1</v>
      </c>
      <c r="G390">
        <v>300.08</v>
      </c>
      <c r="H390" t="s">
        <v>13</v>
      </c>
      <c r="I390" s="2">
        <v>44368</v>
      </c>
      <c r="J390" t="s">
        <v>14</v>
      </c>
      <c r="K390" s="4">
        <f>Table1[[#This Row],[Quantity]]*Table1[[#This Row],[Price]]</f>
        <v>300.08</v>
      </c>
      <c r="L390" t="str">
        <f>IF(Table1[[#This Row],[Age]]&lt;25,"18-24",IF(Table1[[#This Row],[Age]]&lt;35,"25-34",IF(Table1[[#This Row],[Age]]&lt;45,"35-44",IF(Table1[[#This Row],[Age]]&lt;55,"45-54","55+"))))</f>
        <v>35-44</v>
      </c>
      <c r="M390" t="str">
        <f>TEXT(Table1[[#This Row],[Invoice_date]],"mmm")</f>
        <v>Jun</v>
      </c>
      <c r="N390">
        <f>YEAR(Table1[[#This Row],[Invoice_date]])</f>
        <v>2021</v>
      </c>
    </row>
    <row r="391" spans="1:14" x14ac:dyDescent="0.25">
      <c r="A391" t="s">
        <v>639</v>
      </c>
      <c r="B391" t="s">
        <v>640</v>
      </c>
      <c r="C391" t="s">
        <v>12</v>
      </c>
      <c r="D391">
        <v>35</v>
      </c>
      <c r="E391" t="s">
        <v>17</v>
      </c>
      <c r="F391">
        <v>1</v>
      </c>
      <c r="G391">
        <v>15.15</v>
      </c>
      <c r="H391" t="s">
        <v>13</v>
      </c>
      <c r="I391" s="2">
        <v>44364</v>
      </c>
      <c r="J391" t="s">
        <v>63</v>
      </c>
      <c r="K391" s="4">
        <f>Table1[[#This Row],[Quantity]]*Table1[[#This Row],[Price]]</f>
        <v>15.15</v>
      </c>
      <c r="L391" t="str">
        <f>IF(Table1[[#This Row],[Age]]&lt;25,"18-24",IF(Table1[[#This Row],[Age]]&lt;35,"25-34",IF(Table1[[#This Row],[Age]]&lt;45,"35-44",IF(Table1[[#This Row],[Age]]&lt;55,"45-54","55+"))))</f>
        <v>35-44</v>
      </c>
      <c r="M391" t="str">
        <f>TEXT(Table1[[#This Row],[Invoice_date]],"mmm")</f>
        <v>Jun</v>
      </c>
      <c r="N391">
        <f>YEAR(Table1[[#This Row],[Invoice_date]])</f>
        <v>2021</v>
      </c>
    </row>
    <row r="392" spans="1:14" x14ac:dyDescent="0.25">
      <c r="A392" t="s">
        <v>655</v>
      </c>
      <c r="B392" t="s">
        <v>656</v>
      </c>
      <c r="C392" t="s">
        <v>2</v>
      </c>
      <c r="D392">
        <v>37</v>
      </c>
      <c r="E392" t="s">
        <v>3</v>
      </c>
      <c r="F392">
        <v>2</v>
      </c>
      <c r="G392">
        <v>600.16</v>
      </c>
      <c r="H392" t="s">
        <v>4</v>
      </c>
      <c r="I392" s="2">
        <v>44831</v>
      </c>
      <c r="J392" t="s">
        <v>74</v>
      </c>
      <c r="K392" s="4">
        <f>Table1[[#This Row],[Quantity]]*Table1[[#This Row],[Price]]</f>
        <v>1200.32</v>
      </c>
      <c r="L392" t="str">
        <f>IF(Table1[[#This Row],[Age]]&lt;25,"18-24",IF(Table1[[#This Row],[Age]]&lt;35,"25-34",IF(Table1[[#This Row],[Age]]&lt;45,"35-44",IF(Table1[[#This Row],[Age]]&lt;55,"45-54","55+"))))</f>
        <v>35-44</v>
      </c>
      <c r="M392" t="str">
        <f>TEXT(Table1[[#This Row],[Invoice_date]],"mmm")</f>
        <v>Sep</v>
      </c>
      <c r="N392">
        <f>YEAR(Table1[[#This Row],[Invoice_date]])</f>
        <v>2022</v>
      </c>
    </row>
    <row r="393" spans="1:14" x14ac:dyDescent="0.25">
      <c r="A393" t="s">
        <v>665</v>
      </c>
      <c r="B393" t="s">
        <v>666</v>
      </c>
      <c r="C393" t="s">
        <v>12</v>
      </c>
      <c r="D393">
        <v>40</v>
      </c>
      <c r="E393" t="s">
        <v>38</v>
      </c>
      <c r="F393">
        <v>5</v>
      </c>
      <c r="G393">
        <v>3000.85</v>
      </c>
      <c r="H393" t="s">
        <v>4</v>
      </c>
      <c r="I393" s="2">
        <v>44766</v>
      </c>
      <c r="J393" t="s">
        <v>14</v>
      </c>
      <c r="K393" s="4">
        <f>Table1[[#This Row],[Quantity]]*Table1[[#This Row],[Price]]</f>
        <v>15004.25</v>
      </c>
      <c r="L393" t="str">
        <f>IF(Table1[[#This Row],[Age]]&lt;25,"18-24",IF(Table1[[#This Row],[Age]]&lt;35,"25-34",IF(Table1[[#This Row],[Age]]&lt;45,"35-44",IF(Table1[[#This Row],[Age]]&lt;55,"45-54","55+"))))</f>
        <v>35-44</v>
      </c>
      <c r="M393" t="str">
        <f>TEXT(Table1[[#This Row],[Invoice_date]],"mmm")</f>
        <v>Jul</v>
      </c>
      <c r="N393">
        <f>YEAR(Table1[[#This Row],[Invoice_date]])</f>
        <v>2022</v>
      </c>
    </row>
    <row r="394" spans="1:14" x14ac:dyDescent="0.25">
      <c r="A394" t="s">
        <v>677</v>
      </c>
      <c r="B394" t="s">
        <v>678</v>
      </c>
      <c r="C394" t="s">
        <v>12</v>
      </c>
      <c r="D394">
        <v>42</v>
      </c>
      <c r="E394" t="s">
        <v>21</v>
      </c>
      <c r="F394">
        <v>2</v>
      </c>
      <c r="G394">
        <v>2100</v>
      </c>
      <c r="H394" t="s">
        <v>13</v>
      </c>
      <c r="I394" s="2">
        <v>44379</v>
      </c>
      <c r="J394" t="s">
        <v>63</v>
      </c>
      <c r="K394" s="4">
        <f>Table1[[#This Row],[Quantity]]*Table1[[#This Row],[Price]]</f>
        <v>4200</v>
      </c>
      <c r="L394" t="str">
        <f>IF(Table1[[#This Row],[Age]]&lt;25,"18-24",IF(Table1[[#This Row],[Age]]&lt;35,"25-34",IF(Table1[[#This Row],[Age]]&lt;45,"35-44",IF(Table1[[#This Row],[Age]]&lt;55,"45-54","55+"))))</f>
        <v>35-44</v>
      </c>
      <c r="M394" t="str">
        <f>TEXT(Table1[[#This Row],[Invoice_date]],"mmm")</f>
        <v>Jul</v>
      </c>
      <c r="N394">
        <f>YEAR(Table1[[#This Row],[Invoice_date]])</f>
        <v>2021</v>
      </c>
    </row>
    <row r="395" spans="1:14" x14ac:dyDescent="0.25">
      <c r="A395" t="s">
        <v>687</v>
      </c>
      <c r="B395" t="s">
        <v>688</v>
      </c>
      <c r="C395" t="s">
        <v>12</v>
      </c>
      <c r="D395">
        <v>44</v>
      </c>
      <c r="E395" t="s">
        <v>3</v>
      </c>
      <c r="F395">
        <v>5</v>
      </c>
      <c r="G395">
        <v>1500.4</v>
      </c>
      <c r="H395" t="s">
        <v>4</v>
      </c>
      <c r="I395" s="2">
        <v>44433</v>
      </c>
      <c r="J395" t="s">
        <v>14</v>
      </c>
      <c r="K395" s="4">
        <f>Table1[[#This Row],[Quantity]]*Table1[[#This Row],[Price]]</f>
        <v>7502</v>
      </c>
      <c r="L395" t="str">
        <f>IF(Table1[[#This Row],[Age]]&lt;25,"18-24",IF(Table1[[#This Row],[Age]]&lt;35,"25-34",IF(Table1[[#This Row],[Age]]&lt;45,"35-44",IF(Table1[[#This Row],[Age]]&lt;55,"45-54","55+"))))</f>
        <v>35-44</v>
      </c>
      <c r="M395" t="str">
        <f>TEXT(Table1[[#This Row],[Invoice_date]],"mmm")</f>
        <v>Aug</v>
      </c>
      <c r="N395">
        <f>YEAR(Table1[[#This Row],[Invoice_date]])</f>
        <v>2021</v>
      </c>
    </row>
    <row r="396" spans="1:14" x14ac:dyDescent="0.25">
      <c r="A396" t="s">
        <v>701</v>
      </c>
      <c r="B396" t="s">
        <v>702</v>
      </c>
      <c r="C396" t="s">
        <v>2</v>
      </c>
      <c r="D396">
        <v>39</v>
      </c>
      <c r="E396" t="s">
        <v>3</v>
      </c>
      <c r="F396">
        <v>5</v>
      </c>
      <c r="G396">
        <v>1500.4</v>
      </c>
      <c r="H396" t="s">
        <v>18</v>
      </c>
      <c r="I396" s="2">
        <v>44322</v>
      </c>
      <c r="J396" t="s">
        <v>14</v>
      </c>
      <c r="K396" s="4">
        <f>Table1[[#This Row],[Quantity]]*Table1[[#This Row],[Price]]</f>
        <v>7502</v>
      </c>
      <c r="L396" t="str">
        <f>IF(Table1[[#This Row],[Age]]&lt;25,"18-24",IF(Table1[[#This Row],[Age]]&lt;35,"25-34",IF(Table1[[#This Row],[Age]]&lt;45,"35-44",IF(Table1[[#This Row],[Age]]&lt;55,"45-54","55+"))))</f>
        <v>35-44</v>
      </c>
      <c r="M396" t="str">
        <f>TEXT(Table1[[#This Row],[Invoice_date]],"mmm")</f>
        <v>May</v>
      </c>
      <c r="N396">
        <f>YEAR(Table1[[#This Row],[Invoice_date]])</f>
        <v>2021</v>
      </c>
    </row>
    <row r="397" spans="1:14" x14ac:dyDescent="0.25">
      <c r="A397" t="s">
        <v>703</v>
      </c>
      <c r="B397" t="s">
        <v>704</v>
      </c>
      <c r="C397" t="s">
        <v>12</v>
      </c>
      <c r="D397">
        <v>43</v>
      </c>
      <c r="E397" t="s">
        <v>3</v>
      </c>
      <c r="F397">
        <v>4</v>
      </c>
      <c r="G397">
        <v>1200.32</v>
      </c>
      <c r="H397" t="s">
        <v>4</v>
      </c>
      <c r="I397" s="2">
        <v>44382</v>
      </c>
      <c r="J397" t="s">
        <v>14</v>
      </c>
      <c r="K397" s="4">
        <f>Table1[[#This Row],[Quantity]]*Table1[[#This Row],[Price]]</f>
        <v>4801.28</v>
      </c>
      <c r="L397" t="str">
        <f>IF(Table1[[#This Row],[Age]]&lt;25,"18-24",IF(Table1[[#This Row],[Age]]&lt;35,"25-34",IF(Table1[[#This Row],[Age]]&lt;45,"35-44",IF(Table1[[#This Row],[Age]]&lt;55,"45-54","55+"))))</f>
        <v>35-44</v>
      </c>
      <c r="M397" t="str">
        <f>TEXT(Table1[[#This Row],[Invoice_date]],"mmm")</f>
        <v>Jul</v>
      </c>
      <c r="N397">
        <f>YEAR(Table1[[#This Row],[Invoice_date]])</f>
        <v>2021</v>
      </c>
    </row>
    <row r="398" spans="1:14" x14ac:dyDescent="0.25">
      <c r="A398" t="s">
        <v>737</v>
      </c>
      <c r="B398" t="s">
        <v>738</v>
      </c>
      <c r="C398" t="s">
        <v>12</v>
      </c>
      <c r="D398">
        <v>39</v>
      </c>
      <c r="E398" t="s">
        <v>27</v>
      </c>
      <c r="F398">
        <v>5</v>
      </c>
      <c r="G398">
        <v>26.15</v>
      </c>
      <c r="H398" t="s">
        <v>18</v>
      </c>
      <c r="I398" s="2">
        <v>44592</v>
      </c>
      <c r="J398" t="s">
        <v>74</v>
      </c>
      <c r="K398" s="4">
        <f>Table1[[#This Row],[Quantity]]*Table1[[#This Row],[Price]]</f>
        <v>130.75</v>
      </c>
      <c r="L398" t="str">
        <f>IF(Table1[[#This Row],[Age]]&lt;25,"18-24",IF(Table1[[#This Row],[Age]]&lt;35,"25-34",IF(Table1[[#This Row],[Age]]&lt;45,"35-44",IF(Table1[[#This Row],[Age]]&lt;55,"45-54","55+"))))</f>
        <v>35-44</v>
      </c>
      <c r="M398" t="str">
        <f>TEXT(Table1[[#This Row],[Invoice_date]],"mmm")</f>
        <v>Jan</v>
      </c>
      <c r="N398">
        <f>YEAR(Table1[[#This Row],[Invoice_date]])</f>
        <v>2022</v>
      </c>
    </row>
    <row r="399" spans="1:14" x14ac:dyDescent="0.25">
      <c r="A399" t="s">
        <v>745</v>
      </c>
      <c r="B399" t="s">
        <v>746</v>
      </c>
      <c r="C399" t="s">
        <v>12</v>
      </c>
      <c r="D399">
        <v>41</v>
      </c>
      <c r="E399" t="s">
        <v>8</v>
      </c>
      <c r="F399">
        <v>1</v>
      </c>
      <c r="G399">
        <v>40.659999999999997</v>
      </c>
      <c r="H399" t="s">
        <v>13</v>
      </c>
      <c r="I399" s="2">
        <v>44630</v>
      </c>
      <c r="J399" t="s">
        <v>50</v>
      </c>
      <c r="K399" s="4">
        <f>Table1[[#This Row],[Quantity]]*Table1[[#This Row],[Price]]</f>
        <v>40.659999999999997</v>
      </c>
      <c r="L399" t="str">
        <f>IF(Table1[[#This Row],[Age]]&lt;25,"18-24",IF(Table1[[#This Row],[Age]]&lt;35,"25-34",IF(Table1[[#This Row],[Age]]&lt;45,"35-44",IF(Table1[[#This Row],[Age]]&lt;55,"45-54","55+"))))</f>
        <v>35-44</v>
      </c>
      <c r="M399" t="str">
        <f>TEXT(Table1[[#This Row],[Invoice_date]],"mmm")</f>
        <v>Mar</v>
      </c>
      <c r="N399">
        <f>YEAR(Table1[[#This Row],[Invoice_date]])</f>
        <v>2022</v>
      </c>
    </row>
    <row r="400" spans="1:14" x14ac:dyDescent="0.25">
      <c r="A400" t="s">
        <v>759</v>
      </c>
      <c r="B400" t="s">
        <v>760</v>
      </c>
      <c r="C400" t="s">
        <v>12</v>
      </c>
      <c r="D400">
        <v>42</v>
      </c>
      <c r="E400" t="s">
        <v>17</v>
      </c>
      <c r="F400">
        <v>4</v>
      </c>
      <c r="G400">
        <v>60.6</v>
      </c>
      <c r="H400" t="s">
        <v>4</v>
      </c>
      <c r="I400" s="2">
        <v>44779</v>
      </c>
      <c r="J400" t="s">
        <v>14</v>
      </c>
      <c r="K400" s="4">
        <f>Table1[[#This Row],[Quantity]]*Table1[[#This Row],[Price]]</f>
        <v>242.4</v>
      </c>
      <c r="L400" t="str">
        <f>IF(Table1[[#This Row],[Age]]&lt;25,"18-24",IF(Table1[[#This Row],[Age]]&lt;35,"25-34",IF(Table1[[#This Row],[Age]]&lt;45,"35-44",IF(Table1[[#This Row],[Age]]&lt;55,"45-54","55+"))))</f>
        <v>35-44</v>
      </c>
      <c r="M400" t="str">
        <f>TEXT(Table1[[#This Row],[Invoice_date]],"mmm")</f>
        <v>Aug</v>
      </c>
      <c r="N400">
        <f>YEAR(Table1[[#This Row],[Invoice_date]])</f>
        <v>2022</v>
      </c>
    </row>
    <row r="401" spans="1:14" x14ac:dyDescent="0.25">
      <c r="A401" t="s">
        <v>763</v>
      </c>
      <c r="B401" t="s">
        <v>764</v>
      </c>
      <c r="C401" t="s">
        <v>12</v>
      </c>
      <c r="D401">
        <v>40</v>
      </c>
      <c r="E401" t="s">
        <v>3</v>
      </c>
      <c r="F401">
        <v>2</v>
      </c>
      <c r="G401">
        <v>600.16</v>
      </c>
      <c r="H401" t="s">
        <v>18</v>
      </c>
      <c r="I401" s="2">
        <v>44266</v>
      </c>
      <c r="J401" t="s">
        <v>9</v>
      </c>
      <c r="K401" s="4">
        <f>Table1[[#This Row],[Quantity]]*Table1[[#This Row],[Price]]</f>
        <v>1200.32</v>
      </c>
      <c r="L401" t="str">
        <f>IF(Table1[[#This Row],[Age]]&lt;25,"18-24",IF(Table1[[#This Row],[Age]]&lt;35,"25-34",IF(Table1[[#This Row],[Age]]&lt;45,"35-44",IF(Table1[[#This Row],[Age]]&lt;55,"45-54","55+"))))</f>
        <v>35-44</v>
      </c>
      <c r="M401" t="str">
        <f>TEXT(Table1[[#This Row],[Invoice_date]],"mmm")</f>
        <v>Mar</v>
      </c>
      <c r="N401">
        <f>YEAR(Table1[[#This Row],[Invoice_date]])</f>
        <v>2021</v>
      </c>
    </row>
    <row r="402" spans="1:14" x14ac:dyDescent="0.25">
      <c r="A402" t="s">
        <v>775</v>
      </c>
      <c r="B402" t="s">
        <v>776</v>
      </c>
      <c r="C402" t="s">
        <v>2</v>
      </c>
      <c r="D402">
        <v>35</v>
      </c>
      <c r="E402" t="s">
        <v>3</v>
      </c>
      <c r="F402">
        <v>3</v>
      </c>
      <c r="G402">
        <v>900.24</v>
      </c>
      <c r="H402" t="s">
        <v>18</v>
      </c>
      <c r="I402" s="2">
        <v>44252</v>
      </c>
      <c r="J402" t="s">
        <v>14</v>
      </c>
      <c r="K402" s="4">
        <f>Table1[[#This Row],[Quantity]]*Table1[[#This Row],[Price]]</f>
        <v>2700.7200000000003</v>
      </c>
      <c r="L402" t="str">
        <f>IF(Table1[[#This Row],[Age]]&lt;25,"18-24",IF(Table1[[#This Row],[Age]]&lt;35,"25-34",IF(Table1[[#This Row],[Age]]&lt;45,"35-44",IF(Table1[[#This Row],[Age]]&lt;55,"45-54","55+"))))</f>
        <v>35-44</v>
      </c>
      <c r="M402" t="str">
        <f>TEXT(Table1[[#This Row],[Invoice_date]],"mmm")</f>
        <v>Feb</v>
      </c>
      <c r="N402">
        <f>YEAR(Table1[[#This Row],[Invoice_date]])</f>
        <v>2021</v>
      </c>
    </row>
    <row r="403" spans="1:14" x14ac:dyDescent="0.25">
      <c r="A403" t="s">
        <v>787</v>
      </c>
      <c r="B403" t="s">
        <v>788</v>
      </c>
      <c r="C403" t="s">
        <v>12</v>
      </c>
      <c r="D403">
        <v>39</v>
      </c>
      <c r="E403" t="s">
        <v>3</v>
      </c>
      <c r="F403">
        <v>2</v>
      </c>
      <c r="G403">
        <v>600.16</v>
      </c>
      <c r="H403" t="s">
        <v>18</v>
      </c>
      <c r="I403" s="2">
        <v>44646</v>
      </c>
      <c r="J403" t="s">
        <v>14</v>
      </c>
      <c r="K403" s="4">
        <f>Table1[[#This Row],[Quantity]]*Table1[[#This Row],[Price]]</f>
        <v>1200.32</v>
      </c>
      <c r="L403" t="str">
        <f>IF(Table1[[#This Row],[Age]]&lt;25,"18-24",IF(Table1[[#This Row],[Age]]&lt;35,"25-34",IF(Table1[[#This Row],[Age]]&lt;45,"35-44",IF(Table1[[#This Row],[Age]]&lt;55,"45-54","55+"))))</f>
        <v>35-44</v>
      </c>
      <c r="M403" t="str">
        <f>TEXT(Table1[[#This Row],[Invoice_date]],"mmm")</f>
        <v>Mar</v>
      </c>
      <c r="N403">
        <f>YEAR(Table1[[#This Row],[Invoice_date]])</f>
        <v>2022</v>
      </c>
    </row>
    <row r="404" spans="1:14" x14ac:dyDescent="0.25">
      <c r="A404" t="s">
        <v>795</v>
      </c>
      <c r="B404" t="s">
        <v>796</v>
      </c>
      <c r="C404" t="s">
        <v>2</v>
      </c>
      <c r="D404">
        <v>36</v>
      </c>
      <c r="E404" t="s">
        <v>27</v>
      </c>
      <c r="F404">
        <v>1</v>
      </c>
      <c r="G404">
        <v>5.23</v>
      </c>
      <c r="H404" t="s">
        <v>4</v>
      </c>
      <c r="I404" s="2">
        <v>44766</v>
      </c>
      <c r="J404" t="s">
        <v>33</v>
      </c>
      <c r="K404" s="4">
        <f>Table1[[#This Row],[Quantity]]*Table1[[#This Row],[Price]]</f>
        <v>5.23</v>
      </c>
      <c r="L404" t="str">
        <f>IF(Table1[[#This Row],[Age]]&lt;25,"18-24",IF(Table1[[#This Row],[Age]]&lt;35,"25-34",IF(Table1[[#This Row],[Age]]&lt;45,"35-44",IF(Table1[[#This Row],[Age]]&lt;55,"45-54","55+"))))</f>
        <v>35-44</v>
      </c>
      <c r="M404" t="str">
        <f>TEXT(Table1[[#This Row],[Invoice_date]],"mmm")</f>
        <v>Jul</v>
      </c>
      <c r="N404">
        <f>YEAR(Table1[[#This Row],[Invoice_date]])</f>
        <v>2022</v>
      </c>
    </row>
    <row r="405" spans="1:14" x14ac:dyDescent="0.25">
      <c r="A405" t="s">
        <v>799</v>
      </c>
      <c r="B405" t="s">
        <v>800</v>
      </c>
      <c r="C405" t="s">
        <v>12</v>
      </c>
      <c r="D405">
        <v>41</v>
      </c>
      <c r="E405" t="s">
        <v>8</v>
      </c>
      <c r="F405">
        <v>2</v>
      </c>
      <c r="G405">
        <v>81.319999999999993</v>
      </c>
      <c r="H405" t="s">
        <v>13</v>
      </c>
      <c r="I405" s="2">
        <v>44940</v>
      </c>
      <c r="J405" t="s">
        <v>74</v>
      </c>
      <c r="K405" s="4">
        <f>Table1[[#This Row],[Quantity]]*Table1[[#This Row],[Price]]</f>
        <v>162.63999999999999</v>
      </c>
      <c r="L405" t="str">
        <f>IF(Table1[[#This Row],[Age]]&lt;25,"18-24",IF(Table1[[#This Row],[Age]]&lt;35,"25-34",IF(Table1[[#This Row],[Age]]&lt;45,"35-44",IF(Table1[[#This Row],[Age]]&lt;55,"45-54","55+"))))</f>
        <v>35-44</v>
      </c>
      <c r="M405" t="str">
        <f>TEXT(Table1[[#This Row],[Invoice_date]],"mmm")</f>
        <v>Jan</v>
      </c>
      <c r="N405">
        <f>YEAR(Table1[[#This Row],[Invoice_date]])</f>
        <v>2023</v>
      </c>
    </row>
    <row r="406" spans="1:14" x14ac:dyDescent="0.25">
      <c r="A406" t="s">
        <v>801</v>
      </c>
      <c r="B406" t="s">
        <v>802</v>
      </c>
      <c r="C406" t="s">
        <v>2</v>
      </c>
      <c r="D406">
        <v>39</v>
      </c>
      <c r="E406" t="s">
        <v>27</v>
      </c>
      <c r="F406">
        <v>5</v>
      </c>
      <c r="G406">
        <v>26.15</v>
      </c>
      <c r="H406" t="s">
        <v>18</v>
      </c>
      <c r="I406" s="2">
        <v>44907</v>
      </c>
      <c r="J406" t="s">
        <v>33</v>
      </c>
      <c r="K406" s="4">
        <f>Table1[[#This Row],[Quantity]]*Table1[[#This Row],[Price]]</f>
        <v>130.75</v>
      </c>
      <c r="L406" t="str">
        <f>IF(Table1[[#This Row],[Age]]&lt;25,"18-24",IF(Table1[[#This Row],[Age]]&lt;35,"25-34",IF(Table1[[#This Row],[Age]]&lt;45,"35-44",IF(Table1[[#This Row],[Age]]&lt;55,"45-54","55+"))))</f>
        <v>35-44</v>
      </c>
      <c r="M406" t="str">
        <f>TEXT(Table1[[#This Row],[Invoice_date]],"mmm")</f>
        <v>Dec</v>
      </c>
      <c r="N406">
        <f>YEAR(Table1[[#This Row],[Invoice_date]])</f>
        <v>2022</v>
      </c>
    </row>
    <row r="407" spans="1:14" x14ac:dyDescent="0.25">
      <c r="A407" t="s">
        <v>805</v>
      </c>
      <c r="B407" t="s">
        <v>806</v>
      </c>
      <c r="C407" t="s">
        <v>12</v>
      </c>
      <c r="D407">
        <v>42</v>
      </c>
      <c r="E407" t="s">
        <v>3</v>
      </c>
      <c r="F407">
        <v>3</v>
      </c>
      <c r="G407">
        <v>900.24</v>
      </c>
      <c r="H407" t="s">
        <v>13</v>
      </c>
      <c r="I407" s="2">
        <v>44702</v>
      </c>
      <c r="J407" t="s">
        <v>33</v>
      </c>
      <c r="K407" s="4">
        <f>Table1[[#This Row],[Quantity]]*Table1[[#This Row],[Price]]</f>
        <v>2700.7200000000003</v>
      </c>
      <c r="L407" t="str">
        <f>IF(Table1[[#This Row],[Age]]&lt;25,"18-24",IF(Table1[[#This Row],[Age]]&lt;35,"25-34",IF(Table1[[#This Row],[Age]]&lt;45,"35-44",IF(Table1[[#This Row],[Age]]&lt;55,"45-54","55+"))))</f>
        <v>35-44</v>
      </c>
      <c r="M407" t="str">
        <f>TEXT(Table1[[#This Row],[Invoice_date]],"mmm")</f>
        <v>May</v>
      </c>
      <c r="N407">
        <f>YEAR(Table1[[#This Row],[Invoice_date]])</f>
        <v>2022</v>
      </c>
    </row>
    <row r="408" spans="1:14" x14ac:dyDescent="0.25">
      <c r="A408" t="s">
        <v>815</v>
      </c>
      <c r="B408" t="s">
        <v>816</v>
      </c>
      <c r="C408" t="s">
        <v>12</v>
      </c>
      <c r="D408">
        <v>40</v>
      </c>
      <c r="E408" t="s">
        <v>8</v>
      </c>
      <c r="F408">
        <v>3</v>
      </c>
      <c r="G408">
        <v>121.98</v>
      </c>
      <c r="H408" t="s">
        <v>13</v>
      </c>
      <c r="I408" s="2">
        <v>44736</v>
      </c>
      <c r="J408" t="s">
        <v>24</v>
      </c>
      <c r="K408" s="4">
        <f>Table1[[#This Row],[Quantity]]*Table1[[#This Row],[Price]]</f>
        <v>365.94</v>
      </c>
      <c r="L408" t="str">
        <f>IF(Table1[[#This Row],[Age]]&lt;25,"18-24",IF(Table1[[#This Row],[Age]]&lt;35,"25-34",IF(Table1[[#This Row],[Age]]&lt;45,"35-44",IF(Table1[[#This Row],[Age]]&lt;55,"45-54","55+"))))</f>
        <v>35-44</v>
      </c>
      <c r="M408" t="str">
        <f>TEXT(Table1[[#This Row],[Invoice_date]],"mmm")</f>
        <v>Jun</v>
      </c>
      <c r="N408">
        <f>YEAR(Table1[[#This Row],[Invoice_date]])</f>
        <v>2022</v>
      </c>
    </row>
    <row r="409" spans="1:14" x14ac:dyDescent="0.25">
      <c r="A409" t="s">
        <v>843</v>
      </c>
      <c r="B409" t="s">
        <v>844</v>
      </c>
      <c r="C409" t="s">
        <v>2</v>
      </c>
      <c r="D409">
        <v>38</v>
      </c>
      <c r="E409" t="s">
        <v>8</v>
      </c>
      <c r="F409">
        <v>1</v>
      </c>
      <c r="G409">
        <v>40.659999999999997</v>
      </c>
      <c r="H409" t="s">
        <v>4</v>
      </c>
      <c r="I409" s="2">
        <v>44643</v>
      </c>
      <c r="J409" t="s">
        <v>24</v>
      </c>
      <c r="K409" s="4">
        <f>Table1[[#This Row],[Quantity]]*Table1[[#This Row],[Price]]</f>
        <v>40.659999999999997</v>
      </c>
      <c r="L409" t="str">
        <f>IF(Table1[[#This Row],[Age]]&lt;25,"18-24",IF(Table1[[#This Row],[Age]]&lt;35,"25-34",IF(Table1[[#This Row],[Age]]&lt;45,"35-44",IF(Table1[[#This Row],[Age]]&lt;55,"45-54","55+"))))</f>
        <v>35-44</v>
      </c>
      <c r="M409" t="str">
        <f>TEXT(Table1[[#This Row],[Invoice_date]],"mmm")</f>
        <v>Mar</v>
      </c>
      <c r="N409">
        <f>YEAR(Table1[[#This Row],[Invoice_date]])</f>
        <v>2022</v>
      </c>
    </row>
    <row r="410" spans="1:14" x14ac:dyDescent="0.25">
      <c r="A410" t="s">
        <v>845</v>
      </c>
      <c r="B410" t="s">
        <v>846</v>
      </c>
      <c r="C410" t="s">
        <v>2</v>
      </c>
      <c r="D410">
        <v>42</v>
      </c>
      <c r="E410" t="s">
        <v>38</v>
      </c>
      <c r="F410">
        <v>3</v>
      </c>
      <c r="G410">
        <v>1800.51</v>
      </c>
      <c r="H410" t="s">
        <v>4</v>
      </c>
      <c r="I410" s="2">
        <v>44538</v>
      </c>
      <c r="J410" t="s">
        <v>50</v>
      </c>
      <c r="K410" s="4">
        <f>Table1[[#This Row],[Quantity]]*Table1[[#This Row],[Price]]</f>
        <v>5401.53</v>
      </c>
      <c r="L410" t="str">
        <f>IF(Table1[[#This Row],[Age]]&lt;25,"18-24",IF(Table1[[#This Row],[Age]]&lt;35,"25-34",IF(Table1[[#This Row],[Age]]&lt;45,"35-44",IF(Table1[[#This Row],[Age]]&lt;55,"45-54","55+"))))</f>
        <v>35-44</v>
      </c>
      <c r="M410" t="str">
        <f>TEXT(Table1[[#This Row],[Invoice_date]],"mmm")</f>
        <v>Dec</v>
      </c>
      <c r="N410">
        <f>YEAR(Table1[[#This Row],[Invoice_date]])</f>
        <v>2021</v>
      </c>
    </row>
    <row r="411" spans="1:14" x14ac:dyDescent="0.25">
      <c r="A411" t="s">
        <v>847</v>
      </c>
      <c r="B411" t="s">
        <v>848</v>
      </c>
      <c r="C411" t="s">
        <v>12</v>
      </c>
      <c r="D411">
        <v>39</v>
      </c>
      <c r="E411" t="s">
        <v>38</v>
      </c>
      <c r="F411">
        <v>5</v>
      </c>
      <c r="G411">
        <v>3000.85</v>
      </c>
      <c r="H411" t="s">
        <v>18</v>
      </c>
      <c r="I411" s="2">
        <v>44388</v>
      </c>
      <c r="J411" t="s">
        <v>14</v>
      </c>
      <c r="K411" s="4">
        <f>Table1[[#This Row],[Quantity]]*Table1[[#This Row],[Price]]</f>
        <v>15004.25</v>
      </c>
      <c r="L411" t="str">
        <f>IF(Table1[[#This Row],[Age]]&lt;25,"18-24",IF(Table1[[#This Row],[Age]]&lt;35,"25-34",IF(Table1[[#This Row],[Age]]&lt;45,"35-44",IF(Table1[[#This Row],[Age]]&lt;55,"45-54","55+"))))</f>
        <v>35-44</v>
      </c>
      <c r="M411" t="str">
        <f>TEXT(Table1[[#This Row],[Invoice_date]],"mmm")</f>
        <v>Jul</v>
      </c>
      <c r="N411">
        <f>YEAR(Table1[[#This Row],[Invoice_date]])</f>
        <v>2021</v>
      </c>
    </row>
    <row r="412" spans="1:14" x14ac:dyDescent="0.25">
      <c r="A412" t="s">
        <v>849</v>
      </c>
      <c r="B412" t="s">
        <v>850</v>
      </c>
      <c r="C412" t="s">
        <v>2</v>
      </c>
      <c r="D412">
        <v>39</v>
      </c>
      <c r="E412" t="s">
        <v>3</v>
      </c>
      <c r="F412">
        <v>4</v>
      </c>
      <c r="G412">
        <v>1200.32</v>
      </c>
      <c r="H412" t="s">
        <v>4</v>
      </c>
      <c r="I412" s="2">
        <v>44345</v>
      </c>
      <c r="J412" t="s">
        <v>74</v>
      </c>
      <c r="K412" s="4">
        <f>Table1[[#This Row],[Quantity]]*Table1[[#This Row],[Price]]</f>
        <v>4801.28</v>
      </c>
      <c r="L412" t="str">
        <f>IF(Table1[[#This Row],[Age]]&lt;25,"18-24",IF(Table1[[#This Row],[Age]]&lt;35,"25-34",IF(Table1[[#This Row],[Age]]&lt;45,"35-44",IF(Table1[[#This Row],[Age]]&lt;55,"45-54","55+"))))</f>
        <v>35-44</v>
      </c>
      <c r="M412" t="str">
        <f>TEXT(Table1[[#This Row],[Invoice_date]],"mmm")</f>
        <v>May</v>
      </c>
      <c r="N412">
        <f>YEAR(Table1[[#This Row],[Invoice_date]])</f>
        <v>2021</v>
      </c>
    </row>
    <row r="413" spans="1:14" x14ac:dyDescent="0.25">
      <c r="A413" t="s">
        <v>867</v>
      </c>
      <c r="B413" t="s">
        <v>868</v>
      </c>
      <c r="C413" t="s">
        <v>12</v>
      </c>
      <c r="D413">
        <v>35</v>
      </c>
      <c r="E413" t="s">
        <v>8</v>
      </c>
      <c r="F413">
        <v>3</v>
      </c>
      <c r="G413">
        <v>121.98</v>
      </c>
      <c r="H413" t="s">
        <v>4</v>
      </c>
      <c r="I413" s="2">
        <v>44447</v>
      </c>
      <c r="J413" t="s">
        <v>14</v>
      </c>
      <c r="K413" s="4">
        <f>Table1[[#This Row],[Quantity]]*Table1[[#This Row],[Price]]</f>
        <v>365.94</v>
      </c>
      <c r="L413" t="str">
        <f>IF(Table1[[#This Row],[Age]]&lt;25,"18-24",IF(Table1[[#This Row],[Age]]&lt;35,"25-34",IF(Table1[[#This Row],[Age]]&lt;45,"35-44",IF(Table1[[#This Row],[Age]]&lt;55,"45-54","55+"))))</f>
        <v>35-44</v>
      </c>
      <c r="M413" t="str">
        <f>TEXT(Table1[[#This Row],[Invoice_date]],"mmm")</f>
        <v>Sep</v>
      </c>
      <c r="N413">
        <f>YEAR(Table1[[#This Row],[Invoice_date]])</f>
        <v>2021</v>
      </c>
    </row>
    <row r="414" spans="1:14" x14ac:dyDescent="0.25">
      <c r="A414" t="s">
        <v>895</v>
      </c>
      <c r="B414" t="s">
        <v>896</v>
      </c>
      <c r="C414" t="s">
        <v>2</v>
      </c>
      <c r="D414">
        <v>40</v>
      </c>
      <c r="E414" t="s">
        <v>27</v>
      </c>
      <c r="F414">
        <v>3</v>
      </c>
      <c r="G414">
        <v>15.69</v>
      </c>
      <c r="H414" t="s">
        <v>18</v>
      </c>
      <c r="I414" s="2">
        <v>44783</v>
      </c>
      <c r="J414" t="s">
        <v>14</v>
      </c>
      <c r="K414" s="4">
        <f>Table1[[#This Row],[Quantity]]*Table1[[#This Row],[Price]]</f>
        <v>47.07</v>
      </c>
      <c r="L414" t="str">
        <f>IF(Table1[[#This Row],[Age]]&lt;25,"18-24",IF(Table1[[#This Row],[Age]]&lt;35,"25-34",IF(Table1[[#This Row],[Age]]&lt;45,"35-44",IF(Table1[[#This Row],[Age]]&lt;55,"45-54","55+"))))</f>
        <v>35-44</v>
      </c>
      <c r="M414" t="str">
        <f>TEXT(Table1[[#This Row],[Invoice_date]],"mmm")</f>
        <v>Aug</v>
      </c>
      <c r="N414">
        <f>YEAR(Table1[[#This Row],[Invoice_date]])</f>
        <v>2022</v>
      </c>
    </row>
    <row r="415" spans="1:14" x14ac:dyDescent="0.25">
      <c r="A415" t="s">
        <v>917</v>
      </c>
      <c r="B415" t="s">
        <v>918</v>
      </c>
      <c r="C415" t="s">
        <v>2</v>
      </c>
      <c r="D415">
        <v>36</v>
      </c>
      <c r="E415" t="s">
        <v>21</v>
      </c>
      <c r="F415">
        <v>4</v>
      </c>
      <c r="G415">
        <v>4200</v>
      </c>
      <c r="H415" t="s">
        <v>18</v>
      </c>
      <c r="I415" s="2">
        <v>44921</v>
      </c>
      <c r="J415" t="s">
        <v>33</v>
      </c>
      <c r="K415" s="4">
        <f>Table1[[#This Row],[Quantity]]*Table1[[#This Row],[Price]]</f>
        <v>16800</v>
      </c>
      <c r="L415" t="str">
        <f>IF(Table1[[#This Row],[Age]]&lt;25,"18-24",IF(Table1[[#This Row],[Age]]&lt;35,"25-34",IF(Table1[[#This Row],[Age]]&lt;45,"35-44",IF(Table1[[#This Row],[Age]]&lt;55,"45-54","55+"))))</f>
        <v>35-44</v>
      </c>
      <c r="M415" t="str">
        <f>TEXT(Table1[[#This Row],[Invoice_date]],"mmm")</f>
        <v>Dec</v>
      </c>
      <c r="N415">
        <f>YEAR(Table1[[#This Row],[Invoice_date]])</f>
        <v>2022</v>
      </c>
    </row>
    <row r="416" spans="1:14" x14ac:dyDescent="0.25">
      <c r="A416" t="s">
        <v>919</v>
      </c>
      <c r="B416" t="s">
        <v>920</v>
      </c>
      <c r="C416" t="s">
        <v>12</v>
      </c>
      <c r="D416">
        <v>35</v>
      </c>
      <c r="E416" t="s">
        <v>3</v>
      </c>
      <c r="F416">
        <v>1</v>
      </c>
      <c r="G416">
        <v>300.08</v>
      </c>
      <c r="H416" t="s">
        <v>4</v>
      </c>
      <c r="I416" s="2">
        <v>44763</v>
      </c>
      <c r="J416" t="s">
        <v>24</v>
      </c>
      <c r="K416" s="4">
        <f>Table1[[#This Row],[Quantity]]*Table1[[#This Row],[Price]]</f>
        <v>300.08</v>
      </c>
      <c r="L416" t="str">
        <f>IF(Table1[[#This Row],[Age]]&lt;25,"18-24",IF(Table1[[#This Row],[Age]]&lt;35,"25-34",IF(Table1[[#This Row],[Age]]&lt;45,"35-44",IF(Table1[[#This Row],[Age]]&lt;55,"45-54","55+"))))</f>
        <v>35-44</v>
      </c>
      <c r="M416" t="str">
        <f>TEXT(Table1[[#This Row],[Invoice_date]],"mmm")</f>
        <v>Jul</v>
      </c>
      <c r="N416">
        <f>YEAR(Table1[[#This Row],[Invoice_date]])</f>
        <v>2022</v>
      </c>
    </row>
    <row r="417" spans="1:14" x14ac:dyDescent="0.25">
      <c r="A417" t="s">
        <v>925</v>
      </c>
      <c r="B417" t="s">
        <v>926</v>
      </c>
      <c r="C417" t="s">
        <v>12</v>
      </c>
      <c r="D417">
        <v>36</v>
      </c>
      <c r="E417" t="s">
        <v>3</v>
      </c>
      <c r="F417">
        <v>2</v>
      </c>
      <c r="G417">
        <v>600.16</v>
      </c>
      <c r="H417" t="s">
        <v>4</v>
      </c>
      <c r="I417" s="2">
        <v>44833</v>
      </c>
      <c r="J417" t="s">
        <v>5</v>
      </c>
      <c r="K417" s="4">
        <f>Table1[[#This Row],[Quantity]]*Table1[[#This Row],[Price]]</f>
        <v>1200.32</v>
      </c>
      <c r="L417" t="str">
        <f>IF(Table1[[#This Row],[Age]]&lt;25,"18-24",IF(Table1[[#This Row],[Age]]&lt;35,"25-34",IF(Table1[[#This Row],[Age]]&lt;45,"35-44",IF(Table1[[#This Row],[Age]]&lt;55,"45-54","55+"))))</f>
        <v>35-44</v>
      </c>
      <c r="M417" t="str">
        <f>TEXT(Table1[[#This Row],[Invoice_date]],"mmm")</f>
        <v>Sep</v>
      </c>
      <c r="N417">
        <f>YEAR(Table1[[#This Row],[Invoice_date]])</f>
        <v>2022</v>
      </c>
    </row>
    <row r="418" spans="1:14" x14ac:dyDescent="0.25">
      <c r="A418" t="s">
        <v>949</v>
      </c>
      <c r="B418" t="s">
        <v>950</v>
      </c>
      <c r="C418" t="s">
        <v>12</v>
      </c>
      <c r="D418">
        <v>43</v>
      </c>
      <c r="E418" t="s">
        <v>3</v>
      </c>
      <c r="F418">
        <v>4</v>
      </c>
      <c r="G418">
        <v>1200.32</v>
      </c>
      <c r="H418" t="s">
        <v>4</v>
      </c>
      <c r="I418" s="2">
        <v>44407</v>
      </c>
      <c r="J418" t="s">
        <v>33</v>
      </c>
      <c r="K418" s="4">
        <f>Table1[[#This Row],[Quantity]]*Table1[[#This Row],[Price]]</f>
        <v>4801.28</v>
      </c>
      <c r="L418" t="str">
        <f>IF(Table1[[#This Row],[Age]]&lt;25,"18-24",IF(Table1[[#This Row],[Age]]&lt;35,"25-34",IF(Table1[[#This Row],[Age]]&lt;45,"35-44",IF(Table1[[#This Row],[Age]]&lt;55,"45-54","55+"))))</f>
        <v>35-44</v>
      </c>
      <c r="M418" t="str">
        <f>TEXT(Table1[[#This Row],[Invoice_date]],"mmm")</f>
        <v>Jul</v>
      </c>
      <c r="N418">
        <f>YEAR(Table1[[#This Row],[Invoice_date]])</f>
        <v>2021</v>
      </c>
    </row>
    <row r="419" spans="1:14" x14ac:dyDescent="0.25">
      <c r="A419" t="s">
        <v>951</v>
      </c>
      <c r="B419" t="s">
        <v>952</v>
      </c>
      <c r="C419" t="s">
        <v>12</v>
      </c>
      <c r="D419">
        <v>37</v>
      </c>
      <c r="E419" t="s">
        <v>49</v>
      </c>
      <c r="F419">
        <v>4</v>
      </c>
      <c r="G419">
        <v>143.36000000000001</v>
      </c>
      <c r="H419" t="s">
        <v>4</v>
      </c>
      <c r="I419" s="2">
        <v>44660</v>
      </c>
      <c r="J419" t="s">
        <v>14</v>
      </c>
      <c r="K419" s="4">
        <f>Table1[[#This Row],[Quantity]]*Table1[[#This Row],[Price]]</f>
        <v>573.44000000000005</v>
      </c>
      <c r="L419" t="str">
        <f>IF(Table1[[#This Row],[Age]]&lt;25,"18-24",IF(Table1[[#This Row],[Age]]&lt;35,"25-34",IF(Table1[[#This Row],[Age]]&lt;45,"35-44",IF(Table1[[#This Row],[Age]]&lt;55,"45-54","55+"))))</f>
        <v>35-44</v>
      </c>
      <c r="M419" t="str">
        <f>TEXT(Table1[[#This Row],[Invoice_date]],"mmm")</f>
        <v>Apr</v>
      </c>
      <c r="N419">
        <f>YEAR(Table1[[#This Row],[Invoice_date]])</f>
        <v>2022</v>
      </c>
    </row>
    <row r="420" spans="1:14" x14ac:dyDescent="0.25">
      <c r="A420" t="s">
        <v>967</v>
      </c>
      <c r="B420" t="s">
        <v>968</v>
      </c>
      <c r="C420" t="s">
        <v>12</v>
      </c>
      <c r="D420">
        <v>39</v>
      </c>
      <c r="E420" t="s">
        <v>8</v>
      </c>
      <c r="F420">
        <v>4</v>
      </c>
      <c r="G420">
        <v>162.63999999999999</v>
      </c>
      <c r="H420" t="s">
        <v>18</v>
      </c>
      <c r="I420" s="2">
        <v>44986</v>
      </c>
      <c r="J420" t="s">
        <v>74</v>
      </c>
      <c r="K420" s="4">
        <f>Table1[[#This Row],[Quantity]]*Table1[[#This Row],[Price]]</f>
        <v>650.55999999999995</v>
      </c>
      <c r="L420" t="str">
        <f>IF(Table1[[#This Row],[Age]]&lt;25,"18-24",IF(Table1[[#This Row],[Age]]&lt;35,"25-34",IF(Table1[[#This Row],[Age]]&lt;45,"35-44",IF(Table1[[#This Row],[Age]]&lt;55,"45-54","55+"))))</f>
        <v>35-44</v>
      </c>
      <c r="M420" t="str">
        <f>TEXT(Table1[[#This Row],[Invoice_date]],"mmm")</f>
        <v>Mar</v>
      </c>
      <c r="N420">
        <f>YEAR(Table1[[#This Row],[Invoice_date]])</f>
        <v>2023</v>
      </c>
    </row>
    <row r="421" spans="1:14" x14ac:dyDescent="0.25">
      <c r="A421" t="s">
        <v>983</v>
      </c>
      <c r="B421" t="s">
        <v>984</v>
      </c>
      <c r="C421" t="s">
        <v>12</v>
      </c>
      <c r="D421">
        <v>41</v>
      </c>
      <c r="E421" t="s">
        <v>3</v>
      </c>
      <c r="F421">
        <v>2</v>
      </c>
      <c r="G421">
        <v>600.16</v>
      </c>
      <c r="H421" t="s">
        <v>4</v>
      </c>
      <c r="I421" s="2">
        <v>44409</v>
      </c>
      <c r="J421" t="s">
        <v>5</v>
      </c>
      <c r="K421" s="4">
        <f>Table1[[#This Row],[Quantity]]*Table1[[#This Row],[Price]]</f>
        <v>1200.32</v>
      </c>
      <c r="L421" t="str">
        <f>IF(Table1[[#This Row],[Age]]&lt;25,"18-24",IF(Table1[[#This Row],[Age]]&lt;35,"25-34",IF(Table1[[#This Row],[Age]]&lt;45,"35-44",IF(Table1[[#This Row],[Age]]&lt;55,"45-54","55+"))))</f>
        <v>35-44</v>
      </c>
      <c r="M421" t="str">
        <f>TEXT(Table1[[#This Row],[Invoice_date]],"mmm")</f>
        <v>Aug</v>
      </c>
      <c r="N421">
        <f>YEAR(Table1[[#This Row],[Invoice_date]])</f>
        <v>2021</v>
      </c>
    </row>
    <row r="422" spans="1:14" x14ac:dyDescent="0.25">
      <c r="A422" t="s">
        <v>1011</v>
      </c>
      <c r="B422" t="s">
        <v>1012</v>
      </c>
      <c r="C422" t="s">
        <v>12</v>
      </c>
      <c r="D422">
        <v>43</v>
      </c>
      <c r="E422" t="s">
        <v>17</v>
      </c>
      <c r="F422">
        <v>5</v>
      </c>
      <c r="G422">
        <v>75.75</v>
      </c>
      <c r="H422" t="s">
        <v>4</v>
      </c>
      <c r="I422" s="2">
        <v>44438</v>
      </c>
      <c r="J422" t="s">
        <v>33</v>
      </c>
      <c r="K422" s="4">
        <f>Table1[[#This Row],[Quantity]]*Table1[[#This Row],[Price]]</f>
        <v>378.75</v>
      </c>
      <c r="L422" t="str">
        <f>IF(Table1[[#This Row],[Age]]&lt;25,"18-24",IF(Table1[[#This Row],[Age]]&lt;35,"25-34",IF(Table1[[#This Row],[Age]]&lt;45,"35-44",IF(Table1[[#This Row],[Age]]&lt;55,"45-54","55+"))))</f>
        <v>35-44</v>
      </c>
      <c r="M422" t="str">
        <f>TEXT(Table1[[#This Row],[Invoice_date]],"mmm")</f>
        <v>Aug</v>
      </c>
      <c r="N422">
        <f>YEAR(Table1[[#This Row],[Invoice_date]])</f>
        <v>2021</v>
      </c>
    </row>
    <row r="423" spans="1:14" x14ac:dyDescent="0.25">
      <c r="A423" t="s">
        <v>1021</v>
      </c>
      <c r="B423" t="s">
        <v>1022</v>
      </c>
      <c r="C423" t="s">
        <v>2</v>
      </c>
      <c r="D423">
        <v>39</v>
      </c>
      <c r="E423" t="s">
        <v>49</v>
      </c>
      <c r="F423">
        <v>3</v>
      </c>
      <c r="G423">
        <v>107.52</v>
      </c>
      <c r="H423" t="s">
        <v>18</v>
      </c>
      <c r="I423" s="2">
        <v>44923</v>
      </c>
      <c r="J423" t="s">
        <v>24</v>
      </c>
      <c r="K423" s="4">
        <f>Table1[[#This Row],[Quantity]]*Table1[[#This Row],[Price]]</f>
        <v>322.56</v>
      </c>
      <c r="L423" t="str">
        <f>IF(Table1[[#This Row],[Age]]&lt;25,"18-24",IF(Table1[[#This Row],[Age]]&lt;35,"25-34",IF(Table1[[#This Row],[Age]]&lt;45,"35-44",IF(Table1[[#This Row],[Age]]&lt;55,"45-54","55+"))))</f>
        <v>35-44</v>
      </c>
      <c r="M423" t="str">
        <f>TEXT(Table1[[#This Row],[Invoice_date]],"mmm")</f>
        <v>Dec</v>
      </c>
      <c r="N423">
        <f>YEAR(Table1[[#This Row],[Invoice_date]])</f>
        <v>2022</v>
      </c>
    </row>
    <row r="424" spans="1:14" x14ac:dyDescent="0.25">
      <c r="A424" t="s">
        <v>1033</v>
      </c>
      <c r="B424" t="s">
        <v>1034</v>
      </c>
      <c r="C424" t="s">
        <v>2</v>
      </c>
      <c r="D424">
        <v>41</v>
      </c>
      <c r="E424" t="s">
        <v>8</v>
      </c>
      <c r="F424">
        <v>3</v>
      </c>
      <c r="G424">
        <v>121.98</v>
      </c>
      <c r="H424" t="s">
        <v>4</v>
      </c>
      <c r="I424" s="2">
        <v>44464</v>
      </c>
      <c r="J424" t="s">
        <v>14</v>
      </c>
      <c r="K424" s="4">
        <f>Table1[[#This Row],[Quantity]]*Table1[[#This Row],[Price]]</f>
        <v>365.94</v>
      </c>
      <c r="L424" t="str">
        <f>IF(Table1[[#This Row],[Age]]&lt;25,"18-24",IF(Table1[[#This Row],[Age]]&lt;35,"25-34",IF(Table1[[#This Row],[Age]]&lt;45,"35-44",IF(Table1[[#This Row],[Age]]&lt;55,"45-54","55+"))))</f>
        <v>35-44</v>
      </c>
      <c r="M424" t="str">
        <f>TEXT(Table1[[#This Row],[Invoice_date]],"mmm")</f>
        <v>Sep</v>
      </c>
      <c r="N424">
        <f>YEAR(Table1[[#This Row],[Invoice_date]])</f>
        <v>2021</v>
      </c>
    </row>
    <row r="425" spans="1:14" x14ac:dyDescent="0.25">
      <c r="A425" t="s">
        <v>1041</v>
      </c>
      <c r="B425" t="s">
        <v>1042</v>
      </c>
      <c r="C425" t="s">
        <v>2</v>
      </c>
      <c r="D425">
        <v>37</v>
      </c>
      <c r="E425" t="s">
        <v>49</v>
      </c>
      <c r="F425">
        <v>3</v>
      </c>
      <c r="G425">
        <v>107.52</v>
      </c>
      <c r="H425" t="s">
        <v>18</v>
      </c>
      <c r="I425" s="2">
        <v>44536</v>
      </c>
      <c r="J425" t="s">
        <v>63</v>
      </c>
      <c r="K425" s="4">
        <f>Table1[[#This Row],[Quantity]]*Table1[[#This Row],[Price]]</f>
        <v>322.56</v>
      </c>
      <c r="L425" t="str">
        <f>IF(Table1[[#This Row],[Age]]&lt;25,"18-24",IF(Table1[[#This Row],[Age]]&lt;35,"25-34",IF(Table1[[#This Row],[Age]]&lt;45,"35-44",IF(Table1[[#This Row],[Age]]&lt;55,"45-54","55+"))))</f>
        <v>35-44</v>
      </c>
      <c r="M425" t="str">
        <f>TEXT(Table1[[#This Row],[Invoice_date]],"mmm")</f>
        <v>Dec</v>
      </c>
      <c r="N425">
        <f>YEAR(Table1[[#This Row],[Invoice_date]])</f>
        <v>2021</v>
      </c>
    </row>
    <row r="426" spans="1:14" x14ac:dyDescent="0.25">
      <c r="A426" t="s">
        <v>1043</v>
      </c>
      <c r="B426" t="s">
        <v>1044</v>
      </c>
      <c r="C426" t="s">
        <v>12</v>
      </c>
      <c r="D426">
        <v>39</v>
      </c>
      <c r="E426" t="s">
        <v>3</v>
      </c>
      <c r="F426">
        <v>4</v>
      </c>
      <c r="G426">
        <v>1200.32</v>
      </c>
      <c r="H426" t="s">
        <v>13</v>
      </c>
      <c r="I426" s="2">
        <v>44491</v>
      </c>
      <c r="J426" t="s">
        <v>14</v>
      </c>
      <c r="K426" s="4">
        <f>Table1[[#This Row],[Quantity]]*Table1[[#This Row],[Price]]</f>
        <v>4801.28</v>
      </c>
      <c r="L426" t="str">
        <f>IF(Table1[[#This Row],[Age]]&lt;25,"18-24",IF(Table1[[#This Row],[Age]]&lt;35,"25-34",IF(Table1[[#This Row],[Age]]&lt;45,"35-44",IF(Table1[[#This Row],[Age]]&lt;55,"45-54","55+"))))</f>
        <v>35-44</v>
      </c>
      <c r="M426" t="str">
        <f>TEXT(Table1[[#This Row],[Invoice_date]],"mmm")</f>
        <v>Oct</v>
      </c>
      <c r="N426">
        <f>YEAR(Table1[[#This Row],[Invoice_date]])</f>
        <v>2021</v>
      </c>
    </row>
    <row r="427" spans="1:14" x14ac:dyDescent="0.25">
      <c r="A427" t="s">
        <v>1047</v>
      </c>
      <c r="B427" t="s">
        <v>1048</v>
      </c>
      <c r="C427" t="s">
        <v>2</v>
      </c>
      <c r="D427">
        <v>41</v>
      </c>
      <c r="E427" t="s">
        <v>21</v>
      </c>
      <c r="F427">
        <v>3</v>
      </c>
      <c r="G427">
        <v>3150</v>
      </c>
      <c r="H427" t="s">
        <v>4</v>
      </c>
      <c r="I427" s="2">
        <v>44512</v>
      </c>
      <c r="J427" t="s">
        <v>50</v>
      </c>
      <c r="K427" s="4">
        <f>Table1[[#This Row],[Quantity]]*Table1[[#This Row],[Price]]</f>
        <v>9450</v>
      </c>
      <c r="L427" t="str">
        <f>IF(Table1[[#This Row],[Age]]&lt;25,"18-24",IF(Table1[[#This Row],[Age]]&lt;35,"25-34",IF(Table1[[#This Row],[Age]]&lt;45,"35-44",IF(Table1[[#This Row],[Age]]&lt;55,"45-54","55+"))))</f>
        <v>35-44</v>
      </c>
      <c r="M427" t="str">
        <f>TEXT(Table1[[#This Row],[Invoice_date]],"mmm")</f>
        <v>Nov</v>
      </c>
      <c r="N427">
        <f>YEAR(Table1[[#This Row],[Invoice_date]])</f>
        <v>2021</v>
      </c>
    </row>
    <row r="428" spans="1:14" x14ac:dyDescent="0.25">
      <c r="A428" t="s">
        <v>1057</v>
      </c>
      <c r="B428" t="s">
        <v>1058</v>
      </c>
      <c r="C428" t="s">
        <v>12</v>
      </c>
      <c r="D428">
        <v>41</v>
      </c>
      <c r="E428" t="s">
        <v>46</v>
      </c>
      <c r="F428">
        <v>5</v>
      </c>
      <c r="G428">
        <v>58.65</v>
      </c>
      <c r="H428" t="s">
        <v>18</v>
      </c>
      <c r="I428" s="2">
        <v>44818</v>
      </c>
      <c r="J428" t="s">
        <v>24</v>
      </c>
      <c r="K428" s="4">
        <f>Table1[[#This Row],[Quantity]]*Table1[[#This Row],[Price]]</f>
        <v>293.25</v>
      </c>
      <c r="L428" t="str">
        <f>IF(Table1[[#This Row],[Age]]&lt;25,"18-24",IF(Table1[[#This Row],[Age]]&lt;35,"25-34",IF(Table1[[#This Row],[Age]]&lt;45,"35-44",IF(Table1[[#This Row],[Age]]&lt;55,"45-54","55+"))))</f>
        <v>35-44</v>
      </c>
      <c r="M428" t="str">
        <f>TEXT(Table1[[#This Row],[Invoice_date]],"mmm")</f>
        <v>Sep</v>
      </c>
      <c r="N428">
        <f>YEAR(Table1[[#This Row],[Invoice_date]])</f>
        <v>2022</v>
      </c>
    </row>
    <row r="429" spans="1:14" x14ac:dyDescent="0.25">
      <c r="A429" t="s">
        <v>1069</v>
      </c>
      <c r="B429" t="s">
        <v>1070</v>
      </c>
      <c r="C429" t="s">
        <v>12</v>
      </c>
      <c r="D429">
        <v>39</v>
      </c>
      <c r="E429" t="s">
        <v>3</v>
      </c>
      <c r="F429">
        <v>2</v>
      </c>
      <c r="G429">
        <v>600.16</v>
      </c>
      <c r="H429" t="s">
        <v>4</v>
      </c>
      <c r="I429" s="2">
        <v>44967</v>
      </c>
      <c r="J429" t="s">
        <v>33</v>
      </c>
      <c r="K429" s="4">
        <f>Table1[[#This Row],[Quantity]]*Table1[[#This Row],[Price]]</f>
        <v>1200.32</v>
      </c>
      <c r="L429" t="str">
        <f>IF(Table1[[#This Row],[Age]]&lt;25,"18-24",IF(Table1[[#This Row],[Age]]&lt;35,"25-34",IF(Table1[[#This Row],[Age]]&lt;45,"35-44",IF(Table1[[#This Row],[Age]]&lt;55,"45-54","55+"))))</f>
        <v>35-44</v>
      </c>
      <c r="M429" t="str">
        <f>TEXT(Table1[[#This Row],[Invoice_date]],"mmm")</f>
        <v>Feb</v>
      </c>
      <c r="N429">
        <f>YEAR(Table1[[#This Row],[Invoice_date]])</f>
        <v>2023</v>
      </c>
    </row>
    <row r="430" spans="1:14" x14ac:dyDescent="0.25">
      <c r="A430" t="s">
        <v>1097</v>
      </c>
      <c r="B430" t="s">
        <v>1098</v>
      </c>
      <c r="C430" t="s">
        <v>2</v>
      </c>
      <c r="D430">
        <v>42</v>
      </c>
      <c r="E430" t="s">
        <v>8</v>
      </c>
      <c r="F430">
        <v>5</v>
      </c>
      <c r="G430">
        <v>203.3</v>
      </c>
      <c r="H430" t="s">
        <v>4</v>
      </c>
      <c r="I430" s="2">
        <v>44533</v>
      </c>
      <c r="J430" t="s">
        <v>33</v>
      </c>
      <c r="K430" s="4">
        <f>Table1[[#This Row],[Quantity]]*Table1[[#This Row],[Price]]</f>
        <v>1016.5</v>
      </c>
      <c r="L430" t="str">
        <f>IF(Table1[[#This Row],[Age]]&lt;25,"18-24",IF(Table1[[#This Row],[Age]]&lt;35,"25-34",IF(Table1[[#This Row],[Age]]&lt;45,"35-44",IF(Table1[[#This Row],[Age]]&lt;55,"45-54","55+"))))</f>
        <v>35-44</v>
      </c>
      <c r="M430" t="str">
        <f>TEXT(Table1[[#This Row],[Invoice_date]],"mmm")</f>
        <v>Dec</v>
      </c>
      <c r="N430">
        <f>YEAR(Table1[[#This Row],[Invoice_date]])</f>
        <v>2021</v>
      </c>
    </row>
    <row r="431" spans="1:14" x14ac:dyDescent="0.25">
      <c r="A431" t="s">
        <v>1107</v>
      </c>
      <c r="B431" t="s">
        <v>1108</v>
      </c>
      <c r="C431" t="s">
        <v>12</v>
      </c>
      <c r="D431">
        <v>41</v>
      </c>
      <c r="E431" t="s">
        <v>49</v>
      </c>
      <c r="F431">
        <v>5</v>
      </c>
      <c r="G431">
        <v>179.2</v>
      </c>
      <c r="H431" t="s">
        <v>18</v>
      </c>
      <c r="I431" s="2">
        <v>44549</v>
      </c>
      <c r="J431" t="s">
        <v>33</v>
      </c>
      <c r="K431" s="4">
        <f>Table1[[#This Row],[Quantity]]*Table1[[#This Row],[Price]]</f>
        <v>896</v>
      </c>
      <c r="L431" t="str">
        <f>IF(Table1[[#This Row],[Age]]&lt;25,"18-24",IF(Table1[[#This Row],[Age]]&lt;35,"25-34",IF(Table1[[#This Row],[Age]]&lt;45,"35-44",IF(Table1[[#This Row],[Age]]&lt;55,"45-54","55+"))))</f>
        <v>35-44</v>
      </c>
      <c r="M431" t="str">
        <f>TEXT(Table1[[#This Row],[Invoice_date]],"mmm")</f>
        <v>Dec</v>
      </c>
      <c r="N431">
        <f>YEAR(Table1[[#This Row],[Invoice_date]])</f>
        <v>2021</v>
      </c>
    </row>
    <row r="432" spans="1:14" x14ac:dyDescent="0.25">
      <c r="A432" t="s">
        <v>1109</v>
      </c>
      <c r="B432" t="s">
        <v>1110</v>
      </c>
      <c r="C432" t="s">
        <v>12</v>
      </c>
      <c r="D432">
        <v>41</v>
      </c>
      <c r="E432" t="s">
        <v>17</v>
      </c>
      <c r="F432">
        <v>3</v>
      </c>
      <c r="G432">
        <v>45.45</v>
      </c>
      <c r="H432" t="s">
        <v>4</v>
      </c>
      <c r="I432" s="2">
        <v>44949</v>
      </c>
      <c r="J432" t="s">
        <v>14</v>
      </c>
      <c r="K432" s="4">
        <f>Table1[[#This Row],[Quantity]]*Table1[[#This Row],[Price]]</f>
        <v>136.35000000000002</v>
      </c>
      <c r="L432" t="str">
        <f>IF(Table1[[#This Row],[Age]]&lt;25,"18-24",IF(Table1[[#This Row],[Age]]&lt;35,"25-34",IF(Table1[[#This Row],[Age]]&lt;45,"35-44",IF(Table1[[#This Row],[Age]]&lt;55,"45-54","55+"))))</f>
        <v>35-44</v>
      </c>
      <c r="M432" t="str">
        <f>TEXT(Table1[[#This Row],[Invoice_date]],"mmm")</f>
        <v>Jan</v>
      </c>
      <c r="N432">
        <f>YEAR(Table1[[#This Row],[Invoice_date]])</f>
        <v>2023</v>
      </c>
    </row>
    <row r="433" spans="1:14" x14ac:dyDescent="0.25">
      <c r="A433" t="s">
        <v>1123</v>
      </c>
      <c r="B433" t="s">
        <v>1124</v>
      </c>
      <c r="C433" t="s">
        <v>2</v>
      </c>
      <c r="D433">
        <v>42</v>
      </c>
      <c r="E433" t="s">
        <v>38</v>
      </c>
      <c r="F433">
        <v>5</v>
      </c>
      <c r="G433">
        <v>3000.85</v>
      </c>
      <c r="H433" t="s">
        <v>4</v>
      </c>
      <c r="I433" s="2">
        <v>44291</v>
      </c>
      <c r="J433" t="s">
        <v>63</v>
      </c>
      <c r="K433" s="4">
        <f>Table1[[#This Row],[Quantity]]*Table1[[#This Row],[Price]]</f>
        <v>15004.25</v>
      </c>
      <c r="L433" t="str">
        <f>IF(Table1[[#This Row],[Age]]&lt;25,"18-24",IF(Table1[[#This Row],[Age]]&lt;35,"25-34",IF(Table1[[#This Row],[Age]]&lt;45,"35-44",IF(Table1[[#This Row],[Age]]&lt;55,"45-54","55+"))))</f>
        <v>35-44</v>
      </c>
      <c r="M433" t="str">
        <f>TEXT(Table1[[#This Row],[Invoice_date]],"mmm")</f>
        <v>Apr</v>
      </c>
      <c r="N433">
        <f>YEAR(Table1[[#This Row],[Invoice_date]])</f>
        <v>2021</v>
      </c>
    </row>
    <row r="434" spans="1:14" x14ac:dyDescent="0.25">
      <c r="A434" t="s">
        <v>1133</v>
      </c>
      <c r="B434" t="s">
        <v>1134</v>
      </c>
      <c r="C434" t="s">
        <v>2</v>
      </c>
      <c r="D434">
        <v>41</v>
      </c>
      <c r="E434" t="s">
        <v>3</v>
      </c>
      <c r="F434">
        <v>3</v>
      </c>
      <c r="G434">
        <v>900.24</v>
      </c>
      <c r="H434" t="s">
        <v>18</v>
      </c>
      <c r="I434" s="2">
        <v>44415</v>
      </c>
      <c r="J434" t="s">
        <v>33</v>
      </c>
      <c r="K434" s="4">
        <f>Table1[[#This Row],[Quantity]]*Table1[[#This Row],[Price]]</f>
        <v>2700.7200000000003</v>
      </c>
      <c r="L434" t="str">
        <f>IF(Table1[[#This Row],[Age]]&lt;25,"18-24",IF(Table1[[#This Row],[Age]]&lt;35,"25-34",IF(Table1[[#This Row],[Age]]&lt;45,"35-44",IF(Table1[[#This Row],[Age]]&lt;55,"45-54","55+"))))</f>
        <v>35-44</v>
      </c>
      <c r="M434" t="str">
        <f>TEXT(Table1[[#This Row],[Invoice_date]],"mmm")</f>
        <v>Aug</v>
      </c>
      <c r="N434">
        <f>YEAR(Table1[[#This Row],[Invoice_date]])</f>
        <v>2021</v>
      </c>
    </row>
    <row r="435" spans="1:14" x14ac:dyDescent="0.25">
      <c r="A435" t="s">
        <v>1151</v>
      </c>
      <c r="B435" t="s">
        <v>1152</v>
      </c>
      <c r="C435" t="s">
        <v>2</v>
      </c>
      <c r="D435">
        <v>39</v>
      </c>
      <c r="E435" t="s">
        <v>3</v>
      </c>
      <c r="F435">
        <v>4</v>
      </c>
      <c r="G435">
        <v>1200.32</v>
      </c>
      <c r="H435" t="s">
        <v>13</v>
      </c>
      <c r="I435" s="2">
        <v>44951</v>
      </c>
      <c r="J435" t="s">
        <v>24</v>
      </c>
      <c r="K435" s="4">
        <f>Table1[[#This Row],[Quantity]]*Table1[[#This Row],[Price]]</f>
        <v>4801.28</v>
      </c>
      <c r="L435" t="str">
        <f>IF(Table1[[#This Row],[Age]]&lt;25,"18-24",IF(Table1[[#This Row],[Age]]&lt;35,"25-34",IF(Table1[[#This Row],[Age]]&lt;45,"35-44",IF(Table1[[#This Row],[Age]]&lt;55,"45-54","55+"))))</f>
        <v>35-44</v>
      </c>
      <c r="M435" t="str">
        <f>TEXT(Table1[[#This Row],[Invoice_date]],"mmm")</f>
        <v>Jan</v>
      </c>
      <c r="N435">
        <f>YEAR(Table1[[#This Row],[Invoice_date]])</f>
        <v>2023</v>
      </c>
    </row>
    <row r="436" spans="1:14" x14ac:dyDescent="0.25">
      <c r="A436" t="s">
        <v>1155</v>
      </c>
      <c r="B436" t="s">
        <v>1156</v>
      </c>
      <c r="C436" t="s">
        <v>12</v>
      </c>
      <c r="D436">
        <v>42</v>
      </c>
      <c r="E436" t="s">
        <v>3</v>
      </c>
      <c r="F436">
        <v>1</v>
      </c>
      <c r="G436">
        <v>300.08</v>
      </c>
      <c r="H436" t="s">
        <v>18</v>
      </c>
      <c r="I436" s="2">
        <v>44566</v>
      </c>
      <c r="J436" t="s">
        <v>14</v>
      </c>
      <c r="K436" s="4">
        <f>Table1[[#This Row],[Quantity]]*Table1[[#This Row],[Price]]</f>
        <v>300.08</v>
      </c>
      <c r="L436" t="str">
        <f>IF(Table1[[#This Row],[Age]]&lt;25,"18-24",IF(Table1[[#This Row],[Age]]&lt;35,"25-34",IF(Table1[[#This Row],[Age]]&lt;45,"35-44",IF(Table1[[#This Row],[Age]]&lt;55,"45-54","55+"))))</f>
        <v>35-44</v>
      </c>
      <c r="M436" t="str">
        <f>TEXT(Table1[[#This Row],[Invoice_date]],"mmm")</f>
        <v>Jan</v>
      </c>
      <c r="N436">
        <f>YEAR(Table1[[#This Row],[Invoice_date]])</f>
        <v>2022</v>
      </c>
    </row>
    <row r="437" spans="1:14" x14ac:dyDescent="0.25">
      <c r="A437" t="s">
        <v>1173</v>
      </c>
      <c r="B437" t="s">
        <v>1174</v>
      </c>
      <c r="C437" t="s">
        <v>12</v>
      </c>
      <c r="D437">
        <v>40</v>
      </c>
      <c r="E437" t="s">
        <v>8</v>
      </c>
      <c r="F437">
        <v>3</v>
      </c>
      <c r="G437">
        <v>121.98</v>
      </c>
      <c r="H437" t="s">
        <v>18</v>
      </c>
      <c r="I437" s="2">
        <v>44920</v>
      </c>
      <c r="J437" t="s">
        <v>33</v>
      </c>
      <c r="K437" s="4">
        <f>Table1[[#This Row],[Quantity]]*Table1[[#This Row],[Price]]</f>
        <v>365.94</v>
      </c>
      <c r="L437" t="str">
        <f>IF(Table1[[#This Row],[Age]]&lt;25,"18-24",IF(Table1[[#This Row],[Age]]&lt;35,"25-34",IF(Table1[[#This Row],[Age]]&lt;45,"35-44",IF(Table1[[#This Row],[Age]]&lt;55,"45-54","55+"))))</f>
        <v>35-44</v>
      </c>
      <c r="M437" t="str">
        <f>TEXT(Table1[[#This Row],[Invoice_date]],"mmm")</f>
        <v>Dec</v>
      </c>
      <c r="N437">
        <f>YEAR(Table1[[#This Row],[Invoice_date]])</f>
        <v>2022</v>
      </c>
    </row>
    <row r="438" spans="1:14" x14ac:dyDescent="0.25">
      <c r="A438" t="s">
        <v>1187</v>
      </c>
      <c r="B438" t="s">
        <v>1188</v>
      </c>
      <c r="C438" t="s">
        <v>2</v>
      </c>
      <c r="D438">
        <v>41</v>
      </c>
      <c r="E438" t="s">
        <v>38</v>
      </c>
      <c r="F438">
        <v>1</v>
      </c>
      <c r="G438">
        <v>600.16999999999996</v>
      </c>
      <c r="H438" t="s">
        <v>4</v>
      </c>
      <c r="I438" s="2">
        <v>44848</v>
      </c>
      <c r="J438" t="s">
        <v>14</v>
      </c>
      <c r="K438" s="4">
        <f>Table1[[#This Row],[Quantity]]*Table1[[#This Row],[Price]]</f>
        <v>600.16999999999996</v>
      </c>
      <c r="L438" t="str">
        <f>IF(Table1[[#This Row],[Age]]&lt;25,"18-24",IF(Table1[[#This Row],[Age]]&lt;35,"25-34",IF(Table1[[#This Row],[Age]]&lt;45,"35-44",IF(Table1[[#This Row],[Age]]&lt;55,"45-54","55+"))))</f>
        <v>35-44</v>
      </c>
      <c r="M438" t="str">
        <f>TEXT(Table1[[#This Row],[Invoice_date]],"mmm")</f>
        <v>Oct</v>
      </c>
      <c r="N438">
        <f>YEAR(Table1[[#This Row],[Invoice_date]])</f>
        <v>2022</v>
      </c>
    </row>
    <row r="439" spans="1:14" x14ac:dyDescent="0.25">
      <c r="A439" t="s">
        <v>1207</v>
      </c>
      <c r="B439" t="s">
        <v>1208</v>
      </c>
      <c r="C439" t="s">
        <v>2</v>
      </c>
      <c r="D439">
        <v>38</v>
      </c>
      <c r="E439" t="s">
        <v>3</v>
      </c>
      <c r="F439">
        <v>4</v>
      </c>
      <c r="G439">
        <v>1200.32</v>
      </c>
      <c r="H439" t="s">
        <v>4</v>
      </c>
      <c r="I439" s="2">
        <v>44722</v>
      </c>
      <c r="J439" t="s">
        <v>30</v>
      </c>
      <c r="K439" s="4">
        <f>Table1[[#This Row],[Quantity]]*Table1[[#This Row],[Price]]</f>
        <v>4801.28</v>
      </c>
      <c r="L439" t="str">
        <f>IF(Table1[[#This Row],[Age]]&lt;25,"18-24",IF(Table1[[#This Row],[Age]]&lt;35,"25-34",IF(Table1[[#This Row],[Age]]&lt;45,"35-44",IF(Table1[[#This Row],[Age]]&lt;55,"45-54","55+"))))</f>
        <v>35-44</v>
      </c>
      <c r="M439" t="str">
        <f>TEXT(Table1[[#This Row],[Invoice_date]],"mmm")</f>
        <v>Jun</v>
      </c>
      <c r="N439">
        <f>YEAR(Table1[[#This Row],[Invoice_date]])</f>
        <v>2022</v>
      </c>
    </row>
    <row r="440" spans="1:14" x14ac:dyDescent="0.25">
      <c r="A440" t="s">
        <v>1219</v>
      </c>
      <c r="B440" t="s">
        <v>1220</v>
      </c>
      <c r="C440" t="s">
        <v>12</v>
      </c>
      <c r="D440">
        <v>36</v>
      </c>
      <c r="E440" t="s">
        <v>27</v>
      </c>
      <c r="F440">
        <v>1</v>
      </c>
      <c r="G440">
        <v>5.23</v>
      </c>
      <c r="H440" t="s">
        <v>18</v>
      </c>
      <c r="I440" s="2">
        <v>44663</v>
      </c>
      <c r="J440" t="s">
        <v>9</v>
      </c>
      <c r="K440" s="4">
        <f>Table1[[#This Row],[Quantity]]*Table1[[#This Row],[Price]]</f>
        <v>5.23</v>
      </c>
      <c r="L440" t="str">
        <f>IF(Table1[[#This Row],[Age]]&lt;25,"18-24",IF(Table1[[#This Row],[Age]]&lt;35,"25-34",IF(Table1[[#This Row],[Age]]&lt;45,"35-44",IF(Table1[[#This Row],[Age]]&lt;55,"45-54","55+"))))</f>
        <v>35-44</v>
      </c>
      <c r="M440" t="str">
        <f>TEXT(Table1[[#This Row],[Invoice_date]],"mmm")</f>
        <v>Apr</v>
      </c>
      <c r="N440">
        <f>YEAR(Table1[[#This Row],[Invoice_date]])</f>
        <v>2022</v>
      </c>
    </row>
    <row r="441" spans="1:14" x14ac:dyDescent="0.25">
      <c r="A441" t="s">
        <v>1229</v>
      </c>
      <c r="B441" t="s">
        <v>1230</v>
      </c>
      <c r="C441" t="s">
        <v>12</v>
      </c>
      <c r="D441">
        <v>36</v>
      </c>
      <c r="E441" t="s">
        <v>8</v>
      </c>
      <c r="F441">
        <v>3</v>
      </c>
      <c r="G441">
        <v>121.98</v>
      </c>
      <c r="H441" t="s">
        <v>4</v>
      </c>
      <c r="I441" s="2">
        <v>44251</v>
      </c>
      <c r="J441" t="s">
        <v>33</v>
      </c>
      <c r="K441" s="4">
        <f>Table1[[#This Row],[Quantity]]*Table1[[#This Row],[Price]]</f>
        <v>365.94</v>
      </c>
      <c r="L441" t="str">
        <f>IF(Table1[[#This Row],[Age]]&lt;25,"18-24",IF(Table1[[#This Row],[Age]]&lt;35,"25-34",IF(Table1[[#This Row],[Age]]&lt;45,"35-44",IF(Table1[[#This Row],[Age]]&lt;55,"45-54","55+"))))</f>
        <v>35-44</v>
      </c>
      <c r="M441" t="str">
        <f>TEXT(Table1[[#This Row],[Invoice_date]],"mmm")</f>
        <v>Feb</v>
      </c>
      <c r="N441">
        <f>YEAR(Table1[[#This Row],[Invoice_date]])</f>
        <v>2021</v>
      </c>
    </row>
    <row r="442" spans="1:14" x14ac:dyDescent="0.25">
      <c r="A442" t="s">
        <v>1233</v>
      </c>
      <c r="B442" t="s">
        <v>1234</v>
      </c>
      <c r="C442" t="s">
        <v>2</v>
      </c>
      <c r="D442">
        <v>41</v>
      </c>
      <c r="E442" t="s">
        <v>46</v>
      </c>
      <c r="F442">
        <v>4</v>
      </c>
      <c r="G442">
        <v>46.92</v>
      </c>
      <c r="H442" t="s">
        <v>4</v>
      </c>
      <c r="I442" s="2">
        <v>44649</v>
      </c>
      <c r="J442" t="s">
        <v>9</v>
      </c>
      <c r="K442" s="4">
        <f>Table1[[#This Row],[Quantity]]*Table1[[#This Row],[Price]]</f>
        <v>187.68</v>
      </c>
      <c r="L442" t="str">
        <f>IF(Table1[[#This Row],[Age]]&lt;25,"18-24",IF(Table1[[#This Row],[Age]]&lt;35,"25-34",IF(Table1[[#This Row],[Age]]&lt;45,"35-44",IF(Table1[[#This Row],[Age]]&lt;55,"45-54","55+"))))</f>
        <v>35-44</v>
      </c>
      <c r="M442" t="str">
        <f>TEXT(Table1[[#This Row],[Invoice_date]],"mmm")</f>
        <v>Mar</v>
      </c>
      <c r="N442">
        <f>YEAR(Table1[[#This Row],[Invoice_date]])</f>
        <v>2022</v>
      </c>
    </row>
    <row r="443" spans="1:14" x14ac:dyDescent="0.25">
      <c r="A443" t="s">
        <v>1237</v>
      </c>
      <c r="B443" t="s">
        <v>1238</v>
      </c>
      <c r="C443" t="s">
        <v>2</v>
      </c>
      <c r="D443">
        <v>42</v>
      </c>
      <c r="E443" t="s">
        <v>3</v>
      </c>
      <c r="F443">
        <v>1</v>
      </c>
      <c r="G443">
        <v>300.08</v>
      </c>
      <c r="H443" t="s">
        <v>18</v>
      </c>
      <c r="I443" s="2">
        <v>44826</v>
      </c>
      <c r="J443" t="s">
        <v>33</v>
      </c>
      <c r="K443" s="4">
        <f>Table1[[#This Row],[Quantity]]*Table1[[#This Row],[Price]]</f>
        <v>300.08</v>
      </c>
      <c r="L443" t="str">
        <f>IF(Table1[[#This Row],[Age]]&lt;25,"18-24",IF(Table1[[#This Row],[Age]]&lt;35,"25-34",IF(Table1[[#This Row],[Age]]&lt;45,"35-44",IF(Table1[[#This Row],[Age]]&lt;55,"45-54","55+"))))</f>
        <v>35-44</v>
      </c>
      <c r="M443" t="str">
        <f>TEXT(Table1[[#This Row],[Invoice_date]],"mmm")</f>
        <v>Sep</v>
      </c>
      <c r="N443">
        <f>YEAR(Table1[[#This Row],[Invoice_date]])</f>
        <v>2022</v>
      </c>
    </row>
    <row r="444" spans="1:14" x14ac:dyDescent="0.25">
      <c r="A444" t="s">
        <v>1241</v>
      </c>
      <c r="B444" t="s">
        <v>1242</v>
      </c>
      <c r="C444" t="s">
        <v>12</v>
      </c>
      <c r="D444">
        <v>37</v>
      </c>
      <c r="E444" t="s">
        <v>27</v>
      </c>
      <c r="F444">
        <v>4</v>
      </c>
      <c r="G444">
        <v>20.92</v>
      </c>
      <c r="H444" t="s">
        <v>13</v>
      </c>
      <c r="I444" s="2">
        <v>44495</v>
      </c>
      <c r="J444" t="s">
        <v>63</v>
      </c>
      <c r="K444" s="4">
        <f>Table1[[#This Row],[Quantity]]*Table1[[#This Row],[Price]]</f>
        <v>83.68</v>
      </c>
      <c r="L444" t="str">
        <f>IF(Table1[[#This Row],[Age]]&lt;25,"18-24",IF(Table1[[#This Row],[Age]]&lt;35,"25-34",IF(Table1[[#This Row],[Age]]&lt;45,"35-44",IF(Table1[[#This Row],[Age]]&lt;55,"45-54","55+"))))</f>
        <v>35-44</v>
      </c>
      <c r="M444" t="str">
        <f>TEXT(Table1[[#This Row],[Invoice_date]],"mmm")</f>
        <v>Oct</v>
      </c>
      <c r="N444">
        <f>YEAR(Table1[[#This Row],[Invoice_date]])</f>
        <v>2021</v>
      </c>
    </row>
    <row r="445" spans="1:14" x14ac:dyDescent="0.25">
      <c r="A445" t="s">
        <v>1243</v>
      </c>
      <c r="B445" t="s">
        <v>1244</v>
      </c>
      <c r="C445" t="s">
        <v>12</v>
      </c>
      <c r="D445">
        <v>39</v>
      </c>
      <c r="E445" t="s">
        <v>17</v>
      </c>
      <c r="F445">
        <v>3</v>
      </c>
      <c r="G445">
        <v>45.45</v>
      </c>
      <c r="H445" t="s">
        <v>18</v>
      </c>
      <c r="I445" s="2">
        <v>44973</v>
      </c>
      <c r="J445" t="s">
        <v>5</v>
      </c>
      <c r="K445" s="4">
        <f>Table1[[#This Row],[Quantity]]*Table1[[#This Row],[Price]]</f>
        <v>136.35000000000002</v>
      </c>
      <c r="L445" t="str">
        <f>IF(Table1[[#This Row],[Age]]&lt;25,"18-24",IF(Table1[[#This Row],[Age]]&lt;35,"25-34",IF(Table1[[#This Row],[Age]]&lt;45,"35-44",IF(Table1[[#This Row],[Age]]&lt;55,"45-54","55+"))))</f>
        <v>35-44</v>
      </c>
      <c r="M445" t="str">
        <f>TEXT(Table1[[#This Row],[Invoice_date]],"mmm")</f>
        <v>Feb</v>
      </c>
      <c r="N445">
        <f>YEAR(Table1[[#This Row],[Invoice_date]])</f>
        <v>2023</v>
      </c>
    </row>
    <row r="446" spans="1:14" x14ac:dyDescent="0.25">
      <c r="A446" t="s">
        <v>1249</v>
      </c>
      <c r="B446" t="s">
        <v>1250</v>
      </c>
      <c r="C446" t="s">
        <v>2</v>
      </c>
      <c r="D446">
        <v>41</v>
      </c>
      <c r="E446" t="s">
        <v>8</v>
      </c>
      <c r="F446">
        <v>3</v>
      </c>
      <c r="G446">
        <v>121.98</v>
      </c>
      <c r="H446" t="s">
        <v>13</v>
      </c>
      <c r="I446" s="2">
        <v>44561</v>
      </c>
      <c r="J446" t="s">
        <v>5</v>
      </c>
      <c r="K446" s="4">
        <f>Table1[[#This Row],[Quantity]]*Table1[[#This Row],[Price]]</f>
        <v>365.94</v>
      </c>
      <c r="L446" t="str">
        <f>IF(Table1[[#This Row],[Age]]&lt;25,"18-24",IF(Table1[[#This Row],[Age]]&lt;35,"25-34",IF(Table1[[#This Row],[Age]]&lt;45,"35-44",IF(Table1[[#This Row],[Age]]&lt;55,"45-54","55+"))))</f>
        <v>35-44</v>
      </c>
      <c r="M446" t="str">
        <f>TEXT(Table1[[#This Row],[Invoice_date]],"mmm")</f>
        <v>Dec</v>
      </c>
      <c r="N446">
        <f>YEAR(Table1[[#This Row],[Invoice_date]])</f>
        <v>2021</v>
      </c>
    </row>
    <row r="447" spans="1:14" x14ac:dyDescent="0.25">
      <c r="A447" t="s">
        <v>1265</v>
      </c>
      <c r="B447" t="s">
        <v>1266</v>
      </c>
      <c r="C447" t="s">
        <v>12</v>
      </c>
      <c r="D447">
        <v>42</v>
      </c>
      <c r="E447" t="s">
        <v>3</v>
      </c>
      <c r="F447">
        <v>5</v>
      </c>
      <c r="G447">
        <v>1500.4</v>
      </c>
      <c r="H447" t="s">
        <v>13</v>
      </c>
      <c r="I447" s="2">
        <v>44787</v>
      </c>
      <c r="J447" t="s">
        <v>14</v>
      </c>
      <c r="K447" s="4">
        <f>Table1[[#This Row],[Quantity]]*Table1[[#This Row],[Price]]</f>
        <v>7502</v>
      </c>
      <c r="L447" t="str">
        <f>IF(Table1[[#This Row],[Age]]&lt;25,"18-24",IF(Table1[[#This Row],[Age]]&lt;35,"25-34",IF(Table1[[#This Row],[Age]]&lt;45,"35-44",IF(Table1[[#This Row],[Age]]&lt;55,"45-54","55+"))))</f>
        <v>35-44</v>
      </c>
      <c r="M447" t="str">
        <f>TEXT(Table1[[#This Row],[Invoice_date]],"mmm")</f>
        <v>Aug</v>
      </c>
      <c r="N447">
        <f>YEAR(Table1[[#This Row],[Invoice_date]])</f>
        <v>2022</v>
      </c>
    </row>
    <row r="448" spans="1:14" x14ac:dyDescent="0.25">
      <c r="A448" t="s">
        <v>1269</v>
      </c>
      <c r="B448" t="s">
        <v>1270</v>
      </c>
      <c r="C448" t="s">
        <v>12</v>
      </c>
      <c r="D448">
        <v>40</v>
      </c>
      <c r="E448" t="s">
        <v>21</v>
      </c>
      <c r="F448">
        <v>5</v>
      </c>
      <c r="G448">
        <v>5250</v>
      </c>
      <c r="H448" t="s">
        <v>4</v>
      </c>
      <c r="I448" s="2">
        <v>44228</v>
      </c>
      <c r="J448" t="s">
        <v>5</v>
      </c>
      <c r="K448" s="4">
        <f>Table1[[#This Row],[Quantity]]*Table1[[#This Row],[Price]]</f>
        <v>26250</v>
      </c>
      <c r="L448" t="str">
        <f>IF(Table1[[#This Row],[Age]]&lt;25,"18-24",IF(Table1[[#This Row],[Age]]&lt;35,"25-34",IF(Table1[[#This Row],[Age]]&lt;45,"35-44",IF(Table1[[#This Row],[Age]]&lt;55,"45-54","55+"))))</f>
        <v>35-44</v>
      </c>
      <c r="M448" t="str">
        <f>TEXT(Table1[[#This Row],[Invoice_date]],"mmm")</f>
        <v>Feb</v>
      </c>
      <c r="N448">
        <f>YEAR(Table1[[#This Row],[Invoice_date]])</f>
        <v>2021</v>
      </c>
    </row>
    <row r="449" spans="1:14" x14ac:dyDescent="0.25">
      <c r="A449" t="s">
        <v>1289</v>
      </c>
      <c r="B449" t="s">
        <v>1290</v>
      </c>
      <c r="C449" t="s">
        <v>2</v>
      </c>
      <c r="D449">
        <v>37</v>
      </c>
      <c r="E449" t="s">
        <v>27</v>
      </c>
      <c r="F449">
        <v>1</v>
      </c>
      <c r="G449">
        <v>5.23</v>
      </c>
      <c r="H449" t="s">
        <v>4</v>
      </c>
      <c r="I449" s="2">
        <v>44253</v>
      </c>
      <c r="J449" t="s">
        <v>50</v>
      </c>
      <c r="K449" s="4">
        <f>Table1[[#This Row],[Quantity]]*Table1[[#This Row],[Price]]</f>
        <v>5.23</v>
      </c>
      <c r="L449" t="str">
        <f>IF(Table1[[#This Row],[Age]]&lt;25,"18-24",IF(Table1[[#This Row],[Age]]&lt;35,"25-34",IF(Table1[[#This Row],[Age]]&lt;45,"35-44",IF(Table1[[#This Row],[Age]]&lt;55,"45-54","55+"))))</f>
        <v>35-44</v>
      </c>
      <c r="M449" t="str">
        <f>TEXT(Table1[[#This Row],[Invoice_date]],"mmm")</f>
        <v>Feb</v>
      </c>
      <c r="N449">
        <f>YEAR(Table1[[#This Row],[Invoice_date]])</f>
        <v>2021</v>
      </c>
    </row>
    <row r="450" spans="1:14" x14ac:dyDescent="0.25">
      <c r="A450" t="s">
        <v>1295</v>
      </c>
      <c r="B450" t="s">
        <v>1296</v>
      </c>
      <c r="C450" t="s">
        <v>12</v>
      </c>
      <c r="D450">
        <v>43</v>
      </c>
      <c r="E450" t="s">
        <v>49</v>
      </c>
      <c r="F450">
        <v>4</v>
      </c>
      <c r="G450">
        <v>143.36000000000001</v>
      </c>
      <c r="H450" t="s">
        <v>4</v>
      </c>
      <c r="I450" s="2">
        <v>44658</v>
      </c>
      <c r="J450" t="s">
        <v>43</v>
      </c>
      <c r="K450" s="4">
        <f>Table1[[#This Row],[Quantity]]*Table1[[#This Row],[Price]]</f>
        <v>573.44000000000005</v>
      </c>
      <c r="L450" t="str">
        <f>IF(Table1[[#This Row],[Age]]&lt;25,"18-24",IF(Table1[[#This Row],[Age]]&lt;35,"25-34",IF(Table1[[#This Row],[Age]]&lt;45,"35-44",IF(Table1[[#This Row],[Age]]&lt;55,"45-54","55+"))))</f>
        <v>35-44</v>
      </c>
      <c r="M450" t="str">
        <f>TEXT(Table1[[#This Row],[Invoice_date]],"mmm")</f>
        <v>Apr</v>
      </c>
      <c r="N450">
        <f>YEAR(Table1[[#This Row],[Invoice_date]])</f>
        <v>2022</v>
      </c>
    </row>
    <row r="451" spans="1:14" x14ac:dyDescent="0.25">
      <c r="A451" t="s">
        <v>1301</v>
      </c>
      <c r="B451" t="s">
        <v>1302</v>
      </c>
      <c r="C451" t="s">
        <v>12</v>
      </c>
      <c r="D451">
        <v>43</v>
      </c>
      <c r="E451" t="s">
        <v>49</v>
      </c>
      <c r="F451">
        <v>1</v>
      </c>
      <c r="G451">
        <v>35.840000000000003</v>
      </c>
      <c r="H451" t="s">
        <v>4</v>
      </c>
      <c r="I451" s="2">
        <v>44810</v>
      </c>
      <c r="J451" t="s">
        <v>33</v>
      </c>
      <c r="K451" s="4">
        <f>Table1[[#This Row],[Quantity]]*Table1[[#This Row],[Price]]</f>
        <v>35.840000000000003</v>
      </c>
      <c r="L451" t="str">
        <f>IF(Table1[[#This Row],[Age]]&lt;25,"18-24",IF(Table1[[#This Row],[Age]]&lt;35,"25-34",IF(Table1[[#This Row],[Age]]&lt;45,"35-44",IF(Table1[[#This Row],[Age]]&lt;55,"45-54","55+"))))</f>
        <v>35-44</v>
      </c>
      <c r="M451" t="str">
        <f>TEXT(Table1[[#This Row],[Invoice_date]],"mmm")</f>
        <v>Sep</v>
      </c>
      <c r="N451">
        <f>YEAR(Table1[[#This Row],[Invoice_date]])</f>
        <v>2022</v>
      </c>
    </row>
    <row r="452" spans="1:14" x14ac:dyDescent="0.25">
      <c r="A452" t="s">
        <v>1307</v>
      </c>
      <c r="B452" t="s">
        <v>1308</v>
      </c>
      <c r="C452" t="s">
        <v>2</v>
      </c>
      <c r="D452">
        <v>39</v>
      </c>
      <c r="E452" t="s">
        <v>49</v>
      </c>
      <c r="F452">
        <v>4</v>
      </c>
      <c r="G452">
        <v>143.36000000000001</v>
      </c>
      <c r="H452" t="s">
        <v>4</v>
      </c>
      <c r="I452" s="2">
        <v>44397</v>
      </c>
      <c r="J452" t="s">
        <v>74</v>
      </c>
      <c r="K452" s="4">
        <f>Table1[[#This Row],[Quantity]]*Table1[[#This Row],[Price]]</f>
        <v>573.44000000000005</v>
      </c>
      <c r="L452" t="str">
        <f>IF(Table1[[#This Row],[Age]]&lt;25,"18-24",IF(Table1[[#This Row],[Age]]&lt;35,"25-34",IF(Table1[[#This Row],[Age]]&lt;45,"35-44",IF(Table1[[#This Row],[Age]]&lt;55,"45-54","55+"))))</f>
        <v>35-44</v>
      </c>
      <c r="M452" t="str">
        <f>TEXT(Table1[[#This Row],[Invoice_date]],"mmm")</f>
        <v>Jul</v>
      </c>
      <c r="N452">
        <f>YEAR(Table1[[#This Row],[Invoice_date]])</f>
        <v>2021</v>
      </c>
    </row>
    <row r="453" spans="1:14" x14ac:dyDescent="0.25">
      <c r="A453" t="s">
        <v>1311</v>
      </c>
      <c r="B453" t="s">
        <v>1312</v>
      </c>
      <c r="C453" t="s">
        <v>2</v>
      </c>
      <c r="D453">
        <v>42</v>
      </c>
      <c r="E453" t="s">
        <v>8</v>
      </c>
      <c r="F453">
        <v>3</v>
      </c>
      <c r="G453">
        <v>121.98</v>
      </c>
      <c r="H453" t="s">
        <v>18</v>
      </c>
      <c r="I453" s="2">
        <v>44409</v>
      </c>
      <c r="J453" t="s">
        <v>33</v>
      </c>
      <c r="K453" s="4">
        <f>Table1[[#This Row],[Quantity]]*Table1[[#This Row],[Price]]</f>
        <v>365.94</v>
      </c>
      <c r="L453" t="str">
        <f>IF(Table1[[#This Row],[Age]]&lt;25,"18-24",IF(Table1[[#This Row],[Age]]&lt;35,"25-34",IF(Table1[[#This Row],[Age]]&lt;45,"35-44",IF(Table1[[#This Row],[Age]]&lt;55,"45-54","55+"))))</f>
        <v>35-44</v>
      </c>
      <c r="M453" t="str">
        <f>TEXT(Table1[[#This Row],[Invoice_date]],"mmm")</f>
        <v>Aug</v>
      </c>
      <c r="N453">
        <f>YEAR(Table1[[#This Row],[Invoice_date]])</f>
        <v>2021</v>
      </c>
    </row>
    <row r="454" spans="1:14" x14ac:dyDescent="0.25">
      <c r="A454" t="s">
        <v>1313</v>
      </c>
      <c r="B454" t="s">
        <v>1314</v>
      </c>
      <c r="C454" t="s">
        <v>2</v>
      </c>
      <c r="D454">
        <v>40</v>
      </c>
      <c r="E454" t="s">
        <v>27</v>
      </c>
      <c r="F454">
        <v>3</v>
      </c>
      <c r="G454">
        <v>15.69</v>
      </c>
      <c r="H454" t="s">
        <v>18</v>
      </c>
      <c r="I454" s="2">
        <v>44338</v>
      </c>
      <c r="J454" t="s">
        <v>50</v>
      </c>
      <c r="K454" s="4">
        <f>Table1[[#This Row],[Quantity]]*Table1[[#This Row],[Price]]</f>
        <v>47.07</v>
      </c>
      <c r="L454" t="str">
        <f>IF(Table1[[#This Row],[Age]]&lt;25,"18-24",IF(Table1[[#This Row],[Age]]&lt;35,"25-34",IF(Table1[[#This Row],[Age]]&lt;45,"35-44",IF(Table1[[#This Row],[Age]]&lt;55,"45-54","55+"))))</f>
        <v>35-44</v>
      </c>
      <c r="M454" t="str">
        <f>TEXT(Table1[[#This Row],[Invoice_date]],"mmm")</f>
        <v>May</v>
      </c>
      <c r="N454">
        <f>YEAR(Table1[[#This Row],[Invoice_date]])</f>
        <v>2021</v>
      </c>
    </row>
    <row r="455" spans="1:14" x14ac:dyDescent="0.25">
      <c r="A455" t="s">
        <v>1325</v>
      </c>
      <c r="B455" t="s">
        <v>1326</v>
      </c>
      <c r="C455" t="s">
        <v>12</v>
      </c>
      <c r="D455">
        <v>38</v>
      </c>
      <c r="E455" t="s">
        <v>3</v>
      </c>
      <c r="F455">
        <v>1</v>
      </c>
      <c r="G455">
        <v>300.08</v>
      </c>
      <c r="H455" t="s">
        <v>18</v>
      </c>
      <c r="I455" s="2">
        <v>44688</v>
      </c>
      <c r="J455" t="s">
        <v>9</v>
      </c>
      <c r="K455" s="4">
        <f>Table1[[#This Row],[Quantity]]*Table1[[#This Row],[Price]]</f>
        <v>300.08</v>
      </c>
      <c r="L455" t="str">
        <f>IF(Table1[[#This Row],[Age]]&lt;25,"18-24",IF(Table1[[#This Row],[Age]]&lt;35,"25-34",IF(Table1[[#This Row],[Age]]&lt;45,"35-44",IF(Table1[[#This Row],[Age]]&lt;55,"45-54","55+"))))</f>
        <v>35-44</v>
      </c>
      <c r="M455" t="str">
        <f>TEXT(Table1[[#This Row],[Invoice_date]],"mmm")</f>
        <v>May</v>
      </c>
      <c r="N455">
        <f>YEAR(Table1[[#This Row],[Invoice_date]])</f>
        <v>2022</v>
      </c>
    </row>
    <row r="456" spans="1:14" x14ac:dyDescent="0.25">
      <c r="A456" t="s">
        <v>1331</v>
      </c>
      <c r="B456" t="s">
        <v>1332</v>
      </c>
      <c r="C456" t="s">
        <v>2</v>
      </c>
      <c r="D456">
        <v>36</v>
      </c>
      <c r="E456" t="s">
        <v>38</v>
      </c>
      <c r="F456">
        <v>5</v>
      </c>
      <c r="G456">
        <v>3000.85</v>
      </c>
      <c r="H456" t="s">
        <v>18</v>
      </c>
      <c r="I456" s="2">
        <v>44631</v>
      </c>
      <c r="J456" t="s">
        <v>33</v>
      </c>
      <c r="K456" s="4">
        <f>Table1[[#This Row],[Quantity]]*Table1[[#This Row],[Price]]</f>
        <v>15004.25</v>
      </c>
      <c r="L456" t="str">
        <f>IF(Table1[[#This Row],[Age]]&lt;25,"18-24",IF(Table1[[#This Row],[Age]]&lt;35,"25-34",IF(Table1[[#This Row],[Age]]&lt;45,"35-44",IF(Table1[[#This Row],[Age]]&lt;55,"45-54","55+"))))</f>
        <v>35-44</v>
      </c>
      <c r="M456" t="str">
        <f>TEXT(Table1[[#This Row],[Invoice_date]],"mmm")</f>
        <v>Mar</v>
      </c>
      <c r="N456">
        <f>YEAR(Table1[[#This Row],[Invoice_date]])</f>
        <v>2022</v>
      </c>
    </row>
    <row r="457" spans="1:14" x14ac:dyDescent="0.25">
      <c r="A457" t="s">
        <v>1333</v>
      </c>
      <c r="B457" t="s">
        <v>1334</v>
      </c>
      <c r="C457" t="s">
        <v>12</v>
      </c>
      <c r="D457">
        <v>40</v>
      </c>
      <c r="E457" t="s">
        <v>3</v>
      </c>
      <c r="F457">
        <v>2</v>
      </c>
      <c r="G457">
        <v>600.16</v>
      </c>
      <c r="H457" t="s">
        <v>13</v>
      </c>
      <c r="I457" s="2">
        <v>44674</v>
      </c>
      <c r="J457" t="s">
        <v>50</v>
      </c>
      <c r="K457" s="4">
        <f>Table1[[#This Row],[Quantity]]*Table1[[#This Row],[Price]]</f>
        <v>1200.32</v>
      </c>
      <c r="L457" t="str">
        <f>IF(Table1[[#This Row],[Age]]&lt;25,"18-24",IF(Table1[[#This Row],[Age]]&lt;35,"25-34",IF(Table1[[#This Row],[Age]]&lt;45,"35-44",IF(Table1[[#This Row],[Age]]&lt;55,"45-54","55+"))))</f>
        <v>35-44</v>
      </c>
      <c r="M457" t="str">
        <f>TEXT(Table1[[#This Row],[Invoice_date]],"mmm")</f>
        <v>Apr</v>
      </c>
      <c r="N457">
        <f>YEAR(Table1[[#This Row],[Invoice_date]])</f>
        <v>2022</v>
      </c>
    </row>
    <row r="458" spans="1:14" x14ac:dyDescent="0.25">
      <c r="A458" t="s">
        <v>1341</v>
      </c>
      <c r="B458" t="s">
        <v>1342</v>
      </c>
      <c r="C458" t="s">
        <v>12</v>
      </c>
      <c r="D458">
        <v>38</v>
      </c>
      <c r="E458" t="s">
        <v>8</v>
      </c>
      <c r="F458">
        <v>5</v>
      </c>
      <c r="G458">
        <v>203.3</v>
      </c>
      <c r="H458" t="s">
        <v>18</v>
      </c>
      <c r="I458" s="2">
        <v>44839</v>
      </c>
      <c r="J458" t="s">
        <v>33</v>
      </c>
      <c r="K458" s="4">
        <f>Table1[[#This Row],[Quantity]]*Table1[[#This Row],[Price]]</f>
        <v>1016.5</v>
      </c>
      <c r="L458" t="str">
        <f>IF(Table1[[#This Row],[Age]]&lt;25,"18-24",IF(Table1[[#This Row],[Age]]&lt;35,"25-34",IF(Table1[[#This Row],[Age]]&lt;45,"35-44",IF(Table1[[#This Row],[Age]]&lt;55,"45-54","55+"))))</f>
        <v>35-44</v>
      </c>
      <c r="M458" t="str">
        <f>TEXT(Table1[[#This Row],[Invoice_date]],"mmm")</f>
        <v>Oct</v>
      </c>
      <c r="N458">
        <f>YEAR(Table1[[#This Row],[Invoice_date]])</f>
        <v>2022</v>
      </c>
    </row>
    <row r="459" spans="1:14" x14ac:dyDescent="0.25">
      <c r="A459" t="s">
        <v>1349</v>
      </c>
      <c r="B459" t="s">
        <v>1350</v>
      </c>
      <c r="C459" t="s">
        <v>2</v>
      </c>
      <c r="D459">
        <v>36</v>
      </c>
      <c r="E459" t="s">
        <v>3</v>
      </c>
      <c r="F459">
        <v>3</v>
      </c>
      <c r="G459">
        <v>900.24</v>
      </c>
      <c r="H459" t="s">
        <v>4</v>
      </c>
      <c r="I459" s="2">
        <v>44324</v>
      </c>
      <c r="J459" t="s">
        <v>50</v>
      </c>
      <c r="K459" s="4">
        <f>Table1[[#This Row],[Quantity]]*Table1[[#This Row],[Price]]</f>
        <v>2700.7200000000003</v>
      </c>
      <c r="L459" t="str">
        <f>IF(Table1[[#This Row],[Age]]&lt;25,"18-24",IF(Table1[[#This Row],[Age]]&lt;35,"25-34",IF(Table1[[#This Row],[Age]]&lt;45,"35-44",IF(Table1[[#This Row],[Age]]&lt;55,"45-54","55+"))))</f>
        <v>35-44</v>
      </c>
      <c r="M459" t="str">
        <f>TEXT(Table1[[#This Row],[Invoice_date]],"mmm")</f>
        <v>May</v>
      </c>
      <c r="N459">
        <f>YEAR(Table1[[#This Row],[Invoice_date]])</f>
        <v>2021</v>
      </c>
    </row>
    <row r="460" spans="1:14" x14ac:dyDescent="0.25">
      <c r="A460" t="s">
        <v>1371</v>
      </c>
      <c r="B460" t="s">
        <v>1372</v>
      </c>
      <c r="C460" t="s">
        <v>12</v>
      </c>
      <c r="D460">
        <v>37</v>
      </c>
      <c r="E460" t="s">
        <v>3</v>
      </c>
      <c r="F460">
        <v>1</v>
      </c>
      <c r="G460">
        <v>300.08</v>
      </c>
      <c r="H460" t="s">
        <v>18</v>
      </c>
      <c r="I460" s="2">
        <v>44701</v>
      </c>
      <c r="J460" t="s">
        <v>43</v>
      </c>
      <c r="K460" s="4">
        <f>Table1[[#This Row],[Quantity]]*Table1[[#This Row],[Price]]</f>
        <v>300.08</v>
      </c>
      <c r="L460" t="str">
        <f>IF(Table1[[#This Row],[Age]]&lt;25,"18-24",IF(Table1[[#This Row],[Age]]&lt;35,"25-34",IF(Table1[[#This Row],[Age]]&lt;45,"35-44",IF(Table1[[#This Row],[Age]]&lt;55,"45-54","55+"))))</f>
        <v>35-44</v>
      </c>
      <c r="M460" t="str">
        <f>TEXT(Table1[[#This Row],[Invoice_date]],"mmm")</f>
        <v>May</v>
      </c>
      <c r="N460">
        <f>YEAR(Table1[[#This Row],[Invoice_date]])</f>
        <v>2022</v>
      </c>
    </row>
    <row r="461" spans="1:14" x14ac:dyDescent="0.25">
      <c r="A461" t="s">
        <v>1379</v>
      </c>
      <c r="B461" t="s">
        <v>1380</v>
      </c>
      <c r="C461" t="s">
        <v>12</v>
      </c>
      <c r="D461">
        <v>36</v>
      </c>
      <c r="E461" t="s">
        <v>3</v>
      </c>
      <c r="F461">
        <v>1</v>
      </c>
      <c r="G461">
        <v>300.08</v>
      </c>
      <c r="H461" t="s">
        <v>18</v>
      </c>
      <c r="I461" s="2">
        <v>44571</v>
      </c>
      <c r="J461" t="s">
        <v>33</v>
      </c>
      <c r="K461" s="4">
        <f>Table1[[#This Row],[Quantity]]*Table1[[#This Row],[Price]]</f>
        <v>300.08</v>
      </c>
      <c r="L461" t="str">
        <f>IF(Table1[[#This Row],[Age]]&lt;25,"18-24",IF(Table1[[#This Row],[Age]]&lt;35,"25-34",IF(Table1[[#This Row],[Age]]&lt;45,"35-44",IF(Table1[[#This Row],[Age]]&lt;55,"45-54","55+"))))</f>
        <v>35-44</v>
      </c>
      <c r="M461" t="str">
        <f>TEXT(Table1[[#This Row],[Invoice_date]],"mmm")</f>
        <v>Jan</v>
      </c>
      <c r="N461">
        <f>YEAR(Table1[[#This Row],[Invoice_date]])</f>
        <v>2022</v>
      </c>
    </row>
    <row r="462" spans="1:14" x14ac:dyDescent="0.25">
      <c r="A462" t="s">
        <v>1397</v>
      </c>
      <c r="B462" t="s">
        <v>1398</v>
      </c>
      <c r="C462" t="s">
        <v>2</v>
      </c>
      <c r="D462">
        <v>42</v>
      </c>
      <c r="E462" t="s">
        <v>38</v>
      </c>
      <c r="F462">
        <v>1</v>
      </c>
      <c r="G462">
        <v>600.16999999999996</v>
      </c>
      <c r="H462" t="s">
        <v>13</v>
      </c>
      <c r="I462" s="2">
        <v>44832</v>
      </c>
      <c r="J462" t="s">
        <v>14</v>
      </c>
      <c r="K462" s="4">
        <f>Table1[[#This Row],[Quantity]]*Table1[[#This Row],[Price]]</f>
        <v>600.16999999999996</v>
      </c>
      <c r="L462" t="str">
        <f>IF(Table1[[#This Row],[Age]]&lt;25,"18-24",IF(Table1[[#This Row],[Age]]&lt;35,"25-34",IF(Table1[[#This Row],[Age]]&lt;45,"35-44",IF(Table1[[#This Row],[Age]]&lt;55,"45-54","55+"))))</f>
        <v>35-44</v>
      </c>
      <c r="M462" t="str">
        <f>TEXT(Table1[[#This Row],[Invoice_date]],"mmm")</f>
        <v>Sep</v>
      </c>
      <c r="N462">
        <f>YEAR(Table1[[#This Row],[Invoice_date]])</f>
        <v>2022</v>
      </c>
    </row>
    <row r="463" spans="1:14" x14ac:dyDescent="0.25">
      <c r="A463" t="s">
        <v>1409</v>
      </c>
      <c r="B463" t="s">
        <v>1410</v>
      </c>
      <c r="C463" t="s">
        <v>12</v>
      </c>
      <c r="D463">
        <v>38</v>
      </c>
      <c r="E463" t="s">
        <v>3</v>
      </c>
      <c r="F463">
        <v>3</v>
      </c>
      <c r="G463">
        <v>900.24</v>
      </c>
      <c r="H463" t="s">
        <v>13</v>
      </c>
      <c r="I463" s="2">
        <v>44277</v>
      </c>
      <c r="J463" t="s">
        <v>5</v>
      </c>
      <c r="K463" s="4">
        <f>Table1[[#This Row],[Quantity]]*Table1[[#This Row],[Price]]</f>
        <v>2700.7200000000003</v>
      </c>
      <c r="L463" t="str">
        <f>IF(Table1[[#This Row],[Age]]&lt;25,"18-24",IF(Table1[[#This Row],[Age]]&lt;35,"25-34",IF(Table1[[#This Row],[Age]]&lt;45,"35-44",IF(Table1[[#This Row],[Age]]&lt;55,"45-54","55+"))))</f>
        <v>35-44</v>
      </c>
      <c r="M463" t="str">
        <f>TEXT(Table1[[#This Row],[Invoice_date]],"mmm")</f>
        <v>Mar</v>
      </c>
      <c r="N463">
        <f>YEAR(Table1[[#This Row],[Invoice_date]])</f>
        <v>2021</v>
      </c>
    </row>
    <row r="464" spans="1:14" x14ac:dyDescent="0.25">
      <c r="A464" t="s">
        <v>1415</v>
      </c>
      <c r="B464" t="s">
        <v>1416</v>
      </c>
      <c r="C464" t="s">
        <v>2</v>
      </c>
      <c r="D464">
        <v>36</v>
      </c>
      <c r="E464" t="s">
        <v>46</v>
      </c>
      <c r="F464">
        <v>4</v>
      </c>
      <c r="G464">
        <v>46.92</v>
      </c>
      <c r="H464" t="s">
        <v>18</v>
      </c>
      <c r="I464" s="2">
        <v>44201</v>
      </c>
      <c r="J464" t="s">
        <v>50</v>
      </c>
      <c r="K464" s="4">
        <f>Table1[[#This Row],[Quantity]]*Table1[[#This Row],[Price]]</f>
        <v>187.68</v>
      </c>
      <c r="L464" t="str">
        <f>IF(Table1[[#This Row],[Age]]&lt;25,"18-24",IF(Table1[[#This Row],[Age]]&lt;35,"25-34",IF(Table1[[#This Row],[Age]]&lt;45,"35-44",IF(Table1[[#This Row],[Age]]&lt;55,"45-54","55+"))))</f>
        <v>35-44</v>
      </c>
      <c r="M464" t="str">
        <f>TEXT(Table1[[#This Row],[Invoice_date]],"mmm")</f>
        <v>Jan</v>
      </c>
      <c r="N464">
        <f>YEAR(Table1[[#This Row],[Invoice_date]])</f>
        <v>2021</v>
      </c>
    </row>
    <row r="465" spans="1:14" x14ac:dyDescent="0.25">
      <c r="A465" t="s">
        <v>1425</v>
      </c>
      <c r="B465" t="s">
        <v>1426</v>
      </c>
      <c r="C465" t="s">
        <v>12</v>
      </c>
      <c r="D465">
        <v>38</v>
      </c>
      <c r="E465" t="s">
        <v>8</v>
      </c>
      <c r="F465">
        <v>4</v>
      </c>
      <c r="G465">
        <v>162.63999999999999</v>
      </c>
      <c r="H465" t="s">
        <v>18</v>
      </c>
      <c r="I465" s="2">
        <v>44569</v>
      </c>
      <c r="J465" t="s">
        <v>50</v>
      </c>
      <c r="K465" s="4">
        <f>Table1[[#This Row],[Quantity]]*Table1[[#This Row],[Price]]</f>
        <v>650.55999999999995</v>
      </c>
      <c r="L465" t="str">
        <f>IF(Table1[[#This Row],[Age]]&lt;25,"18-24",IF(Table1[[#This Row],[Age]]&lt;35,"25-34",IF(Table1[[#This Row],[Age]]&lt;45,"35-44",IF(Table1[[#This Row],[Age]]&lt;55,"45-54","55+"))))</f>
        <v>35-44</v>
      </c>
      <c r="M465" t="str">
        <f>TEXT(Table1[[#This Row],[Invoice_date]],"mmm")</f>
        <v>Jan</v>
      </c>
      <c r="N465">
        <f>YEAR(Table1[[#This Row],[Invoice_date]])</f>
        <v>2022</v>
      </c>
    </row>
    <row r="466" spans="1:14" x14ac:dyDescent="0.25">
      <c r="A466" t="s">
        <v>1451</v>
      </c>
      <c r="B466" t="s">
        <v>1452</v>
      </c>
      <c r="C466" t="s">
        <v>12</v>
      </c>
      <c r="D466">
        <v>43</v>
      </c>
      <c r="E466" t="s">
        <v>27</v>
      </c>
      <c r="F466">
        <v>4</v>
      </c>
      <c r="G466">
        <v>20.92</v>
      </c>
      <c r="H466" t="s">
        <v>18</v>
      </c>
      <c r="I466" s="2">
        <v>44573</v>
      </c>
      <c r="J466" t="s">
        <v>24</v>
      </c>
      <c r="K466" s="4">
        <f>Table1[[#This Row],[Quantity]]*Table1[[#This Row],[Price]]</f>
        <v>83.68</v>
      </c>
      <c r="L466" t="str">
        <f>IF(Table1[[#This Row],[Age]]&lt;25,"18-24",IF(Table1[[#This Row],[Age]]&lt;35,"25-34",IF(Table1[[#This Row],[Age]]&lt;45,"35-44",IF(Table1[[#This Row],[Age]]&lt;55,"45-54","55+"))))</f>
        <v>35-44</v>
      </c>
      <c r="M466" t="str">
        <f>TEXT(Table1[[#This Row],[Invoice_date]],"mmm")</f>
        <v>Jan</v>
      </c>
      <c r="N466">
        <f>YEAR(Table1[[#This Row],[Invoice_date]])</f>
        <v>2022</v>
      </c>
    </row>
    <row r="467" spans="1:14" x14ac:dyDescent="0.25">
      <c r="A467" t="s">
        <v>1455</v>
      </c>
      <c r="B467" t="s">
        <v>1456</v>
      </c>
      <c r="C467" t="s">
        <v>12</v>
      </c>
      <c r="D467">
        <v>40</v>
      </c>
      <c r="E467" t="s">
        <v>49</v>
      </c>
      <c r="F467">
        <v>2</v>
      </c>
      <c r="G467">
        <v>71.680000000000007</v>
      </c>
      <c r="H467" t="s">
        <v>18</v>
      </c>
      <c r="I467" s="2">
        <v>44898</v>
      </c>
      <c r="J467" t="s">
        <v>14</v>
      </c>
      <c r="K467" s="4">
        <f>Table1[[#This Row],[Quantity]]*Table1[[#This Row],[Price]]</f>
        <v>143.36000000000001</v>
      </c>
      <c r="L467" t="str">
        <f>IF(Table1[[#This Row],[Age]]&lt;25,"18-24",IF(Table1[[#This Row],[Age]]&lt;35,"25-34",IF(Table1[[#This Row],[Age]]&lt;45,"35-44",IF(Table1[[#This Row],[Age]]&lt;55,"45-54","55+"))))</f>
        <v>35-44</v>
      </c>
      <c r="M467" t="str">
        <f>TEXT(Table1[[#This Row],[Invoice_date]],"mmm")</f>
        <v>Dec</v>
      </c>
      <c r="N467">
        <f>YEAR(Table1[[#This Row],[Invoice_date]])</f>
        <v>2022</v>
      </c>
    </row>
    <row r="468" spans="1:14" x14ac:dyDescent="0.25">
      <c r="A468" t="s">
        <v>1465</v>
      </c>
      <c r="B468" t="s">
        <v>1466</v>
      </c>
      <c r="C468" t="s">
        <v>2</v>
      </c>
      <c r="D468">
        <v>40</v>
      </c>
      <c r="E468" t="s">
        <v>8</v>
      </c>
      <c r="F468">
        <v>3</v>
      </c>
      <c r="G468">
        <v>121.98</v>
      </c>
      <c r="H468" t="s">
        <v>13</v>
      </c>
      <c r="I468" s="2">
        <v>44455</v>
      </c>
      <c r="J468" t="s">
        <v>50</v>
      </c>
      <c r="K468" s="4">
        <f>Table1[[#This Row],[Quantity]]*Table1[[#This Row],[Price]]</f>
        <v>365.94</v>
      </c>
      <c r="L468" t="str">
        <f>IF(Table1[[#This Row],[Age]]&lt;25,"18-24",IF(Table1[[#This Row],[Age]]&lt;35,"25-34",IF(Table1[[#This Row],[Age]]&lt;45,"35-44",IF(Table1[[#This Row],[Age]]&lt;55,"45-54","55+"))))</f>
        <v>35-44</v>
      </c>
      <c r="M468" t="str">
        <f>TEXT(Table1[[#This Row],[Invoice_date]],"mmm")</f>
        <v>Sep</v>
      </c>
      <c r="N468">
        <f>YEAR(Table1[[#This Row],[Invoice_date]])</f>
        <v>2021</v>
      </c>
    </row>
    <row r="469" spans="1:14" x14ac:dyDescent="0.25">
      <c r="A469" t="s">
        <v>1473</v>
      </c>
      <c r="B469" t="s">
        <v>1474</v>
      </c>
      <c r="C469" t="s">
        <v>2</v>
      </c>
      <c r="D469">
        <v>44</v>
      </c>
      <c r="E469" t="s">
        <v>17</v>
      </c>
      <c r="F469">
        <v>3</v>
      </c>
      <c r="G469">
        <v>45.45</v>
      </c>
      <c r="H469" t="s">
        <v>4</v>
      </c>
      <c r="I469" s="2">
        <v>44538</v>
      </c>
      <c r="J469" t="s">
        <v>30</v>
      </c>
      <c r="K469" s="4">
        <f>Table1[[#This Row],[Quantity]]*Table1[[#This Row],[Price]]</f>
        <v>136.35000000000002</v>
      </c>
      <c r="L469" t="str">
        <f>IF(Table1[[#This Row],[Age]]&lt;25,"18-24",IF(Table1[[#This Row],[Age]]&lt;35,"25-34",IF(Table1[[#This Row],[Age]]&lt;45,"35-44",IF(Table1[[#This Row],[Age]]&lt;55,"45-54","55+"))))</f>
        <v>35-44</v>
      </c>
      <c r="M469" t="str">
        <f>TEXT(Table1[[#This Row],[Invoice_date]],"mmm")</f>
        <v>Dec</v>
      </c>
      <c r="N469">
        <f>YEAR(Table1[[#This Row],[Invoice_date]])</f>
        <v>2021</v>
      </c>
    </row>
    <row r="470" spans="1:14" x14ac:dyDescent="0.25">
      <c r="A470" t="s">
        <v>1477</v>
      </c>
      <c r="B470" t="s">
        <v>1478</v>
      </c>
      <c r="C470" t="s">
        <v>2</v>
      </c>
      <c r="D470">
        <v>36</v>
      </c>
      <c r="E470" t="s">
        <v>17</v>
      </c>
      <c r="F470">
        <v>2</v>
      </c>
      <c r="G470">
        <v>30.3</v>
      </c>
      <c r="H470" t="s">
        <v>4</v>
      </c>
      <c r="I470" s="2">
        <v>44511</v>
      </c>
      <c r="J470" t="s">
        <v>50</v>
      </c>
      <c r="K470" s="4">
        <f>Table1[[#This Row],[Quantity]]*Table1[[#This Row],[Price]]</f>
        <v>60.6</v>
      </c>
      <c r="L470" t="str">
        <f>IF(Table1[[#This Row],[Age]]&lt;25,"18-24",IF(Table1[[#This Row],[Age]]&lt;35,"25-34",IF(Table1[[#This Row],[Age]]&lt;45,"35-44",IF(Table1[[#This Row],[Age]]&lt;55,"45-54","55+"))))</f>
        <v>35-44</v>
      </c>
      <c r="M470" t="str">
        <f>TEXT(Table1[[#This Row],[Invoice_date]],"mmm")</f>
        <v>Nov</v>
      </c>
      <c r="N470">
        <f>YEAR(Table1[[#This Row],[Invoice_date]])</f>
        <v>2021</v>
      </c>
    </row>
    <row r="471" spans="1:14" x14ac:dyDescent="0.25">
      <c r="A471" t="s">
        <v>1491</v>
      </c>
      <c r="B471" t="s">
        <v>1492</v>
      </c>
      <c r="C471" t="s">
        <v>2</v>
      </c>
      <c r="D471">
        <v>36</v>
      </c>
      <c r="E471" t="s">
        <v>17</v>
      </c>
      <c r="F471">
        <v>2</v>
      </c>
      <c r="G471">
        <v>30.3</v>
      </c>
      <c r="H471" t="s">
        <v>18</v>
      </c>
      <c r="I471" s="2">
        <v>44666</v>
      </c>
      <c r="J471" t="s">
        <v>24</v>
      </c>
      <c r="K471" s="4">
        <f>Table1[[#This Row],[Quantity]]*Table1[[#This Row],[Price]]</f>
        <v>60.6</v>
      </c>
      <c r="L471" t="str">
        <f>IF(Table1[[#This Row],[Age]]&lt;25,"18-24",IF(Table1[[#This Row],[Age]]&lt;35,"25-34",IF(Table1[[#This Row],[Age]]&lt;45,"35-44",IF(Table1[[#This Row],[Age]]&lt;55,"45-54","55+"))))</f>
        <v>35-44</v>
      </c>
      <c r="M471" t="str">
        <f>TEXT(Table1[[#This Row],[Invoice_date]],"mmm")</f>
        <v>Apr</v>
      </c>
      <c r="N471">
        <f>YEAR(Table1[[#This Row],[Invoice_date]])</f>
        <v>2022</v>
      </c>
    </row>
    <row r="472" spans="1:14" x14ac:dyDescent="0.25">
      <c r="A472" t="s">
        <v>1497</v>
      </c>
      <c r="B472" t="s">
        <v>1498</v>
      </c>
      <c r="C472" t="s">
        <v>2</v>
      </c>
      <c r="D472">
        <v>38</v>
      </c>
      <c r="E472" t="s">
        <v>3</v>
      </c>
      <c r="F472">
        <v>1</v>
      </c>
      <c r="G472">
        <v>300.08</v>
      </c>
      <c r="H472" t="s">
        <v>4</v>
      </c>
      <c r="I472" s="2">
        <v>44636</v>
      </c>
      <c r="J472" t="s">
        <v>50</v>
      </c>
      <c r="K472" s="4">
        <f>Table1[[#This Row],[Quantity]]*Table1[[#This Row],[Price]]</f>
        <v>300.08</v>
      </c>
      <c r="L472" t="str">
        <f>IF(Table1[[#This Row],[Age]]&lt;25,"18-24",IF(Table1[[#This Row],[Age]]&lt;35,"25-34",IF(Table1[[#This Row],[Age]]&lt;45,"35-44",IF(Table1[[#This Row],[Age]]&lt;55,"45-54","55+"))))</f>
        <v>35-44</v>
      </c>
      <c r="M472" t="str">
        <f>TEXT(Table1[[#This Row],[Invoice_date]],"mmm")</f>
        <v>Mar</v>
      </c>
      <c r="N472">
        <f>YEAR(Table1[[#This Row],[Invoice_date]])</f>
        <v>2022</v>
      </c>
    </row>
    <row r="473" spans="1:14" x14ac:dyDescent="0.25">
      <c r="A473" t="s">
        <v>1509</v>
      </c>
      <c r="B473" t="s">
        <v>1510</v>
      </c>
      <c r="C473" t="s">
        <v>12</v>
      </c>
      <c r="D473">
        <v>43</v>
      </c>
      <c r="E473" t="s">
        <v>38</v>
      </c>
      <c r="F473">
        <v>2</v>
      </c>
      <c r="G473">
        <v>1200.3399999999999</v>
      </c>
      <c r="H473" t="s">
        <v>13</v>
      </c>
      <c r="I473" s="2">
        <v>44629</v>
      </c>
      <c r="J473" t="s">
        <v>50</v>
      </c>
      <c r="K473" s="4">
        <f>Table1[[#This Row],[Quantity]]*Table1[[#This Row],[Price]]</f>
        <v>2400.6799999999998</v>
      </c>
      <c r="L473" t="str">
        <f>IF(Table1[[#This Row],[Age]]&lt;25,"18-24",IF(Table1[[#This Row],[Age]]&lt;35,"25-34",IF(Table1[[#This Row],[Age]]&lt;45,"35-44",IF(Table1[[#This Row],[Age]]&lt;55,"45-54","55+"))))</f>
        <v>35-44</v>
      </c>
      <c r="M473" t="str">
        <f>TEXT(Table1[[#This Row],[Invoice_date]],"mmm")</f>
        <v>Mar</v>
      </c>
      <c r="N473">
        <f>YEAR(Table1[[#This Row],[Invoice_date]])</f>
        <v>2022</v>
      </c>
    </row>
    <row r="474" spans="1:14" x14ac:dyDescent="0.25">
      <c r="A474" t="s">
        <v>1519</v>
      </c>
      <c r="B474" t="s">
        <v>1520</v>
      </c>
      <c r="C474" t="s">
        <v>12</v>
      </c>
      <c r="D474">
        <v>39</v>
      </c>
      <c r="E474" t="s">
        <v>8</v>
      </c>
      <c r="F474">
        <v>4</v>
      </c>
      <c r="G474">
        <v>162.63999999999999</v>
      </c>
      <c r="H474" t="s">
        <v>18</v>
      </c>
      <c r="I474" s="2">
        <v>44307</v>
      </c>
      <c r="J474" t="s">
        <v>24</v>
      </c>
      <c r="K474" s="4">
        <f>Table1[[#This Row],[Quantity]]*Table1[[#This Row],[Price]]</f>
        <v>650.55999999999995</v>
      </c>
      <c r="L474" t="str">
        <f>IF(Table1[[#This Row],[Age]]&lt;25,"18-24",IF(Table1[[#This Row],[Age]]&lt;35,"25-34",IF(Table1[[#This Row],[Age]]&lt;45,"35-44",IF(Table1[[#This Row],[Age]]&lt;55,"45-54","55+"))))</f>
        <v>35-44</v>
      </c>
      <c r="M474" t="str">
        <f>TEXT(Table1[[#This Row],[Invoice_date]],"mmm")</f>
        <v>Apr</v>
      </c>
      <c r="N474">
        <f>YEAR(Table1[[#This Row],[Invoice_date]])</f>
        <v>2021</v>
      </c>
    </row>
    <row r="475" spans="1:14" x14ac:dyDescent="0.25">
      <c r="A475" t="s">
        <v>1525</v>
      </c>
      <c r="B475" t="s">
        <v>1526</v>
      </c>
      <c r="C475" t="s">
        <v>2</v>
      </c>
      <c r="D475">
        <v>37</v>
      </c>
      <c r="E475" t="s">
        <v>3</v>
      </c>
      <c r="F475">
        <v>4</v>
      </c>
      <c r="G475">
        <v>1200.32</v>
      </c>
      <c r="H475" t="s">
        <v>13</v>
      </c>
      <c r="I475" s="2">
        <v>44459</v>
      </c>
      <c r="J475" t="s">
        <v>74</v>
      </c>
      <c r="K475" s="4">
        <f>Table1[[#This Row],[Quantity]]*Table1[[#This Row],[Price]]</f>
        <v>4801.28</v>
      </c>
      <c r="L475" t="str">
        <f>IF(Table1[[#This Row],[Age]]&lt;25,"18-24",IF(Table1[[#This Row],[Age]]&lt;35,"25-34",IF(Table1[[#This Row],[Age]]&lt;45,"35-44",IF(Table1[[#This Row],[Age]]&lt;55,"45-54","55+"))))</f>
        <v>35-44</v>
      </c>
      <c r="M475" t="str">
        <f>TEXT(Table1[[#This Row],[Invoice_date]],"mmm")</f>
        <v>Sep</v>
      </c>
      <c r="N475">
        <f>YEAR(Table1[[#This Row],[Invoice_date]])</f>
        <v>2021</v>
      </c>
    </row>
    <row r="476" spans="1:14" x14ac:dyDescent="0.25">
      <c r="A476" t="s">
        <v>1549</v>
      </c>
      <c r="B476" t="s">
        <v>1550</v>
      </c>
      <c r="C476" t="s">
        <v>12</v>
      </c>
      <c r="D476">
        <v>35</v>
      </c>
      <c r="E476" t="s">
        <v>3</v>
      </c>
      <c r="F476">
        <v>3</v>
      </c>
      <c r="G476">
        <v>900.24</v>
      </c>
      <c r="H476" t="s">
        <v>18</v>
      </c>
      <c r="I476" s="2">
        <v>44811</v>
      </c>
      <c r="J476" t="s">
        <v>30</v>
      </c>
      <c r="K476" s="4">
        <f>Table1[[#This Row],[Quantity]]*Table1[[#This Row],[Price]]</f>
        <v>2700.7200000000003</v>
      </c>
      <c r="L476" t="str">
        <f>IF(Table1[[#This Row],[Age]]&lt;25,"18-24",IF(Table1[[#This Row],[Age]]&lt;35,"25-34",IF(Table1[[#This Row],[Age]]&lt;45,"35-44",IF(Table1[[#This Row],[Age]]&lt;55,"45-54","55+"))))</f>
        <v>35-44</v>
      </c>
      <c r="M476" t="str">
        <f>TEXT(Table1[[#This Row],[Invoice_date]],"mmm")</f>
        <v>Sep</v>
      </c>
      <c r="N476">
        <f>YEAR(Table1[[#This Row],[Invoice_date]])</f>
        <v>2022</v>
      </c>
    </row>
    <row r="477" spans="1:14" x14ac:dyDescent="0.25">
      <c r="A477" t="s">
        <v>1561</v>
      </c>
      <c r="B477" t="s">
        <v>1562</v>
      </c>
      <c r="C477" t="s">
        <v>12</v>
      </c>
      <c r="D477">
        <v>41</v>
      </c>
      <c r="E477" t="s">
        <v>3</v>
      </c>
      <c r="F477">
        <v>3</v>
      </c>
      <c r="G477">
        <v>900.24</v>
      </c>
      <c r="H477" t="s">
        <v>4</v>
      </c>
      <c r="I477" s="2">
        <v>44892</v>
      </c>
      <c r="J477" t="s">
        <v>33</v>
      </c>
      <c r="K477" s="4">
        <f>Table1[[#This Row],[Quantity]]*Table1[[#This Row],[Price]]</f>
        <v>2700.7200000000003</v>
      </c>
      <c r="L477" t="str">
        <f>IF(Table1[[#This Row],[Age]]&lt;25,"18-24",IF(Table1[[#This Row],[Age]]&lt;35,"25-34",IF(Table1[[#This Row],[Age]]&lt;45,"35-44",IF(Table1[[#This Row],[Age]]&lt;55,"45-54","55+"))))</f>
        <v>35-44</v>
      </c>
      <c r="M477" t="str">
        <f>TEXT(Table1[[#This Row],[Invoice_date]],"mmm")</f>
        <v>Nov</v>
      </c>
      <c r="N477">
        <f>YEAR(Table1[[#This Row],[Invoice_date]])</f>
        <v>2022</v>
      </c>
    </row>
    <row r="478" spans="1:14" x14ac:dyDescent="0.25">
      <c r="A478" t="s">
        <v>1563</v>
      </c>
      <c r="B478" t="s">
        <v>1564</v>
      </c>
      <c r="C478" t="s">
        <v>2</v>
      </c>
      <c r="D478">
        <v>38</v>
      </c>
      <c r="E478" t="s">
        <v>3</v>
      </c>
      <c r="F478">
        <v>4</v>
      </c>
      <c r="G478">
        <v>1200.32</v>
      </c>
      <c r="H478" t="s">
        <v>18</v>
      </c>
      <c r="I478" s="2">
        <v>44543</v>
      </c>
      <c r="J478" t="s">
        <v>14</v>
      </c>
      <c r="K478" s="4">
        <f>Table1[[#This Row],[Quantity]]*Table1[[#This Row],[Price]]</f>
        <v>4801.28</v>
      </c>
      <c r="L478" t="str">
        <f>IF(Table1[[#This Row],[Age]]&lt;25,"18-24",IF(Table1[[#This Row],[Age]]&lt;35,"25-34",IF(Table1[[#This Row],[Age]]&lt;45,"35-44",IF(Table1[[#This Row],[Age]]&lt;55,"45-54","55+"))))</f>
        <v>35-44</v>
      </c>
      <c r="M478" t="str">
        <f>TEXT(Table1[[#This Row],[Invoice_date]],"mmm")</f>
        <v>Dec</v>
      </c>
      <c r="N478">
        <f>YEAR(Table1[[#This Row],[Invoice_date]])</f>
        <v>2021</v>
      </c>
    </row>
    <row r="479" spans="1:14" x14ac:dyDescent="0.25">
      <c r="A479" t="s">
        <v>1569</v>
      </c>
      <c r="B479" t="s">
        <v>1570</v>
      </c>
      <c r="C479" t="s">
        <v>2</v>
      </c>
      <c r="D479">
        <v>39</v>
      </c>
      <c r="E479" t="s">
        <v>38</v>
      </c>
      <c r="F479">
        <v>2</v>
      </c>
      <c r="G479">
        <v>1200.3399999999999</v>
      </c>
      <c r="H479" t="s">
        <v>13</v>
      </c>
      <c r="I479" s="2">
        <v>44221</v>
      </c>
      <c r="J479" t="s">
        <v>33</v>
      </c>
      <c r="K479" s="4">
        <f>Table1[[#This Row],[Quantity]]*Table1[[#This Row],[Price]]</f>
        <v>2400.6799999999998</v>
      </c>
      <c r="L479" t="str">
        <f>IF(Table1[[#This Row],[Age]]&lt;25,"18-24",IF(Table1[[#This Row],[Age]]&lt;35,"25-34",IF(Table1[[#This Row],[Age]]&lt;45,"35-44",IF(Table1[[#This Row],[Age]]&lt;55,"45-54","55+"))))</f>
        <v>35-44</v>
      </c>
      <c r="M479" t="str">
        <f>TEXT(Table1[[#This Row],[Invoice_date]],"mmm")</f>
        <v>Jan</v>
      </c>
      <c r="N479">
        <f>YEAR(Table1[[#This Row],[Invoice_date]])</f>
        <v>2021</v>
      </c>
    </row>
    <row r="480" spans="1:14" x14ac:dyDescent="0.25">
      <c r="A480" t="s">
        <v>1575</v>
      </c>
      <c r="B480" t="s">
        <v>1576</v>
      </c>
      <c r="C480" t="s">
        <v>12</v>
      </c>
      <c r="D480">
        <v>44</v>
      </c>
      <c r="E480" t="s">
        <v>27</v>
      </c>
      <c r="F480">
        <v>4</v>
      </c>
      <c r="G480">
        <v>20.92</v>
      </c>
      <c r="H480" t="s">
        <v>13</v>
      </c>
      <c r="I480" s="2">
        <v>44363</v>
      </c>
      <c r="J480" t="s">
        <v>24</v>
      </c>
      <c r="K480" s="4">
        <f>Table1[[#This Row],[Quantity]]*Table1[[#This Row],[Price]]</f>
        <v>83.68</v>
      </c>
      <c r="L480" t="str">
        <f>IF(Table1[[#This Row],[Age]]&lt;25,"18-24",IF(Table1[[#This Row],[Age]]&lt;35,"25-34",IF(Table1[[#This Row],[Age]]&lt;45,"35-44",IF(Table1[[#This Row],[Age]]&lt;55,"45-54","55+"))))</f>
        <v>35-44</v>
      </c>
      <c r="M480" t="str">
        <f>TEXT(Table1[[#This Row],[Invoice_date]],"mmm")</f>
        <v>Jun</v>
      </c>
      <c r="N480">
        <f>YEAR(Table1[[#This Row],[Invoice_date]])</f>
        <v>2021</v>
      </c>
    </row>
    <row r="481" spans="1:14" x14ac:dyDescent="0.25">
      <c r="A481" t="s">
        <v>1577</v>
      </c>
      <c r="B481" t="s">
        <v>1578</v>
      </c>
      <c r="C481" t="s">
        <v>2</v>
      </c>
      <c r="D481">
        <v>41</v>
      </c>
      <c r="E481" t="s">
        <v>46</v>
      </c>
      <c r="F481">
        <v>5</v>
      </c>
      <c r="G481">
        <v>58.65</v>
      </c>
      <c r="H481" t="s">
        <v>13</v>
      </c>
      <c r="I481" s="2">
        <v>44907</v>
      </c>
      <c r="J481" t="s">
        <v>14</v>
      </c>
      <c r="K481" s="4">
        <f>Table1[[#This Row],[Quantity]]*Table1[[#This Row],[Price]]</f>
        <v>293.25</v>
      </c>
      <c r="L481" t="str">
        <f>IF(Table1[[#This Row],[Age]]&lt;25,"18-24",IF(Table1[[#This Row],[Age]]&lt;35,"25-34",IF(Table1[[#This Row],[Age]]&lt;45,"35-44",IF(Table1[[#This Row],[Age]]&lt;55,"45-54","55+"))))</f>
        <v>35-44</v>
      </c>
      <c r="M481" t="str">
        <f>TEXT(Table1[[#This Row],[Invoice_date]],"mmm")</f>
        <v>Dec</v>
      </c>
      <c r="N481">
        <f>YEAR(Table1[[#This Row],[Invoice_date]])</f>
        <v>2022</v>
      </c>
    </row>
    <row r="482" spans="1:14" x14ac:dyDescent="0.25">
      <c r="A482" t="s">
        <v>1609</v>
      </c>
      <c r="B482" t="s">
        <v>1610</v>
      </c>
      <c r="C482" t="s">
        <v>2</v>
      </c>
      <c r="D482">
        <v>35</v>
      </c>
      <c r="E482" t="s">
        <v>3</v>
      </c>
      <c r="F482">
        <v>5</v>
      </c>
      <c r="G482">
        <v>1500.4</v>
      </c>
      <c r="H482" t="s">
        <v>4</v>
      </c>
      <c r="I482" s="2">
        <v>44885</v>
      </c>
      <c r="J482" t="s">
        <v>74</v>
      </c>
      <c r="K482" s="4">
        <f>Table1[[#This Row],[Quantity]]*Table1[[#This Row],[Price]]</f>
        <v>7502</v>
      </c>
      <c r="L482" t="str">
        <f>IF(Table1[[#This Row],[Age]]&lt;25,"18-24",IF(Table1[[#This Row],[Age]]&lt;35,"25-34",IF(Table1[[#This Row],[Age]]&lt;45,"35-44",IF(Table1[[#This Row],[Age]]&lt;55,"45-54","55+"))))</f>
        <v>35-44</v>
      </c>
      <c r="M482" t="str">
        <f>TEXT(Table1[[#This Row],[Invoice_date]],"mmm")</f>
        <v>Nov</v>
      </c>
      <c r="N482">
        <f>YEAR(Table1[[#This Row],[Invoice_date]])</f>
        <v>2022</v>
      </c>
    </row>
    <row r="483" spans="1:14" x14ac:dyDescent="0.25">
      <c r="A483" t="s">
        <v>1611</v>
      </c>
      <c r="B483" t="s">
        <v>1612</v>
      </c>
      <c r="C483" t="s">
        <v>2</v>
      </c>
      <c r="D483">
        <v>35</v>
      </c>
      <c r="E483" t="s">
        <v>3</v>
      </c>
      <c r="F483">
        <v>1</v>
      </c>
      <c r="G483">
        <v>300.08</v>
      </c>
      <c r="H483" t="s">
        <v>18</v>
      </c>
      <c r="I483" s="2">
        <v>44230</v>
      </c>
      <c r="J483" t="s">
        <v>33</v>
      </c>
      <c r="K483" s="4">
        <f>Table1[[#This Row],[Quantity]]*Table1[[#This Row],[Price]]</f>
        <v>300.08</v>
      </c>
      <c r="L483" t="str">
        <f>IF(Table1[[#This Row],[Age]]&lt;25,"18-24",IF(Table1[[#This Row],[Age]]&lt;35,"25-34",IF(Table1[[#This Row],[Age]]&lt;45,"35-44",IF(Table1[[#This Row],[Age]]&lt;55,"45-54","55+"))))</f>
        <v>35-44</v>
      </c>
      <c r="M483" t="str">
        <f>TEXT(Table1[[#This Row],[Invoice_date]],"mmm")</f>
        <v>Feb</v>
      </c>
      <c r="N483">
        <f>YEAR(Table1[[#This Row],[Invoice_date]])</f>
        <v>2021</v>
      </c>
    </row>
    <row r="484" spans="1:14" x14ac:dyDescent="0.25">
      <c r="A484" t="s">
        <v>1617</v>
      </c>
      <c r="B484" t="s">
        <v>1618</v>
      </c>
      <c r="C484" t="s">
        <v>12</v>
      </c>
      <c r="D484">
        <v>35</v>
      </c>
      <c r="E484" t="s">
        <v>46</v>
      </c>
      <c r="F484">
        <v>4</v>
      </c>
      <c r="G484">
        <v>46.92</v>
      </c>
      <c r="H484" t="s">
        <v>18</v>
      </c>
      <c r="I484" s="2">
        <v>44913</v>
      </c>
      <c r="J484" t="s">
        <v>14</v>
      </c>
      <c r="K484" s="4">
        <f>Table1[[#This Row],[Quantity]]*Table1[[#This Row],[Price]]</f>
        <v>187.68</v>
      </c>
      <c r="L484" t="str">
        <f>IF(Table1[[#This Row],[Age]]&lt;25,"18-24",IF(Table1[[#This Row],[Age]]&lt;35,"25-34",IF(Table1[[#This Row],[Age]]&lt;45,"35-44",IF(Table1[[#This Row],[Age]]&lt;55,"45-54","55+"))))</f>
        <v>35-44</v>
      </c>
      <c r="M484" t="str">
        <f>TEXT(Table1[[#This Row],[Invoice_date]],"mmm")</f>
        <v>Dec</v>
      </c>
      <c r="N484">
        <f>YEAR(Table1[[#This Row],[Invoice_date]])</f>
        <v>2022</v>
      </c>
    </row>
    <row r="485" spans="1:14" x14ac:dyDescent="0.25">
      <c r="A485" t="s">
        <v>1619</v>
      </c>
      <c r="B485" t="s">
        <v>1620</v>
      </c>
      <c r="C485" t="s">
        <v>12</v>
      </c>
      <c r="D485">
        <v>41</v>
      </c>
      <c r="E485" t="s">
        <v>38</v>
      </c>
      <c r="F485">
        <v>2</v>
      </c>
      <c r="G485">
        <v>1200.3399999999999</v>
      </c>
      <c r="H485" t="s">
        <v>18</v>
      </c>
      <c r="I485" s="2">
        <v>44819</v>
      </c>
      <c r="J485" t="s">
        <v>50</v>
      </c>
      <c r="K485" s="4">
        <f>Table1[[#This Row],[Quantity]]*Table1[[#This Row],[Price]]</f>
        <v>2400.6799999999998</v>
      </c>
      <c r="L485" t="str">
        <f>IF(Table1[[#This Row],[Age]]&lt;25,"18-24",IF(Table1[[#This Row],[Age]]&lt;35,"25-34",IF(Table1[[#This Row],[Age]]&lt;45,"35-44",IF(Table1[[#This Row],[Age]]&lt;55,"45-54","55+"))))</f>
        <v>35-44</v>
      </c>
      <c r="M485" t="str">
        <f>TEXT(Table1[[#This Row],[Invoice_date]],"mmm")</f>
        <v>Sep</v>
      </c>
      <c r="N485">
        <f>YEAR(Table1[[#This Row],[Invoice_date]])</f>
        <v>2022</v>
      </c>
    </row>
    <row r="486" spans="1:14" x14ac:dyDescent="0.25">
      <c r="A486" t="s">
        <v>1687</v>
      </c>
      <c r="B486" t="s">
        <v>1688</v>
      </c>
      <c r="C486" t="s">
        <v>2</v>
      </c>
      <c r="D486">
        <v>43</v>
      </c>
      <c r="E486" t="s">
        <v>8</v>
      </c>
      <c r="F486">
        <v>4</v>
      </c>
      <c r="G486">
        <v>162.63999999999999</v>
      </c>
      <c r="H486" t="s">
        <v>18</v>
      </c>
      <c r="I486" s="2">
        <v>44889</v>
      </c>
      <c r="J486" t="s">
        <v>30</v>
      </c>
      <c r="K486" s="4">
        <f>Table1[[#This Row],[Quantity]]*Table1[[#This Row],[Price]]</f>
        <v>650.55999999999995</v>
      </c>
      <c r="L486" t="str">
        <f>IF(Table1[[#This Row],[Age]]&lt;25,"18-24",IF(Table1[[#This Row],[Age]]&lt;35,"25-34",IF(Table1[[#This Row],[Age]]&lt;45,"35-44",IF(Table1[[#This Row],[Age]]&lt;55,"45-54","55+"))))</f>
        <v>35-44</v>
      </c>
      <c r="M486" t="str">
        <f>TEXT(Table1[[#This Row],[Invoice_date]],"mmm")</f>
        <v>Nov</v>
      </c>
      <c r="N486">
        <f>YEAR(Table1[[#This Row],[Invoice_date]])</f>
        <v>2022</v>
      </c>
    </row>
    <row r="487" spans="1:14" x14ac:dyDescent="0.25">
      <c r="A487" t="s">
        <v>1691</v>
      </c>
      <c r="B487" t="s">
        <v>1692</v>
      </c>
      <c r="C487" t="s">
        <v>12</v>
      </c>
      <c r="D487">
        <v>36</v>
      </c>
      <c r="E487" t="s">
        <v>3</v>
      </c>
      <c r="F487">
        <v>3</v>
      </c>
      <c r="G487">
        <v>900.24</v>
      </c>
      <c r="H487" t="s">
        <v>4</v>
      </c>
      <c r="I487" s="2">
        <v>44249</v>
      </c>
      <c r="J487" t="s">
        <v>24</v>
      </c>
      <c r="K487" s="4">
        <f>Table1[[#This Row],[Quantity]]*Table1[[#This Row],[Price]]</f>
        <v>2700.7200000000003</v>
      </c>
      <c r="L487" t="str">
        <f>IF(Table1[[#This Row],[Age]]&lt;25,"18-24",IF(Table1[[#This Row],[Age]]&lt;35,"25-34",IF(Table1[[#This Row],[Age]]&lt;45,"35-44",IF(Table1[[#This Row],[Age]]&lt;55,"45-54","55+"))))</f>
        <v>35-44</v>
      </c>
      <c r="M487" t="str">
        <f>TEXT(Table1[[#This Row],[Invoice_date]],"mmm")</f>
        <v>Feb</v>
      </c>
      <c r="N487">
        <f>YEAR(Table1[[#This Row],[Invoice_date]])</f>
        <v>2021</v>
      </c>
    </row>
    <row r="488" spans="1:14" x14ac:dyDescent="0.25">
      <c r="A488" t="s">
        <v>1695</v>
      </c>
      <c r="B488" t="s">
        <v>1696</v>
      </c>
      <c r="C488" t="s">
        <v>2</v>
      </c>
      <c r="D488">
        <v>44</v>
      </c>
      <c r="E488" t="s">
        <v>3</v>
      </c>
      <c r="F488">
        <v>3</v>
      </c>
      <c r="G488">
        <v>900.24</v>
      </c>
      <c r="H488" t="s">
        <v>13</v>
      </c>
      <c r="I488" s="2">
        <v>44861</v>
      </c>
      <c r="J488" t="s">
        <v>63</v>
      </c>
      <c r="K488" s="4">
        <f>Table1[[#This Row],[Quantity]]*Table1[[#This Row],[Price]]</f>
        <v>2700.7200000000003</v>
      </c>
      <c r="L488" t="str">
        <f>IF(Table1[[#This Row],[Age]]&lt;25,"18-24",IF(Table1[[#This Row],[Age]]&lt;35,"25-34",IF(Table1[[#This Row],[Age]]&lt;45,"35-44",IF(Table1[[#This Row],[Age]]&lt;55,"45-54","55+"))))</f>
        <v>35-44</v>
      </c>
      <c r="M488" t="str">
        <f>TEXT(Table1[[#This Row],[Invoice_date]],"mmm")</f>
        <v>Oct</v>
      </c>
      <c r="N488">
        <f>YEAR(Table1[[#This Row],[Invoice_date]])</f>
        <v>2022</v>
      </c>
    </row>
    <row r="489" spans="1:14" x14ac:dyDescent="0.25">
      <c r="A489" t="s">
        <v>1705</v>
      </c>
      <c r="B489" t="s">
        <v>1706</v>
      </c>
      <c r="C489" t="s">
        <v>12</v>
      </c>
      <c r="D489">
        <v>37</v>
      </c>
      <c r="E489" t="s">
        <v>27</v>
      </c>
      <c r="F489">
        <v>3</v>
      </c>
      <c r="G489">
        <v>15.69</v>
      </c>
      <c r="H489" t="s">
        <v>18</v>
      </c>
      <c r="I489" s="2">
        <v>44644</v>
      </c>
      <c r="J489" t="s">
        <v>74</v>
      </c>
      <c r="K489" s="4">
        <f>Table1[[#This Row],[Quantity]]*Table1[[#This Row],[Price]]</f>
        <v>47.07</v>
      </c>
      <c r="L489" t="str">
        <f>IF(Table1[[#This Row],[Age]]&lt;25,"18-24",IF(Table1[[#This Row],[Age]]&lt;35,"25-34",IF(Table1[[#This Row],[Age]]&lt;45,"35-44",IF(Table1[[#This Row],[Age]]&lt;55,"45-54","55+"))))</f>
        <v>35-44</v>
      </c>
      <c r="M489" t="str">
        <f>TEXT(Table1[[#This Row],[Invoice_date]],"mmm")</f>
        <v>Mar</v>
      </c>
      <c r="N489">
        <f>YEAR(Table1[[#This Row],[Invoice_date]])</f>
        <v>2022</v>
      </c>
    </row>
    <row r="490" spans="1:14" x14ac:dyDescent="0.25">
      <c r="A490" t="s">
        <v>1731</v>
      </c>
      <c r="B490" t="s">
        <v>1732</v>
      </c>
      <c r="C490" t="s">
        <v>2</v>
      </c>
      <c r="D490">
        <v>43</v>
      </c>
      <c r="E490" t="s">
        <v>38</v>
      </c>
      <c r="F490">
        <v>2</v>
      </c>
      <c r="G490">
        <v>1200.3399999999999</v>
      </c>
      <c r="H490" t="s">
        <v>18</v>
      </c>
      <c r="I490" s="2">
        <v>44958</v>
      </c>
      <c r="J490" t="s">
        <v>9</v>
      </c>
      <c r="K490" s="4">
        <f>Table1[[#This Row],[Quantity]]*Table1[[#This Row],[Price]]</f>
        <v>2400.6799999999998</v>
      </c>
      <c r="L490" t="str">
        <f>IF(Table1[[#This Row],[Age]]&lt;25,"18-24",IF(Table1[[#This Row],[Age]]&lt;35,"25-34",IF(Table1[[#This Row],[Age]]&lt;45,"35-44",IF(Table1[[#This Row],[Age]]&lt;55,"45-54","55+"))))</f>
        <v>35-44</v>
      </c>
      <c r="M490" t="str">
        <f>TEXT(Table1[[#This Row],[Invoice_date]],"mmm")</f>
        <v>Feb</v>
      </c>
      <c r="N490">
        <f>YEAR(Table1[[#This Row],[Invoice_date]])</f>
        <v>2023</v>
      </c>
    </row>
    <row r="491" spans="1:14" x14ac:dyDescent="0.25">
      <c r="A491" t="s">
        <v>1735</v>
      </c>
      <c r="B491" t="s">
        <v>1736</v>
      </c>
      <c r="C491" t="s">
        <v>12</v>
      </c>
      <c r="D491">
        <v>35</v>
      </c>
      <c r="E491" t="s">
        <v>8</v>
      </c>
      <c r="F491">
        <v>5</v>
      </c>
      <c r="G491">
        <v>203.3</v>
      </c>
      <c r="H491" t="s">
        <v>4</v>
      </c>
      <c r="I491" s="2">
        <v>44521</v>
      </c>
      <c r="J491" t="s">
        <v>30</v>
      </c>
      <c r="K491" s="4">
        <f>Table1[[#This Row],[Quantity]]*Table1[[#This Row],[Price]]</f>
        <v>1016.5</v>
      </c>
      <c r="L491" t="str">
        <f>IF(Table1[[#This Row],[Age]]&lt;25,"18-24",IF(Table1[[#This Row],[Age]]&lt;35,"25-34",IF(Table1[[#This Row],[Age]]&lt;45,"35-44",IF(Table1[[#This Row],[Age]]&lt;55,"45-54","55+"))))</f>
        <v>35-44</v>
      </c>
      <c r="M491" t="str">
        <f>TEXT(Table1[[#This Row],[Invoice_date]],"mmm")</f>
        <v>Nov</v>
      </c>
      <c r="N491">
        <f>YEAR(Table1[[#This Row],[Invoice_date]])</f>
        <v>2021</v>
      </c>
    </row>
    <row r="492" spans="1:14" x14ac:dyDescent="0.25">
      <c r="A492" t="s">
        <v>1741</v>
      </c>
      <c r="B492" t="s">
        <v>1742</v>
      </c>
      <c r="C492" t="s">
        <v>2</v>
      </c>
      <c r="D492">
        <v>43</v>
      </c>
      <c r="E492" t="s">
        <v>17</v>
      </c>
      <c r="F492">
        <v>5</v>
      </c>
      <c r="G492">
        <v>75.75</v>
      </c>
      <c r="H492" t="s">
        <v>18</v>
      </c>
      <c r="I492" s="2">
        <v>44397</v>
      </c>
      <c r="J492" t="s">
        <v>24</v>
      </c>
      <c r="K492" s="4">
        <f>Table1[[#This Row],[Quantity]]*Table1[[#This Row],[Price]]</f>
        <v>378.75</v>
      </c>
      <c r="L492" t="str">
        <f>IF(Table1[[#This Row],[Age]]&lt;25,"18-24",IF(Table1[[#This Row],[Age]]&lt;35,"25-34",IF(Table1[[#This Row],[Age]]&lt;45,"35-44",IF(Table1[[#This Row],[Age]]&lt;55,"45-54","55+"))))</f>
        <v>35-44</v>
      </c>
      <c r="M492" t="str">
        <f>TEXT(Table1[[#This Row],[Invoice_date]],"mmm")</f>
        <v>Jul</v>
      </c>
      <c r="N492">
        <f>YEAR(Table1[[#This Row],[Invoice_date]])</f>
        <v>2021</v>
      </c>
    </row>
    <row r="493" spans="1:14" x14ac:dyDescent="0.25">
      <c r="A493" t="s">
        <v>1745</v>
      </c>
      <c r="B493" t="s">
        <v>1746</v>
      </c>
      <c r="C493" t="s">
        <v>2</v>
      </c>
      <c r="D493">
        <v>40</v>
      </c>
      <c r="E493" t="s">
        <v>3</v>
      </c>
      <c r="F493">
        <v>1</v>
      </c>
      <c r="G493">
        <v>300.08</v>
      </c>
      <c r="H493" t="s">
        <v>18</v>
      </c>
      <c r="I493" s="2">
        <v>44512</v>
      </c>
      <c r="J493" t="s">
        <v>33</v>
      </c>
      <c r="K493" s="4">
        <f>Table1[[#This Row],[Quantity]]*Table1[[#This Row],[Price]]</f>
        <v>300.08</v>
      </c>
      <c r="L493" t="str">
        <f>IF(Table1[[#This Row],[Age]]&lt;25,"18-24",IF(Table1[[#This Row],[Age]]&lt;35,"25-34",IF(Table1[[#This Row],[Age]]&lt;45,"35-44",IF(Table1[[#This Row],[Age]]&lt;55,"45-54","55+"))))</f>
        <v>35-44</v>
      </c>
      <c r="M493" t="str">
        <f>TEXT(Table1[[#This Row],[Invoice_date]],"mmm")</f>
        <v>Nov</v>
      </c>
      <c r="N493">
        <f>YEAR(Table1[[#This Row],[Invoice_date]])</f>
        <v>2021</v>
      </c>
    </row>
    <row r="494" spans="1:14" x14ac:dyDescent="0.25">
      <c r="A494" t="s">
        <v>1753</v>
      </c>
      <c r="B494" t="s">
        <v>1754</v>
      </c>
      <c r="C494" t="s">
        <v>12</v>
      </c>
      <c r="D494">
        <v>41</v>
      </c>
      <c r="E494" t="s">
        <v>3</v>
      </c>
      <c r="F494">
        <v>3</v>
      </c>
      <c r="G494">
        <v>900.24</v>
      </c>
      <c r="H494" t="s">
        <v>18</v>
      </c>
      <c r="I494" s="2">
        <v>44892</v>
      </c>
      <c r="J494" t="s">
        <v>33</v>
      </c>
      <c r="K494" s="4">
        <f>Table1[[#This Row],[Quantity]]*Table1[[#This Row],[Price]]</f>
        <v>2700.7200000000003</v>
      </c>
      <c r="L494" t="str">
        <f>IF(Table1[[#This Row],[Age]]&lt;25,"18-24",IF(Table1[[#This Row],[Age]]&lt;35,"25-34",IF(Table1[[#This Row],[Age]]&lt;45,"35-44",IF(Table1[[#This Row],[Age]]&lt;55,"45-54","55+"))))</f>
        <v>35-44</v>
      </c>
      <c r="M494" t="str">
        <f>TEXT(Table1[[#This Row],[Invoice_date]],"mmm")</f>
        <v>Nov</v>
      </c>
      <c r="N494">
        <f>YEAR(Table1[[#This Row],[Invoice_date]])</f>
        <v>2022</v>
      </c>
    </row>
    <row r="495" spans="1:14" x14ac:dyDescent="0.25">
      <c r="A495" t="s">
        <v>1757</v>
      </c>
      <c r="B495" t="s">
        <v>1758</v>
      </c>
      <c r="C495" t="s">
        <v>12</v>
      </c>
      <c r="D495">
        <v>35</v>
      </c>
      <c r="E495" t="s">
        <v>46</v>
      </c>
      <c r="F495">
        <v>3</v>
      </c>
      <c r="G495">
        <v>35.19</v>
      </c>
      <c r="H495" t="s">
        <v>18</v>
      </c>
      <c r="I495" s="2">
        <v>44475</v>
      </c>
      <c r="J495" t="s">
        <v>50</v>
      </c>
      <c r="K495" s="4">
        <f>Table1[[#This Row],[Quantity]]*Table1[[#This Row],[Price]]</f>
        <v>105.57</v>
      </c>
      <c r="L495" t="str">
        <f>IF(Table1[[#This Row],[Age]]&lt;25,"18-24",IF(Table1[[#This Row],[Age]]&lt;35,"25-34",IF(Table1[[#This Row],[Age]]&lt;45,"35-44",IF(Table1[[#This Row],[Age]]&lt;55,"45-54","55+"))))</f>
        <v>35-44</v>
      </c>
      <c r="M495" t="str">
        <f>TEXT(Table1[[#This Row],[Invoice_date]],"mmm")</f>
        <v>Oct</v>
      </c>
      <c r="N495">
        <f>YEAR(Table1[[#This Row],[Invoice_date]])</f>
        <v>2021</v>
      </c>
    </row>
    <row r="496" spans="1:14" x14ac:dyDescent="0.25">
      <c r="A496" t="s">
        <v>1767</v>
      </c>
      <c r="B496" t="s">
        <v>1768</v>
      </c>
      <c r="C496" t="s">
        <v>12</v>
      </c>
      <c r="D496">
        <v>40</v>
      </c>
      <c r="E496" t="s">
        <v>21</v>
      </c>
      <c r="F496">
        <v>5</v>
      </c>
      <c r="G496">
        <v>5250</v>
      </c>
      <c r="H496" t="s">
        <v>18</v>
      </c>
      <c r="I496" s="2">
        <v>44845</v>
      </c>
      <c r="J496" t="s">
        <v>14</v>
      </c>
      <c r="K496" s="4">
        <f>Table1[[#This Row],[Quantity]]*Table1[[#This Row],[Price]]</f>
        <v>26250</v>
      </c>
      <c r="L496" t="str">
        <f>IF(Table1[[#This Row],[Age]]&lt;25,"18-24",IF(Table1[[#This Row],[Age]]&lt;35,"25-34",IF(Table1[[#This Row],[Age]]&lt;45,"35-44",IF(Table1[[#This Row],[Age]]&lt;55,"45-54","55+"))))</f>
        <v>35-44</v>
      </c>
      <c r="M496" t="str">
        <f>TEXT(Table1[[#This Row],[Invoice_date]],"mmm")</f>
        <v>Oct</v>
      </c>
      <c r="N496">
        <f>YEAR(Table1[[#This Row],[Invoice_date]])</f>
        <v>2022</v>
      </c>
    </row>
    <row r="497" spans="1:14" x14ac:dyDescent="0.25">
      <c r="A497" t="s">
        <v>1773</v>
      </c>
      <c r="B497" t="s">
        <v>1774</v>
      </c>
      <c r="C497" t="s">
        <v>2</v>
      </c>
      <c r="D497">
        <v>41</v>
      </c>
      <c r="E497" t="s">
        <v>3</v>
      </c>
      <c r="F497">
        <v>3</v>
      </c>
      <c r="G497">
        <v>900.24</v>
      </c>
      <c r="H497" t="s">
        <v>13</v>
      </c>
      <c r="I497" s="2">
        <v>44854</v>
      </c>
      <c r="J497" t="s">
        <v>74</v>
      </c>
      <c r="K497" s="4">
        <f>Table1[[#This Row],[Quantity]]*Table1[[#This Row],[Price]]</f>
        <v>2700.7200000000003</v>
      </c>
      <c r="L497" t="str">
        <f>IF(Table1[[#This Row],[Age]]&lt;25,"18-24",IF(Table1[[#This Row],[Age]]&lt;35,"25-34",IF(Table1[[#This Row],[Age]]&lt;45,"35-44",IF(Table1[[#This Row],[Age]]&lt;55,"45-54","55+"))))</f>
        <v>35-44</v>
      </c>
      <c r="M497" t="str">
        <f>TEXT(Table1[[#This Row],[Invoice_date]],"mmm")</f>
        <v>Oct</v>
      </c>
      <c r="N497">
        <f>YEAR(Table1[[#This Row],[Invoice_date]])</f>
        <v>2022</v>
      </c>
    </row>
    <row r="498" spans="1:14" x14ac:dyDescent="0.25">
      <c r="A498" t="s">
        <v>1785</v>
      </c>
      <c r="B498" t="s">
        <v>1786</v>
      </c>
      <c r="C498" t="s">
        <v>12</v>
      </c>
      <c r="D498">
        <v>44</v>
      </c>
      <c r="E498" t="s">
        <v>3</v>
      </c>
      <c r="F498">
        <v>1</v>
      </c>
      <c r="G498">
        <v>300.08</v>
      </c>
      <c r="H498" t="s">
        <v>18</v>
      </c>
      <c r="I498" s="2">
        <v>44199</v>
      </c>
      <c r="J498" t="s">
        <v>24</v>
      </c>
      <c r="K498" s="4">
        <f>Table1[[#This Row],[Quantity]]*Table1[[#This Row],[Price]]</f>
        <v>300.08</v>
      </c>
      <c r="L498" t="str">
        <f>IF(Table1[[#This Row],[Age]]&lt;25,"18-24",IF(Table1[[#This Row],[Age]]&lt;35,"25-34",IF(Table1[[#This Row],[Age]]&lt;45,"35-44",IF(Table1[[#This Row],[Age]]&lt;55,"45-54","55+"))))</f>
        <v>35-44</v>
      </c>
      <c r="M498" t="str">
        <f>TEXT(Table1[[#This Row],[Invoice_date]],"mmm")</f>
        <v>Jan</v>
      </c>
      <c r="N498">
        <f>YEAR(Table1[[#This Row],[Invoice_date]])</f>
        <v>2021</v>
      </c>
    </row>
    <row r="499" spans="1:14" x14ac:dyDescent="0.25">
      <c r="A499" t="s">
        <v>1801</v>
      </c>
      <c r="B499" t="s">
        <v>1802</v>
      </c>
      <c r="C499" t="s">
        <v>12</v>
      </c>
      <c r="D499">
        <v>35</v>
      </c>
      <c r="E499" t="s">
        <v>27</v>
      </c>
      <c r="F499">
        <v>1</v>
      </c>
      <c r="G499">
        <v>5.23</v>
      </c>
      <c r="H499" t="s">
        <v>4</v>
      </c>
      <c r="I499" s="2">
        <v>44896</v>
      </c>
      <c r="J499" t="s">
        <v>50</v>
      </c>
      <c r="K499" s="4">
        <f>Table1[[#This Row],[Quantity]]*Table1[[#This Row],[Price]]</f>
        <v>5.23</v>
      </c>
      <c r="L499" t="str">
        <f>IF(Table1[[#This Row],[Age]]&lt;25,"18-24",IF(Table1[[#This Row],[Age]]&lt;35,"25-34",IF(Table1[[#This Row],[Age]]&lt;45,"35-44",IF(Table1[[#This Row],[Age]]&lt;55,"45-54","55+"))))</f>
        <v>35-44</v>
      </c>
      <c r="M499" t="str">
        <f>TEXT(Table1[[#This Row],[Invoice_date]],"mmm")</f>
        <v>Dec</v>
      </c>
      <c r="N499">
        <f>YEAR(Table1[[#This Row],[Invoice_date]])</f>
        <v>2022</v>
      </c>
    </row>
    <row r="500" spans="1:14" x14ac:dyDescent="0.25">
      <c r="A500" t="s">
        <v>1809</v>
      </c>
      <c r="B500" t="s">
        <v>1810</v>
      </c>
      <c r="C500" t="s">
        <v>12</v>
      </c>
      <c r="D500">
        <v>41</v>
      </c>
      <c r="E500" t="s">
        <v>3</v>
      </c>
      <c r="F500">
        <v>3</v>
      </c>
      <c r="G500">
        <v>900.24</v>
      </c>
      <c r="H500" t="s">
        <v>18</v>
      </c>
      <c r="I500" s="2">
        <v>44792</v>
      </c>
      <c r="J500" t="s">
        <v>50</v>
      </c>
      <c r="K500" s="4">
        <f>Table1[[#This Row],[Quantity]]*Table1[[#This Row],[Price]]</f>
        <v>2700.7200000000003</v>
      </c>
      <c r="L500" t="str">
        <f>IF(Table1[[#This Row],[Age]]&lt;25,"18-24",IF(Table1[[#This Row],[Age]]&lt;35,"25-34",IF(Table1[[#This Row],[Age]]&lt;45,"35-44",IF(Table1[[#This Row],[Age]]&lt;55,"45-54","55+"))))</f>
        <v>35-44</v>
      </c>
      <c r="M500" t="str">
        <f>TEXT(Table1[[#This Row],[Invoice_date]],"mmm")</f>
        <v>Aug</v>
      </c>
      <c r="N500">
        <f>YEAR(Table1[[#This Row],[Invoice_date]])</f>
        <v>2022</v>
      </c>
    </row>
    <row r="501" spans="1:14" x14ac:dyDescent="0.25">
      <c r="A501" t="s">
        <v>1811</v>
      </c>
      <c r="B501" t="s">
        <v>1812</v>
      </c>
      <c r="C501" t="s">
        <v>2</v>
      </c>
      <c r="D501">
        <v>40</v>
      </c>
      <c r="E501" t="s">
        <v>17</v>
      </c>
      <c r="F501">
        <v>2</v>
      </c>
      <c r="G501">
        <v>30.3</v>
      </c>
      <c r="H501" t="s">
        <v>13</v>
      </c>
      <c r="I501" s="2">
        <v>44203</v>
      </c>
      <c r="J501" t="s">
        <v>5</v>
      </c>
      <c r="K501" s="4">
        <f>Table1[[#This Row],[Quantity]]*Table1[[#This Row],[Price]]</f>
        <v>60.6</v>
      </c>
      <c r="L501" t="str">
        <f>IF(Table1[[#This Row],[Age]]&lt;25,"18-24",IF(Table1[[#This Row],[Age]]&lt;35,"25-34",IF(Table1[[#This Row],[Age]]&lt;45,"35-44",IF(Table1[[#This Row],[Age]]&lt;55,"45-54","55+"))))</f>
        <v>35-44</v>
      </c>
      <c r="M501" t="str">
        <f>TEXT(Table1[[#This Row],[Invoice_date]],"mmm")</f>
        <v>Jan</v>
      </c>
      <c r="N501">
        <f>YEAR(Table1[[#This Row],[Invoice_date]])</f>
        <v>2021</v>
      </c>
    </row>
    <row r="502" spans="1:14" x14ac:dyDescent="0.25">
      <c r="A502" t="s">
        <v>1815</v>
      </c>
      <c r="B502" t="s">
        <v>1816</v>
      </c>
      <c r="C502" t="s">
        <v>12</v>
      </c>
      <c r="D502">
        <v>35</v>
      </c>
      <c r="E502" t="s">
        <v>8</v>
      </c>
      <c r="F502">
        <v>1</v>
      </c>
      <c r="G502">
        <v>40.659999999999997</v>
      </c>
      <c r="H502" t="s">
        <v>18</v>
      </c>
      <c r="I502" s="2">
        <v>44931</v>
      </c>
      <c r="J502" t="s">
        <v>33</v>
      </c>
      <c r="K502" s="4">
        <f>Table1[[#This Row],[Quantity]]*Table1[[#This Row],[Price]]</f>
        <v>40.659999999999997</v>
      </c>
      <c r="L502" t="str">
        <f>IF(Table1[[#This Row],[Age]]&lt;25,"18-24",IF(Table1[[#This Row],[Age]]&lt;35,"25-34",IF(Table1[[#This Row],[Age]]&lt;45,"35-44",IF(Table1[[#This Row],[Age]]&lt;55,"45-54","55+"))))</f>
        <v>35-44</v>
      </c>
      <c r="M502" t="str">
        <f>TEXT(Table1[[#This Row],[Invoice_date]],"mmm")</f>
        <v>Jan</v>
      </c>
      <c r="N502">
        <f>YEAR(Table1[[#This Row],[Invoice_date]])</f>
        <v>2023</v>
      </c>
    </row>
    <row r="503" spans="1:14" x14ac:dyDescent="0.25">
      <c r="A503" t="s">
        <v>1823</v>
      </c>
      <c r="B503" t="s">
        <v>1824</v>
      </c>
      <c r="C503" t="s">
        <v>12</v>
      </c>
      <c r="D503">
        <v>35</v>
      </c>
      <c r="E503" t="s">
        <v>3</v>
      </c>
      <c r="F503">
        <v>2</v>
      </c>
      <c r="G503">
        <v>600.16</v>
      </c>
      <c r="H503" t="s">
        <v>4</v>
      </c>
      <c r="I503" s="2">
        <v>44741</v>
      </c>
      <c r="J503" t="s">
        <v>5</v>
      </c>
      <c r="K503" s="4">
        <f>Table1[[#This Row],[Quantity]]*Table1[[#This Row],[Price]]</f>
        <v>1200.32</v>
      </c>
      <c r="L503" t="str">
        <f>IF(Table1[[#This Row],[Age]]&lt;25,"18-24",IF(Table1[[#This Row],[Age]]&lt;35,"25-34",IF(Table1[[#This Row],[Age]]&lt;45,"35-44",IF(Table1[[#This Row],[Age]]&lt;55,"45-54","55+"))))</f>
        <v>35-44</v>
      </c>
      <c r="M503" t="str">
        <f>TEXT(Table1[[#This Row],[Invoice_date]],"mmm")</f>
        <v>Jun</v>
      </c>
      <c r="N503">
        <f>YEAR(Table1[[#This Row],[Invoice_date]])</f>
        <v>2022</v>
      </c>
    </row>
    <row r="504" spans="1:14" x14ac:dyDescent="0.25">
      <c r="A504" t="s">
        <v>1827</v>
      </c>
      <c r="B504" t="s">
        <v>1828</v>
      </c>
      <c r="C504" t="s">
        <v>2</v>
      </c>
      <c r="D504">
        <v>35</v>
      </c>
      <c r="E504" t="s">
        <v>46</v>
      </c>
      <c r="F504">
        <v>1</v>
      </c>
      <c r="G504">
        <v>11.73</v>
      </c>
      <c r="H504" t="s">
        <v>18</v>
      </c>
      <c r="I504" s="2">
        <v>44759</v>
      </c>
      <c r="J504" t="s">
        <v>33</v>
      </c>
      <c r="K504" s="4">
        <f>Table1[[#This Row],[Quantity]]*Table1[[#This Row],[Price]]</f>
        <v>11.73</v>
      </c>
      <c r="L504" t="str">
        <f>IF(Table1[[#This Row],[Age]]&lt;25,"18-24",IF(Table1[[#This Row],[Age]]&lt;35,"25-34",IF(Table1[[#This Row],[Age]]&lt;45,"35-44",IF(Table1[[#This Row],[Age]]&lt;55,"45-54","55+"))))</f>
        <v>35-44</v>
      </c>
      <c r="M504" t="str">
        <f>TEXT(Table1[[#This Row],[Invoice_date]],"mmm")</f>
        <v>Jul</v>
      </c>
      <c r="N504">
        <f>YEAR(Table1[[#This Row],[Invoice_date]])</f>
        <v>2022</v>
      </c>
    </row>
    <row r="505" spans="1:14" x14ac:dyDescent="0.25">
      <c r="A505" t="s">
        <v>1833</v>
      </c>
      <c r="B505" t="s">
        <v>1834</v>
      </c>
      <c r="C505" t="s">
        <v>12</v>
      </c>
      <c r="D505">
        <v>40</v>
      </c>
      <c r="E505" t="s">
        <v>38</v>
      </c>
      <c r="F505">
        <v>1</v>
      </c>
      <c r="G505">
        <v>600.16999999999996</v>
      </c>
      <c r="H505" t="s">
        <v>18</v>
      </c>
      <c r="I505" s="2">
        <v>44563</v>
      </c>
      <c r="J505" t="s">
        <v>9</v>
      </c>
      <c r="K505" s="4">
        <f>Table1[[#This Row],[Quantity]]*Table1[[#This Row],[Price]]</f>
        <v>600.16999999999996</v>
      </c>
      <c r="L505" t="str">
        <f>IF(Table1[[#This Row],[Age]]&lt;25,"18-24",IF(Table1[[#This Row],[Age]]&lt;35,"25-34",IF(Table1[[#This Row],[Age]]&lt;45,"35-44",IF(Table1[[#This Row],[Age]]&lt;55,"45-54","55+"))))</f>
        <v>35-44</v>
      </c>
      <c r="M505" t="str">
        <f>TEXT(Table1[[#This Row],[Invoice_date]],"mmm")</f>
        <v>Jan</v>
      </c>
      <c r="N505">
        <f>YEAR(Table1[[#This Row],[Invoice_date]])</f>
        <v>2022</v>
      </c>
    </row>
    <row r="506" spans="1:14" x14ac:dyDescent="0.25">
      <c r="A506" t="s">
        <v>1847</v>
      </c>
      <c r="B506" t="s">
        <v>1848</v>
      </c>
      <c r="C506" t="s">
        <v>12</v>
      </c>
      <c r="D506">
        <v>40</v>
      </c>
      <c r="E506" t="s">
        <v>38</v>
      </c>
      <c r="F506">
        <v>2</v>
      </c>
      <c r="G506">
        <v>1200.3399999999999</v>
      </c>
      <c r="H506" t="s">
        <v>4</v>
      </c>
      <c r="I506" s="2">
        <v>44732</v>
      </c>
      <c r="J506" t="s">
        <v>74</v>
      </c>
      <c r="K506" s="4">
        <f>Table1[[#This Row],[Quantity]]*Table1[[#This Row],[Price]]</f>
        <v>2400.6799999999998</v>
      </c>
      <c r="L506" t="str">
        <f>IF(Table1[[#This Row],[Age]]&lt;25,"18-24",IF(Table1[[#This Row],[Age]]&lt;35,"25-34",IF(Table1[[#This Row],[Age]]&lt;45,"35-44",IF(Table1[[#This Row],[Age]]&lt;55,"45-54","55+"))))</f>
        <v>35-44</v>
      </c>
      <c r="M506" t="str">
        <f>TEXT(Table1[[#This Row],[Invoice_date]],"mmm")</f>
        <v>Jun</v>
      </c>
      <c r="N506">
        <f>YEAR(Table1[[#This Row],[Invoice_date]])</f>
        <v>2022</v>
      </c>
    </row>
    <row r="507" spans="1:14" x14ac:dyDescent="0.25">
      <c r="A507" t="s">
        <v>1853</v>
      </c>
      <c r="B507" t="s">
        <v>1854</v>
      </c>
      <c r="C507" t="s">
        <v>12</v>
      </c>
      <c r="D507">
        <v>39</v>
      </c>
      <c r="E507" t="s">
        <v>49</v>
      </c>
      <c r="F507">
        <v>4</v>
      </c>
      <c r="G507">
        <v>143.36000000000001</v>
      </c>
      <c r="H507" t="s">
        <v>13</v>
      </c>
      <c r="I507" s="2">
        <v>44343</v>
      </c>
      <c r="J507" t="s">
        <v>50</v>
      </c>
      <c r="K507" s="4">
        <f>Table1[[#This Row],[Quantity]]*Table1[[#This Row],[Price]]</f>
        <v>573.44000000000005</v>
      </c>
      <c r="L507" t="str">
        <f>IF(Table1[[#This Row],[Age]]&lt;25,"18-24",IF(Table1[[#This Row],[Age]]&lt;35,"25-34",IF(Table1[[#This Row],[Age]]&lt;45,"35-44",IF(Table1[[#This Row],[Age]]&lt;55,"45-54","55+"))))</f>
        <v>35-44</v>
      </c>
      <c r="M507" t="str">
        <f>TEXT(Table1[[#This Row],[Invoice_date]],"mmm")</f>
        <v>May</v>
      </c>
      <c r="N507">
        <f>YEAR(Table1[[#This Row],[Invoice_date]])</f>
        <v>2021</v>
      </c>
    </row>
    <row r="508" spans="1:14" x14ac:dyDescent="0.25">
      <c r="A508" t="s">
        <v>1857</v>
      </c>
      <c r="B508" t="s">
        <v>1858</v>
      </c>
      <c r="C508" t="s">
        <v>12</v>
      </c>
      <c r="D508">
        <v>41</v>
      </c>
      <c r="E508" t="s">
        <v>46</v>
      </c>
      <c r="F508">
        <v>4</v>
      </c>
      <c r="G508">
        <v>46.92</v>
      </c>
      <c r="H508" t="s">
        <v>4</v>
      </c>
      <c r="I508" s="2">
        <v>44990</v>
      </c>
      <c r="J508" t="s">
        <v>24</v>
      </c>
      <c r="K508" s="4">
        <f>Table1[[#This Row],[Quantity]]*Table1[[#This Row],[Price]]</f>
        <v>187.68</v>
      </c>
      <c r="L508" t="str">
        <f>IF(Table1[[#This Row],[Age]]&lt;25,"18-24",IF(Table1[[#This Row],[Age]]&lt;35,"25-34",IF(Table1[[#This Row],[Age]]&lt;45,"35-44",IF(Table1[[#This Row],[Age]]&lt;55,"45-54","55+"))))</f>
        <v>35-44</v>
      </c>
      <c r="M508" t="str">
        <f>TEXT(Table1[[#This Row],[Invoice_date]],"mmm")</f>
        <v>Mar</v>
      </c>
      <c r="N508">
        <f>YEAR(Table1[[#This Row],[Invoice_date]])</f>
        <v>2023</v>
      </c>
    </row>
    <row r="509" spans="1:14" x14ac:dyDescent="0.25">
      <c r="A509" t="s">
        <v>1881</v>
      </c>
      <c r="B509" t="s">
        <v>1882</v>
      </c>
      <c r="C509" t="s">
        <v>2</v>
      </c>
      <c r="D509">
        <v>42</v>
      </c>
      <c r="E509" t="s">
        <v>27</v>
      </c>
      <c r="F509">
        <v>5</v>
      </c>
      <c r="G509">
        <v>26.15</v>
      </c>
      <c r="H509" t="s">
        <v>4</v>
      </c>
      <c r="I509" s="2">
        <v>44795</v>
      </c>
      <c r="J509" t="s">
        <v>33</v>
      </c>
      <c r="K509" s="4">
        <f>Table1[[#This Row],[Quantity]]*Table1[[#This Row],[Price]]</f>
        <v>130.75</v>
      </c>
      <c r="L509" t="str">
        <f>IF(Table1[[#This Row],[Age]]&lt;25,"18-24",IF(Table1[[#This Row],[Age]]&lt;35,"25-34",IF(Table1[[#This Row],[Age]]&lt;45,"35-44",IF(Table1[[#This Row],[Age]]&lt;55,"45-54","55+"))))</f>
        <v>35-44</v>
      </c>
      <c r="M509" t="str">
        <f>TEXT(Table1[[#This Row],[Invoice_date]],"mmm")</f>
        <v>Aug</v>
      </c>
      <c r="N509">
        <f>YEAR(Table1[[#This Row],[Invoice_date]])</f>
        <v>2022</v>
      </c>
    </row>
    <row r="510" spans="1:14" x14ac:dyDescent="0.25">
      <c r="A510" t="s">
        <v>1889</v>
      </c>
      <c r="B510" t="s">
        <v>1890</v>
      </c>
      <c r="C510" t="s">
        <v>12</v>
      </c>
      <c r="D510">
        <v>42</v>
      </c>
      <c r="E510" t="s">
        <v>27</v>
      </c>
      <c r="F510">
        <v>5</v>
      </c>
      <c r="G510">
        <v>26.15</v>
      </c>
      <c r="H510" t="s">
        <v>18</v>
      </c>
      <c r="I510" s="2">
        <v>44507</v>
      </c>
      <c r="J510" t="s">
        <v>33</v>
      </c>
      <c r="K510" s="4">
        <f>Table1[[#This Row],[Quantity]]*Table1[[#This Row],[Price]]</f>
        <v>130.75</v>
      </c>
      <c r="L510" t="str">
        <f>IF(Table1[[#This Row],[Age]]&lt;25,"18-24",IF(Table1[[#This Row],[Age]]&lt;35,"25-34",IF(Table1[[#This Row],[Age]]&lt;45,"35-44",IF(Table1[[#This Row],[Age]]&lt;55,"45-54","55+"))))</f>
        <v>35-44</v>
      </c>
      <c r="M510" t="str">
        <f>TEXT(Table1[[#This Row],[Invoice_date]],"mmm")</f>
        <v>Nov</v>
      </c>
      <c r="N510">
        <f>YEAR(Table1[[#This Row],[Invoice_date]])</f>
        <v>2021</v>
      </c>
    </row>
    <row r="511" spans="1:14" x14ac:dyDescent="0.25">
      <c r="A511" t="s">
        <v>1929</v>
      </c>
      <c r="B511" t="s">
        <v>1930</v>
      </c>
      <c r="C511" t="s">
        <v>12</v>
      </c>
      <c r="D511">
        <v>35</v>
      </c>
      <c r="E511" t="s">
        <v>46</v>
      </c>
      <c r="F511">
        <v>3</v>
      </c>
      <c r="G511">
        <v>35.19</v>
      </c>
      <c r="H511" t="s">
        <v>18</v>
      </c>
      <c r="I511" s="2">
        <v>44584</v>
      </c>
      <c r="J511" t="s">
        <v>14</v>
      </c>
      <c r="K511" s="4">
        <f>Table1[[#This Row],[Quantity]]*Table1[[#This Row],[Price]]</f>
        <v>105.57</v>
      </c>
      <c r="L511" t="str">
        <f>IF(Table1[[#This Row],[Age]]&lt;25,"18-24",IF(Table1[[#This Row],[Age]]&lt;35,"25-34",IF(Table1[[#This Row],[Age]]&lt;45,"35-44",IF(Table1[[#This Row],[Age]]&lt;55,"45-54","55+"))))</f>
        <v>35-44</v>
      </c>
      <c r="M511" t="str">
        <f>TEXT(Table1[[#This Row],[Invoice_date]],"mmm")</f>
        <v>Jan</v>
      </c>
      <c r="N511">
        <f>YEAR(Table1[[#This Row],[Invoice_date]])</f>
        <v>2022</v>
      </c>
    </row>
    <row r="512" spans="1:14" x14ac:dyDescent="0.25">
      <c r="A512" t="s">
        <v>1931</v>
      </c>
      <c r="B512" t="s">
        <v>1932</v>
      </c>
      <c r="C512" t="s">
        <v>2</v>
      </c>
      <c r="D512">
        <v>42</v>
      </c>
      <c r="E512" t="s">
        <v>46</v>
      </c>
      <c r="F512">
        <v>2</v>
      </c>
      <c r="G512">
        <v>23.46</v>
      </c>
      <c r="H512" t="s">
        <v>13</v>
      </c>
      <c r="I512" s="2">
        <v>44348</v>
      </c>
      <c r="J512" t="s">
        <v>14</v>
      </c>
      <c r="K512" s="4">
        <f>Table1[[#This Row],[Quantity]]*Table1[[#This Row],[Price]]</f>
        <v>46.92</v>
      </c>
      <c r="L512" t="str">
        <f>IF(Table1[[#This Row],[Age]]&lt;25,"18-24",IF(Table1[[#This Row],[Age]]&lt;35,"25-34",IF(Table1[[#This Row],[Age]]&lt;45,"35-44",IF(Table1[[#This Row],[Age]]&lt;55,"45-54","55+"))))</f>
        <v>35-44</v>
      </c>
      <c r="M512" t="str">
        <f>TEXT(Table1[[#This Row],[Invoice_date]],"mmm")</f>
        <v>Jun</v>
      </c>
      <c r="N512">
        <f>YEAR(Table1[[#This Row],[Invoice_date]])</f>
        <v>2021</v>
      </c>
    </row>
    <row r="513" spans="1:14" x14ac:dyDescent="0.25">
      <c r="A513" t="s">
        <v>1949</v>
      </c>
      <c r="B513" t="s">
        <v>1950</v>
      </c>
      <c r="C513" t="s">
        <v>2</v>
      </c>
      <c r="D513">
        <v>41</v>
      </c>
      <c r="E513" t="s">
        <v>21</v>
      </c>
      <c r="F513">
        <v>4</v>
      </c>
      <c r="G513">
        <v>4200</v>
      </c>
      <c r="H513" t="s">
        <v>4</v>
      </c>
      <c r="I513" s="2">
        <v>44762</v>
      </c>
      <c r="J513" t="s">
        <v>63</v>
      </c>
      <c r="K513" s="4">
        <f>Table1[[#This Row],[Quantity]]*Table1[[#This Row],[Price]]</f>
        <v>16800</v>
      </c>
      <c r="L513" t="str">
        <f>IF(Table1[[#This Row],[Age]]&lt;25,"18-24",IF(Table1[[#This Row],[Age]]&lt;35,"25-34",IF(Table1[[#This Row],[Age]]&lt;45,"35-44",IF(Table1[[#This Row],[Age]]&lt;55,"45-54","55+"))))</f>
        <v>35-44</v>
      </c>
      <c r="M513" t="str">
        <f>TEXT(Table1[[#This Row],[Invoice_date]],"mmm")</f>
        <v>Jul</v>
      </c>
      <c r="N513">
        <f>YEAR(Table1[[#This Row],[Invoice_date]])</f>
        <v>2022</v>
      </c>
    </row>
    <row r="514" spans="1:14" x14ac:dyDescent="0.25">
      <c r="A514" t="s">
        <v>1961</v>
      </c>
      <c r="B514" t="s">
        <v>1962</v>
      </c>
      <c r="C514" t="s">
        <v>2</v>
      </c>
      <c r="D514">
        <v>36</v>
      </c>
      <c r="E514" t="s">
        <v>17</v>
      </c>
      <c r="F514">
        <v>1</v>
      </c>
      <c r="G514">
        <v>15.15</v>
      </c>
      <c r="H514" t="s">
        <v>13</v>
      </c>
      <c r="I514" s="2">
        <v>44982</v>
      </c>
      <c r="J514" t="s">
        <v>14</v>
      </c>
      <c r="K514" s="4">
        <f>Table1[[#This Row],[Quantity]]*Table1[[#This Row],[Price]]</f>
        <v>15.15</v>
      </c>
      <c r="L514" t="str">
        <f>IF(Table1[[#This Row],[Age]]&lt;25,"18-24",IF(Table1[[#This Row],[Age]]&lt;35,"25-34",IF(Table1[[#This Row],[Age]]&lt;45,"35-44",IF(Table1[[#This Row],[Age]]&lt;55,"45-54","55+"))))</f>
        <v>35-44</v>
      </c>
      <c r="M514" t="str">
        <f>TEXT(Table1[[#This Row],[Invoice_date]],"mmm")</f>
        <v>Feb</v>
      </c>
      <c r="N514">
        <f>YEAR(Table1[[#This Row],[Invoice_date]])</f>
        <v>2023</v>
      </c>
    </row>
    <row r="515" spans="1:14" x14ac:dyDescent="0.25">
      <c r="A515" t="s">
        <v>1973</v>
      </c>
      <c r="B515" t="s">
        <v>1974</v>
      </c>
      <c r="C515" t="s">
        <v>12</v>
      </c>
      <c r="D515">
        <v>38</v>
      </c>
      <c r="E515" t="s">
        <v>21</v>
      </c>
      <c r="F515">
        <v>2</v>
      </c>
      <c r="G515">
        <v>2100</v>
      </c>
      <c r="H515" t="s">
        <v>13</v>
      </c>
      <c r="I515" s="2">
        <v>44453</v>
      </c>
      <c r="J515" t="s">
        <v>30</v>
      </c>
      <c r="K515" s="4">
        <f>Table1[[#This Row],[Quantity]]*Table1[[#This Row],[Price]]</f>
        <v>4200</v>
      </c>
      <c r="L515" t="str">
        <f>IF(Table1[[#This Row],[Age]]&lt;25,"18-24",IF(Table1[[#This Row],[Age]]&lt;35,"25-34",IF(Table1[[#This Row],[Age]]&lt;45,"35-44",IF(Table1[[#This Row],[Age]]&lt;55,"45-54","55+"))))</f>
        <v>35-44</v>
      </c>
      <c r="M515" t="str">
        <f>TEXT(Table1[[#This Row],[Invoice_date]],"mmm")</f>
        <v>Sep</v>
      </c>
      <c r="N515">
        <f>YEAR(Table1[[#This Row],[Invoice_date]])</f>
        <v>2021</v>
      </c>
    </row>
    <row r="516" spans="1:14" x14ac:dyDescent="0.25">
      <c r="A516" t="s">
        <v>1977</v>
      </c>
      <c r="B516" t="s">
        <v>1978</v>
      </c>
      <c r="C516" t="s">
        <v>12</v>
      </c>
      <c r="D516">
        <v>39</v>
      </c>
      <c r="E516" t="s">
        <v>8</v>
      </c>
      <c r="F516">
        <v>2</v>
      </c>
      <c r="G516">
        <v>81.319999999999993</v>
      </c>
      <c r="H516" t="s">
        <v>4</v>
      </c>
      <c r="I516" s="2">
        <v>44791</v>
      </c>
      <c r="J516" t="s">
        <v>74</v>
      </c>
      <c r="K516" s="4">
        <f>Table1[[#This Row],[Quantity]]*Table1[[#This Row],[Price]]</f>
        <v>162.63999999999999</v>
      </c>
      <c r="L516" t="str">
        <f>IF(Table1[[#This Row],[Age]]&lt;25,"18-24",IF(Table1[[#This Row],[Age]]&lt;35,"25-34",IF(Table1[[#This Row],[Age]]&lt;45,"35-44",IF(Table1[[#This Row],[Age]]&lt;55,"45-54","55+"))))</f>
        <v>35-44</v>
      </c>
      <c r="M516" t="str">
        <f>TEXT(Table1[[#This Row],[Invoice_date]],"mmm")</f>
        <v>Aug</v>
      </c>
      <c r="N516">
        <f>YEAR(Table1[[#This Row],[Invoice_date]])</f>
        <v>2022</v>
      </c>
    </row>
    <row r="517" spans="1:14" x14ac:dyDescent="0.25">
      <c r="A517" t="s">
        <v>1985</v>
      </c>
      <c r="B517" t="s">
        <v>1986</v>
      </c>
      <c r="C517" t="s">
        <v>2</v>
      </c>
      <c r="D517">
        <v>44</v>
      </c>
      <c r="E517" t="s">
        <v>8</v>
      </c>
      <c r="F517">
        <v>4</v>
      </c>
      <c r="G517">
        <v>162.63999999999999</v>
      </c>
      <c r="H517" t="s">
        <v>18</v>
      </c>
      <c r="I517" s="2">
        <v>44759</v>
      </c>
      <c r="J517" t="s">
        <v>24</v>
      </c>
      <c r="K517" s="4">
        <f>Table1[[#This Row],[Quantity]]*Table1[[#This Row],[Price]]</f>
        <v>650.55999999999995</v>
      </c>
      <c r="L517" t="str">
        <f>IF(Table1[[#This Row],[Age]]&lt;25,"18-24",IF(Table1[[#This Row],[Age]]&lt;35,"25-34",IF(Table1[[#This Row],[Age]]&lt;45,"35-44",IF(Table1[[#This Row],[Age]]&lt;55,"45-54","55+"))))</f>
        <v>35-44</v>
      </c>
      <c r="M517" t="str">
        <f>TEXT(Table1[[#This Row],[Invoice_date]],"mmm")</f>
        <v>Jul</v>
      </c>
      <c r="N517">
        <f>YEAR(Table1[[#This Row],[Invoice_date]])</f>
        <v>2022</v>
      </c>
    </row>
    <row r="518" spans="1:14" x14ac:dyDescent="0.25">
      <c r="A518" t="s">
        <v>1991</v>
      </c>
      <c r="B518" t="s">
        <v>1992</v>
      </c>
      <c r="C518" t="s">
        <v>12</v>
      </c>
      <c r="D518">
        <v>41</v>
      </c>
      <c r="E518" t="s">
        <v>3</v>
      </c>
      <c r="F518">
        <v>2</v>
      </c>
      <c r="G518">
        <v>600.16</v>
      </c>
      <c r="H518" t="s">
        <v>4</v>
      </c>
      <c r="I518" s="2">
        <v>44213</v>
      </c>
      <c r="J518" t="s">
        <v>14</v>
      </c>
      <c r="K518" s="4">
        <f>Table1[[#This Row],[Quantity]]*Table1[[#This Row],[Price]]</f>
        <v>1200.32</v>
      </c>
      <c r="L518" t="str">
        <f>IF(Table1[[#This Row],[Age]]&lt;25,"18-24",IF(Table1[[#This Row],[Age]]&lt;35,"25-34",IF(Table1[[#This Row],[Age]]&lt;45,"35-44",IF(Table1[[#This Row],[Age]]&lt;55,"45-54","55+"))))</f>
        <v>35-44</v>
      </c>
      <c r="M518" t="str">
        <f>TEXT(Table1[[#This Row],[Invoice_date]],"mmm")</f>
        <v>Jan</v>
      </c>
      <c r="N518">
        <f>YEAR(Table1[[#This Row],[Invoice_date]])</f>
        <v>2021</v>
      </c>
    </row>
    <row r="519" spans="1:14" x14ac:dyDescent="0.25">
      <c r="A519" t="s">
        <v>1995</v>
      </c>
      <c r="B519" t="s">
        <v>1996</v>
      </c>
      <c r="C519" t="s">
        <v>12</v>
      </c>
      <c r="D519">
        <v>36</v>
      </c>
      <c r="E519" t="s">
        <v>49</v>
      </c>
      <c r="F519">
        <v>2</v>
      </c>
      <c r="G519">
        <v>71.680000000000007</v>
      </c>
      <c r="H519" t="s">
        <v>4</v>
      </c>
      <c r="I519" s="2">
        <v>44989</v>
      </c>
      <c r="J519" t="s">
        <v>24</v>
      </c>
      <c r="K519" s="4">
        <f>Table1[[#This Row],[Quantity]]*Table1[[#This Row],[Price]]</f>
        <v>143.36000000000001</v>
      </c>
      <c r="L519" t="str">
        <f>IF(Table1[[#This Row],[Age]]&lt;25,"18-24",IF(Table1[[#This Row],[Age]]&lt;35,"25-34",IF(Table1[[#This Row],[Age]]&lt;45,"35-44",IF(Table1[[#This Row],[Age]]&lt;55,"45-54","55+"))))</f>
        <v>35-44</v>
      </c>
      <c r="M519" t="str">
        <f>TEXT(Table1[[#This Row],[Invoice_date]],"mmm")</f>
        <v>Mar</v>
      </c>
      <c r="N519">
        <f>YEAR(Table1[[#This Row],[Invoice_date]])</f>
        <v>2023</v>
      </c>
    </row>
    <row r="520" spans="1:14" x14ac:dyDescent="0.25">
      <c r="A520" t="s">
        <v>34</v>
      </c>
      <c r="B520" t="s">
        <v>35</v>
      </c>
      <c r="C520" t="s">
        <v>12</v>
      </c>
      <c r="D520">
        <v>50</v>
      </c>
      <c r="E520" t="s">
        <v>8</v>
      </c>
      <c r="F520">
        <v>3</v>
      </c>
      <c r="G520">
        <v>121.98</v>
      </c>
      <c r="H520" t="s">
        <v>4</v>
      </c>
      <c r="I520" s="2">
        <v>44766</v>
      </c>
      <c r="J520" t="s">
        <v>14</v>
      </c>
      <c r="K520" s="4">
        <f>Table1[[#This Row],[Quantity]]*Table1[[#This Row],[Price]]</f>
        <v>365.94</v>
      </c>
      <c r="L520" t="str">
        <f>IF(Table1[[#This Row],[Age]]&lt;25,"18-24",IF(Table1[[#This Row],[Age]]&lt;35,"25-34",IF(Table1[[#This Row],[Age]]&lt;45,"35-44",IF(Table1[[#This Row],[Age]]&lt;55,"45-54","55+"))))</f>
        <v>45-54</v>
      </c>
      <c r="M520" t="str">
        <f>TEXT(Table1[[#This Row],[Invoice_date]],"mmm")</f>
        <v>Jul</v>
      </c>
      <c r="N520">
        <f>YEAR(Table1[[#This Row],[Invoice_date]])</f>
        <v>2022</v>
      </c>
    </row>
    <row r="521" spans="1:14" x14ac:dyDescent="0.25">
      <c r="A521" t="s">
        <v>44</v>
      </c>
      <c r="B521" t="s">
        <v>45</v>
      </c>
      <c r="C521" t="s">
        <v>12</v>
      </c>
      <c r="D521">
        <v>52</v>
      </c>
      <c r="E521" t="s">
        <v>46</v>
      </c>
      <c r="F521">
        <v>3</v>
      </c>
      <c r="G521">
        <v>35.19</v>
      </c>
      <c r="H521" t="s">
        <v>13</v>
      </c>
      <c r="I521" s="2">
        <v>44361</v>
      </c>
      <c r="J521" t="s">
        <v>24</v>
      </c>
      <c r="K521" s="4">
        <f>Table1[[#This Row],[Quantity]]*Table1[[#This Row],[Price]]</f>
        <v>105.57</v>
      </c>
      <c r="L521" t="str">
        <f>IF(Table1[[#This Row],[Age]]&lt;25,"18-24",IF(Table1[[#This Row],[Age]]&lt;35,"25-34",IF(Table1[[#This Row],[Age]]&lt;45,"35-44",IF(Table1[[#This Row],[Age]]&lt;55,"45-54","55+"))))</f>
        <v>45-54</v>
      </c>
      <c r="M521" t="str">
        <f>TEXT(Table1[[#This Row],[Invoice_date]],"mmm")</f>
        <v>Jun</v>
      </c>
      <c r="N521">
        <f>YEAR(Table1[[#This Row],[Invoice_date]])</f>
        <v>2021</v>
      </c>
    </row>
    <row r="522" spans="1:14" x14ac:dyDescent="0.25">
      <c r="A522" t="s">
        <v>47</v>
      </c>
      <c r="B522" t="s">
        <v>48</v>
      </c>
      <c r="C522" t="s">
        <v>12</v>
      </c>
      <c r="D522">
        <v>52</v>
      </c>
      <c r="E522" t="s">
        <v>49</v>
      </c>
      <c r="F522">
        <v>2</v>
      </c>
      <c r="G522">
        <v>71.680000000000007</v>
      </c>
      <c r="H522" t="s">
        <v>18</v>
      </c>
      <c r="I522" s="2">
        <v>44421</v>
      </c>
      <c r="J522" t="s">
        <v>50</v>
      </c>
      <c r="K522" s="4">
        <f>Table1[[#This Row],[Quantity]]*Table1[[#This Row],[Price]]</f>
        <v>143.36000000000001</v>
      </c>
      <c r="L522" t="str">
        <f>IF(Table1[[#This Row],[Age]]&lt;25,"18-24",IF(Table1[[#This Row],[Age]]&lt;35,"25-34",IF(Table1[[#This Row],[Age]]&lt;45,"35-44",IF(Table1[[#This Row],[Age]]&lt;55,"45-54","55+"))))</f>
        <v>45-54</v>
      </c>
      <c r="M522" t="str">
        <f>TEXT(Table1[[#This Row],[Invoice_date]],"mmm")</f>
        <v>Aug</v>
      </c>
      <c r="N522">
        <f>YEAR(Table1[[#This Row],[Invoice_date]])</f>
        <v>2021</v>
      </c>
    </row>
    <row r="523" spans="1:14" x14ac:dyDescent="0.25">
      <c r="A523" t="s">
        <v>55</v>
      </c>
      <c r="B523" t="s">
        <v>56</v>
      </c>
      <c r="C523" t="s">
        <v>2</v>
      </c>
      <c r="D523">
        <v>46</v>
      </c>
      <c r="E523" t="s">
        <v>27</v>
      </c>
      <c r="F523">
        <v>1</v>
      </c>
      <c r="G523">
        <v>5.23</v>
      </c>
      <c r="H523" t="s">
        <v>18</v>
      </c>
      <c r="I523" s="2">
        <v>44230</v>
      </c>
      <c r="J523" t="s">
        <v>5</v>
      </c>
      <c r="K523" s="4">
        <f>Table1[[#This Row],[Quantity]]*Table1[[#This Row],[Price]]</f>
        <v>5.23</v>
      </c>
      <c r="L523" t="str">
        <f>IF(Table1[[#This Row],[Age]]&lt;25,"18-24",IF(Table1[[#This Row],[Age]]&lt;35,"25-34",IF(Table1[[#This Row],[Age]]&lt;45,"35-44",IF(Table1[[#This Row],[Age]]&lt;55,"45-54","55+"))))</f>
        <v>45-54</v>
      </c>
      <c r="M523" t="str">
        <f>TEXT(Table1[[#This Row],[Invoice_date]],"mmm")</f>
        <v>Feb</v>
      </c>
      <c r="N523">
        <f>YEAR(Table1[[#This Row],[Invoice_date]])</f>
        <v>2021</v>
      </c>
    </row>
    <row r="524" spans="1:14" x14ac:dyDescent="0.25">
      <c r="A524" t="s">
        <v>57</v>
      </c>
      <c r="B524" t="s">
        <v>58</v>
      </c>
      <c r="C524" t="s">
        <v>2</v>
      </c>
      <c r="D524">
        <v>46</v>
      </c>
      <c r="E524" t="s">
        <v>17</v>
      </c>
      <c r="F524">
        <v>5</v>
      </c>
      <c r="G524">
        <v>75.75</v>
      </c>
      <c r="H524" t="s">
        <v>18</v>
      </c>
      <c r="I524" s="2">
        <v>44387</v>
      </c>
      <c r="J524" t="s">
        <v>14</v>
      </c>
      <c r="K524" s="4">
        <f>Table1[[#This Row],[Quantity]]*Table1[[#This Row],[Price]]</f>
        <v>378.75</v>
      </c>
      <c r="L524" t="str">
        <f>IF(Table1[[#This Row],[Age]]&lt;25,"18-24",IF(Table1[[#This Row],[Age]]&lt;35,"25-34",IF(Table1[[#This Row],[Age]]&lt;45,"35-44",IF(Table1[[#This Row],[Age]]&lt;55,"45-54","55+"))))</f>
        <v>45-54</v>
      </c>
      <c r="M524" t="str">
        <f>TEXT(Table1[[#This Row],[Invoice_date]],"mmm")</f>
        <v>Jul</v>
      </c>
      <c r="N524">
        <f>YEAR(Table1[[#This Row],[Invoice_date]])</f>
        <v>2021</v>
      </c>
    </row>
    <row r="525" spans="1:14" x14ac:dyDescent="0.25">
      <c r="A525" t="s">
        <v>77</v>
      </c>
      <c r="B525" t="s">
        <v>78</v>
      </c>
      <c r="C525" t="s">
        <v>2</v>
      </c>
      <c r="D525">
        <v>49</v>
      </c>
      <c r="E525" t="s">
        <v>3</v>
      </c>
      <c r="F525">
        <v>5</v>
      </c>
      <c r="G525">
        <v>1500.4</v>
      </c>
      <c r="H525" t="s">
        <v>4</v>
      </c>
      <c r="I525" s="2">
        <v>44516</v>
      </c>
      <c r="J525" t="s">
        <v>63</v>
      </c>
      <c r="K525" s="4">
        <f>Table1[[#This Row],[Quantity]]*Table1[[#This Row],[Price]]</f>
        <v>7502</v>
      </c>
      <c r="L525" t="str">
        <f>IF(Table1[[#This Row],[Age]]&lt;25,"18-24",IF(Table1[[#This Row],[Age]]&lt;35,"25-34",IF(Table1[[#This Row],[Age]]&lt;45,"35-44",IF(Table1[[#This Row],[Age]]&lt;55,"45-54","55+"))))</f>
        <v>45-54</v>
      </c>
      <c r="M525" t="str">
        <f>TEXT(Table1[[#This Row],[Invoice_date]],"mmm")</f>
        <v>Nov</v>
      </c>
      <c r="N525">
        <f>YEAR(Table1[[#This Row],[Invoice_date]])</f>
        <v>2021</v>
      </c>
    </row>
    <row r="526" spans="1:14" x14ac:dyDescent="0.25">
      <c r="A526" t="s">
        <v>83</v>
      </c>
      <c r="B526" t="s">
        <v>84</v>
      </c>
      <c r="C526" t="s">
        <v>12</v>
      </c>
      <c r="D526">
        <v>45</v>
      </c>
      <c r="E526" t="s">
        <v>17</v>
      </c>
      <c r="F526">
        <v>4</v>
      </c>
      <c r="G526">
        <v>60.6</v>
      </c>
      <c r="H526" t="s">
        <v>18</v>
      </c>
      <c r="I526" s="2">
        <v>44414</v>
      </c>
      <c r="J526" t="s">
        <v>63</v>
      </c>
      <c r="K526" s="4">
        <f>Table1[[#This Row],[Quantity]]*Table1[[#This Row],[Price]]</f>
        <v>242.4</v>
      </c>
      <c r="L526" t="str">
        <f>IF(Table1[[#This Row],[Age]]&lt;25,"18-24",IF(Table1[[#This Row],[Age]]&lt;35,"25-34",IF(Table1[[#This Row],[Age]]&lt;45,"35-44",IF(Table1[[#This Row],[Age]]&lt;55,"45-54","55+"))))</f>
        <v>45-54</v>
      </c>
      <c r="M526" t="str">
        <f>TEXT(Table1[[#This Row],[Invoice_date]],"mmm")</f>
        <v>Aug</v>
      </c>
      <c r="N526">
        <f>YEAR(Table1[[#This Row],[Invoice_date]])</f>
        <v>2021</v>
      </c>
    </row>
    <row r="527" spans="1:14" x14ac:dyDescent="0.25">
      <c r="A527" t="s">
        <v>85</v>
      </c>
      <c r="B527" t="s">
        <v>86</v>
      </c>
      <c r="C527" t="s">
        <v>12</v>
      </c>
      <c r="D527">
        <v>46</v>
      </c>
      <c r="E527" t="s">
        <v>3</v>
      </c>
      <c r="F527">
        <v>3</v>
      </c>
      <c r="G527">
        <v>900.24</v>
      </c>
      <c r="H527" t="s">
        <v>13</v>
      </c>
      <c r="I527" s="2">
        <v>44817</v>
      </c>
      <c r="J527" t="s">
        <v>24</v>
      </c>
      <c r="K527" s="4">
        <f>Table1[[#This Row],[Quantity]]*Table1[[#This Row],[Price]]</f>
        <v>2700.7200000000003</v>
      </c>
      <c r="L527" t="str">
        <f>IF(Table1[[#This Row],[Age]]&lt;25,"18-24",IF(Table1[[#This Row],[Age]]&lt;35,"25-34",IF(Table1[[#This Row],[Age]]&lt;45,"35-44",IF(Table1[[#This Row],[Age]]&lt;55,"45-54","55+"))))</f>
        <v>45-54</v>
      </c>
      <c r="M527" t="str">
        <f>TEXT(Table1[[#This Row],[Invoice_date]],"mmm")</f>
        <v>Sep</v>
      </c>
      <c r="N527">
        <f>YEAR(Table1[[#This Row],[Invoice_date]])</f>
        <v>2022</v>
      </c>
    </row>
    <row r="528" spans="1:14" x14ac:dyDescent="0.25">
      <c r="A528" t="s">
        <v>87</v>
      </c>
      <c r="B528" t="s">
        <v>88</v>
      </c>
      <c r="C528" t="s">
        <v>2</v>
      </c>
      <c r="D528">
        <v>48</v>
      </c>
      <c r="E528" t="s">
        <v>3</v>
      </c>
      <c r="F528">
        <v>1</v>
      </c>
      <c r="G528">
        <v>300.08</v>
      </c>
      <c r="H528" t="s">
        <v>18</v>
      </c>
      <c r="I528" s="2">
        <v>44227</v>
      </c>
      <c r="J528" t="s">
        <v>30</v>
      </c>
      <c r="K528" s="4">
        <f>Table1[[#This Row],[Quantity]]*Table1[[#This Row],[Price]]</f>
        <v>300.08</v>
      </c>
      <c r="L528" t="str">
        <f>IF(Table1[[#This Row],[Age]]&lt;25,"18-24",IF(Table1[[#This Row],[Age]]&lt;35,"25-34",IF(Table1[[#This Row],[Age]]&lt;45,"35-44",IF(Table1[[#This Row],[Age]]&lt;55,"45-54","55+"))))</f>
        <v>45-54</v>
      </c>
      <c r="M528" t="str">
        <f>TEXT(Table1[[#This Row],[Invoice_date]],"mmm")</f>
        <v>Jan</v>
      </c>
      <c r="N528">
        <f>YEAR(Table1[[#This Row],[Invoice_date]])</f>
        <v>2021</v>
      </c>
    </row>
    <row r="529" spans="1:14" x14ac:dyDescent="0.25">
      <c r="A529" t="s">
        <v>99</v>
      </c>
      <c r="B529" t="s">
        <v>100</v>
      </c>
      <c r="C529" t="s">
        <v>2</v>
      </c>
      <c r="D529">
        <v>52</v>
      </c>
      <c r="E529" t="s">
        <v>3</v>
      </c>
      <c r="F529">
        <v>2</v>
      </c>
      <c r="G529">
        <v>600.16</v>
      </c>
      <c r="H529" t="s">
        <v>4</v>
      </c>
      <c r="I529" s="2">
        <v>44366</v>
      </c>
      <c r="J529" t="s">
        <v>14</v>
      </c>
      <c r="K529" s="4">
        <f>Table1[[#This Row],[Quantity]]*Table1[[#This Row],[Price]]</f>
        <v>1200.32</v>
      </c>
      <c r="L529" t="str">
        <f>IF(Table1[[#This Row],[Age]]&lt;25,"18-24",IF(Table1[[#This Row],[Age]]&lt;35,"25-34",IF(Table1[[#This Row],[Age]]&lt;45,"35-44",IF(Table1[[#This Row],[Age]]&lt;55,"45-54","55+"))))</f>
        <v>45-54</v>
      </c>
      <c r="M529" t="str">
        <f>TEXT(Table1[[#This Row],[Invoice_date]],"mmm")</f>
        <v>Jun</v>
      </c>
      <c r="N529">
        <f>YEAR(Table1[[#This Row],[Invoice_date]])</f>
        <v>2021</v>
      </c>
    </row>
    <row r="530" spans="1:14" x14ac:dyDescent="0.25">
      <c r="A530" t="s">
        <v>107</v>
      </c>
      <c r="B530" t="s">
        <v>108</v>
      </c>
      <c r="C530" t="s">
        <v>2</v>
      </c>
      <c r="D530">
        <v>52</v>
      </c>
      <c r="E530" t="s">
        <v>38</v>
      </c>
      <c r="F530">
        <v>4</v>
      </c>
      <c r="G530">
        <v>2400.6799999999998</v>
      </c>
      <c r="H530" t="s">
        <v>4</v>
      </c>
      <c r="I530" s="2">
        <v>44667</v>
      </c>
      <c r="J530" t="s">
        <v>30</v>
      </c>
      <c r="K530" s="4">
        <f>Table1[[#This Row],[Quantity]]*Table1[[#This Row],[Price]]</f>
        <v>9602.7199999999993</v>
      </c>
      <c r="L530" t="str">
        <f>IF(Table1[[#This Row],[Age]]&lt;25,"18-24",IF(Table1[[#This Row],[Age]]&lt;35,"25-34",IF(Table1[[#This Row],[Age]]&lt;45,"35-44",IF(Table1[[#This Row],[Age]]&lt;55,"45-54","55+"))))</f>
        <v>45-54</v>
      </c>
      <c r="M530" t="str">
        <f>TEXT(Table1[[#This Row],[Invoice_date]],"mmm")</f>
        <v>Apr</v>
      </c>
      <c r="N530">
        <f>YEAR(Table1[[#This Row],[Invoice_date]])</f>
        <v>2022</v>
      </c>
    </row>
    <row r="531" spans="1:14" x14ac:dyDescent="0.25">
      <c r="A531" t="s">
        <v>149</v>
      </c>
      <c r="B531" t="s">
        <v>150</v>
      </c>
      <c r="C531" t="s">
        <v>2</v>
      </c>
      <c r="D531">
        <v>45</v>
      </c>
      <c r="E531" t="s">
        <v>27</v>
      </c>
      <c r="F531">
        <v>4</v>
      </c>
      <c r="G531">
        <v>20.92</v>
      </c>
      <c r="H531" t="s">
        <v>18</v>
      </c>
      <c r="I531" s="2">
        <v>44885</v>
      </c>
      <c r="J531" t="s">
        <v>33</v>
      </c>
      <c r="K531" s="4">
        <f>Table1[[#This Row],[Quantity]]*Table1[[#This Row],[Price]]</f>
        <v>83.68</v>
      </c>
      <c r="L531" t="str">
        <f>IF(Table1[[#This Row],[Age]]&lt;25,"18-24",IF(Table1[[#This Row],[Age]]&lt;35,"25-34",IF(Table1[[#This Row],[Age]]&lt;45,"35-44",IF(Table1[[#This Row],[Age]]&lt;55,"45-54","55+"))))</f>
        <v>45-54</v>
      </c>
      <c r="M531" t="str">
        <f>TEXT(Table1[[#This Row],[Invoice_date]],"mmm")</f>
        <v>Nov</v>
      </c>
      <c r="N531">
        <f>YEAR(Table1[[#This Row],[Invoice_date]])</f>
        <v>2022</v>
      </c>
    </row>
    <row r="532" spans="1:14" x14ac:dyDescent="0.25">
      <c r="A532" t="s">
        <v>169</v>
      </c>
      <c r="B532" t="s">
        <v>170</v>
      </c>
      <c r="C532" t="s">
        <v>12</v>
      </c>
      <c r="D532">
        <v>45</v>
      </c>
      <c r="E532" t="s">
        <v>38</v>
      </c>
      <c r="F532">
        <v>5</v>
      </c>
      <c r="G532">
        <v>3000.85</v>
      </c>
      <c r="H532" t="s">
        <v>18</v>
      </c>
      <c r="I532" s="2">
        <v>44886</v>
      </c>
      <c r="J532" t="s">
        <v>24</v>
      </c>
      <c r="K532" s="4">
        <f>Table1[[#This Row],[Quantity]]*Table1[[#This Row],[Price]]</f>
        <v>15004.25</v>
      </c>
      <c r="L532" t="str">
        <f>IF(Table1[[#This Row],[Age]]&lt;25,"18-24",IF(Table1[[#This Row],[Age]]&lt;35,"25-34",IF(Table1[[#This Row],[Age]]&lt;45,"35-44",IF(Table1[[#This Row],[Age]]&lt;55,"45-54","55+"))))</f>
        <v>45-54</v>
      </c>
      <c r="M532" t="str">
        <f>TEXT(Table1[[#This Row],[Invoice_date]],"mmm")</f>
        <v>Nov</v>
      </c>
      <c r="N532">
        <f>YEAR(Table1[[#This Row],[Invoice_date]])</f>
        <v>2022</v>
      </c>
    </row>
    <row r="533" spans="1:14" x14ac:dyDescent="0.25">
      <c r="A533" t="s">
        <v>199</v>
      </c>
      <c r="B533" t="s">
        <v>200</v>
      </c>
      <c r="C533" t="s">
        <v>2</v>
      </c>
      <c r="D533">
        <v>45</v>
      </c>
      <c r="E533" t="s">
        <v>3</v>
      </c>
      <c r="F533">
        <v>3</v>
      </c>
      <c r="G533">
        <v>900.24</v>
      </c>
      <c r="H533" t="s">
        <v>4</v>
      </c>
      <c r="I533" s="2">
        <v>44772</v>
      </c>
      <c r="J533" t="s">
        <v>9</v>
      </c>
      <c r="K533" s="4">
        <f>Table1[[#This Row],[Quantity]]*Table1[[#This Row],[Price]]</f>
        <v>2700.7200000000003</v>
      </c>
      <c r="L533" t="str">
        <f>IF(Table1[[#This Row],[Age]]&lt;25,"18-24",IF(Table1[[#This Row],[Age]]&lt;35,"25-34",IF(Table1[[#This Row],[Age]]&lt;45,"35-44",IF(Table1[[#This Row],[Age]]&lt;55,"45-54","55+"))))</f>
        <v>45-54</v>
      </c>
      <c r="M533" t="str">
        <f>TEXT(Table1[[#This Row],[Invoice_date]],"mmm")</f>
        <v>Jul</v>
      </c>
      <c r="N533">
        <f>YEAR(Table1[[#This Row],[Invoice_date]])</f>
        <v>2022</v>
      </c>
    </row>
    <row r="534" spans="1:14" x14ac:dyDescent="0.25">
      <c r="A534" t="s">
        <v>205</v>
      </c>
      <c r="B534" t="s">
        <v>206</v>
      </c>
      <c r="C534" t="s">
        <v>2</v>
      </c>
      <c r="D534">
        <v>45</v>
      </c>
      <c r="E534" t="s">
        <v>8</v>
      </c>
      <c r="F534">
        <v>3</v>
      </c>
      <c r="G534">
        <v>121.98</v>
      </c>
      <c r="H534" t="s">
        <v>18</v>
      </c>
      <c r="I534" s="2">
        <v>44554</v>
      </c>
      <c r="J534" t="s">
        <v>14</v>
      </c>
      <c r="K534" s="4">
        <f>Table1[[#This Row],[Quantity]]*Table1[[#This Row],[Price]]</f>
        <v>365.94</v>
      </c>
      <c r="L534" t="str">
        <f>IF(Table1[[#This Row],[Age]]&lt;25,"18-24",IF(Table1[[#This Row],[Age]]&lt;35,"25-34",IF(Table1[[#This Row],[Age]]&lt;45,"35-44",IF(Table1[[#This Row],[Age]]&lt;55,"45-54","55+"))))</f>
        <v>45-54</v>
      </c>
      <c r="M534" t="str">
        <f>TEXT(Table1[[#This Row],[Invoice_date]],"mmm")</f>
        <v>Dec</v>
      </c>
      <c r="N534">
        <f>YEAR(Table1[[#This Row],[Invoice_date]])</f>
        <v>2021</v>
      </c>
    </row>
    <row r="535" spans="1:14" x14ac:dyDescent="0.25">
      <c r="A535" t="s">
        <v>213</v>
      </c>
      <c r="B535" t="s">
        <v>214</v>
      </c>
      <c r="C535" t="s">
        <v>2</v>
      </c>
      <c r="D535">
        <v>52</v>
      </c>
      <c r="E535" t="s">
        <v>27</v>
      </c>
      <c r="F535">
        <v>3</v>
      </c>
      <c r="G535">
        <v>15.69</v>
      </c>
      <c r="H535" t="s">
        <v>4</v>
      </c>
      <c r="I535" s="2">
        <v>44907</v>
      </c>
      <c r="J535" t="s">
        <v>74</v>
      </c>
      <c r="K535" s="4">
        <f>Table1[[#This Row],[Quantity]]*Table1[[#This Row],[Price]]</f>
        <v>47.07</v>
      </c>
      <c r="L535" t="str">
        <f>IF(Table1[[#This Row],[Age]]&lt;25,"18-24",IF(Table1[[#This Row],[Age]]&lt;35,"25-34",IF(Table1[[#This Row],[Age]]&lt;45,"35-44",IF(Table1[[#This Row],[Age]]&lt;55,"45-54","55+"))))</f>
        <v>45-54</v>
      </c>
      <c r="M535" t="str">
        <f>TEXT(Table1[[#This Row],[Invoice_date]],"mmm")</f>
        <v>Dec</v>
      </c>
      <c r="N535">
        <f>YEAR(Table1[[#This Row],[Invoice_date]])</f>
        <v>2022</v>
      </c>
    </row>
    <row r="536" spans="1:14" x14ac:dyDescent="0.25">
      <c r="A536" t="s">
        <v>223</v>
      </c>
      <c r="B536" t="s">
        <v>224</v>
      </c>
      <c r="C536" t="s">
        <v>12</v>
      </c>
      <c r="D536">
        <v>46</v>
      </c>
      <c r="E536" t="s">
        <v>8</v>
      </c>
      <c r="F536">
        <v>4</v>
      </c>
      <c r="G536">
        <v>162.63999999999999</v>
      </c>
      <c r="H536" t="s">
        <v>4</v>
      </c>
      <c r="I536" s="2">
        <v>44673</v>
      </c>
      <c r="J536" t="s">
        <v>14</v>
      </c>
      <c r="K536" s="4">
        <f>Table1[[#This Row],[Quantity]]*Table1[[#This Row],[Price]]</f>
        <v>650.55999999999995</v>
      </c>
      <c r="L536" t="str">
        <f>IF(Table1[[#This Row],[Age]]&lt;25,"18-24",IF(Table1[[#This Row],[Age]]&lt;35,"25-34",IF(Table1[[#This Row],[Age]]&lt;45,"35-44",IF(Table1[[#This Row],[Age]]&lt;55,"45-54","55+"))))</f>
        <v>45-54</v>
      </c>
      <c r="M536" t="str">
        <f>TEXT(Table1[[#This Row],[Invoice_date]],"mmm")</f>
        <v>Apr</v>
      </c>
      <c r="N536">
        <f>YEAR(Table1[[#This Row],[Invoice_date]])</f>
        <v>2022</v>
      </c>
    </row>
    <row r="537" spans="1:14" x14ac:dyDescent="0.25">
      <c r="A537" t="s">
        <v>261</v>
      </c>
      <c r="B537" t="s">
        <v>262</v>
      </c>
      <c r="C537" t="s">
        <v>12</v>
      </c>
      <c r="D537">
        <v>54</v>
      </c>
      <c r="E537" t="s">
        <v>3</v>
      </c>
      <c r="F537">
        <v>2</v>
      </c>
      <c r="G537">
        <v>600.16</v>
      </c>
      <c r="H537" t="s">
        <v>13</v>
      </c>
      <c r="I537" s="2">
        <v>44301</v>
      </c>
      <c r="J537" t="s">
        <v>30</v>
      </c>
      <c r="K537" s="4">
        <f>Table1[[#This Row],[Quantity]]*Table1[[#This Row],[Price]]</f>
        <v>1200.32</v>
      </c>
      <c r="L537" t="str">
        <f>IF(Table1[[#This Row],[Age]]&lt;25,"18-24",IF(Table1[[#This Row],[Age]]&lt;35,"25-34",IF(Table1[[#This Row],[Age]]&lt;45,"35-44",IF(Table1[[#This Row],[Age]]&lt;55,"45-54","55+"))))</f>
        <v>45-54</v>
      </c>
      <c r="M537" t="str">
        <f>TEXT(Table1[[#This Row],[Invoice_date]],"mmm")</f>
        <v>Apr</v>
      </c>
      <c r="N537">
        <f>YEAR(Table1[[#This Row],[Invoice_date]])</f>
        <v>2021</v>
      </c>
    </row>
    <row r="538" spans="1:14" x14ac:dyDescent="0.25">
      <c r="A538" t="s">
        <v>263</v>
      </c>
      <c r="B538" t="s">
        <v>264</v>
      </c>
      <c r="C538" t="s">
        <v>12</v>
      </c>
      <c r="D538">
        <v>47</v>
      </c>
      <c r="E538" t="s">
        <v>3</v>
      </c>
      <c r="F538">
        <v>5</v>
      </c>
      <c r="G538">
        <v>1500.4</v>
      </c>
      <c r="H538" t="s">
        <v>18</v>
      </c>
      <c r="I538" s="2">
        <v>44335</v>
      </c>
      <c r="J538" t="s">
        <v>5</v>
      </c>
      <c r="K538" s="4">
        <f>Table1[[#This Row],[Quantity]]*Table1[[#This Row],[Price]]</f>
        <v>7502</v>
      </c>
      <c r="L538" t="str">
        <f>IF(Table1[[#This Row],[Age]]&lt;25,"18-24",IF(Table1[[#This Row],[Age]]&lt;35,"25-34",IF(Table1[[#This Row],[Age]]&lt;45,"35-44",IF(Table1[[#This Row],[Age]]&lt;55,"45-54","55+"))))</f>
        <v>45-54</v>
      </c>
      <c r="M538" t="str">
        <f>TEXT(Table1[[#This Row],[Invoice_date]],"mmm")</f>
        <v>May</v>
      </c>
      <c r="N538">
        <f>YEAR(Table1[[#This Row],[Invoice_date]])</f>
        <v>2021</v>
      </c>
    </row>
    <row r="539" spans="1:14" x14ac:dyDescent="0.25">
      <c r="A539" t="s">
        <v>279</v>
      </c>
      <c r="B539" t="s">
        <v>280</v>
      </c>
      <c r="C539" t="s">
        <v>12</v>
      </c>
      <c r="D539">
        <v>46</v>
      </c>
      <c r="E539" t="s">
        <v>27</v>
      </c>
      <c r="F539">
        <v>5</v>
      </c>
      <c r="G539">
        <v>26.15</v>
      </c>
      <c r="H539" t="s">
        <v>4</v>
      </c>
      <c r="I539" s="2">
        <v>44593</v>
      </c>
      <c r="J539" t="s">
        <v>14</v>
      </c>
      <c r="K539" s="4">
        <f>Table1[[#This Row],[Quantity]]*Table1[[#This Row],[Price]]</f>
        <v>130.75</v>
      </c>
      <c r="L539" t="str">
        <f>IF(Table1[[#This Row],[Age]]&lt;25,"18-24",IF(Table1[[#This Row],[Age]]&lt;35,"25-34",IF(Table1[[#This Row],[Age]]&lt;45,"35-44",IF(Table1[[#This Row],[Age]]&lt;55,"45-54","55+"))))</f>
        <v>45-54</v>
      </c>
      <c r="M539" t="str">
        <f>TEXT(Table1[[#This Row],[Invoice_date]],"mmm")</f>
        <v>Feb</v>
      </c>
      <c r="N539">
        <f>YEAR(Table1[[#This Row],[Invoice_date]])</f>
        <v>2022</v>
      </c>
    </row>
    <row r="540" spans="1:14" x14ac:dyDescent="0.25">
      <c r="A540" t="s">
        <v>295</v>
      </c>
      <c r="B540" t="s">
        <v>296</v>
      </c>
      <c r="C540" t="s">
        <v>12</v>
      </c>
      <c r="D540">
        <v>46</v>
      </c>
      <c r="E540" t="s">
        <v>3</v>
      </c>
      <c r="F540">
        <v>3</v>
      </c>
      <c r="G540">
        <v>900.24</v>
      </c>
      <c r="H540" t="s">
        <v>4</v>
      </c>
      <c r="I540" s="2">
        <v>44759</v>
      </c>
      <c r="J540" t="s">
        <v>14</v>
      </c>
      <c r="K540" s="4">
        <f>Table1[[#This Row],[Quantity]]*Table1[[#This Row],[Price]]</f>
        <v>2700.7200000000003</v>
      </c>
      <c r="L540" t="str">
        <f>IF(Table1[[#This Row],[Age]]&lt;25,"18-24",IF(Table1[[#This Row],[Age]]&lt;35,"25-34",IF(Table1[[#This Row],[Age]]&lt;45,"35-44",IF(Table1[[#This Row],[Age]]&lt;55,"45-54","55+"))))</f>
        <v>45-54</v>
      </c>
      <c r="M540" t="str">
        <f>TEXT(Table1[[#This Row],[Invoice_date]],"mmm")</f>
        <v>Jul</v>
      </c>
      <c r="N540">
        <f>YEAR(Table1[[#This Row],[Invoice_date]])</f>
        <v>2022</v>
      </c>
    </row>
    <row r="541" spans="1:14" x14ac:dyDescent="0.25">
      <c r="A541" t="s">
        <v>297</v>
      </c>
      <c r="B541" t="s">
        <v>298</v>
      </c>
      <c r="C541" t="s">
        <v>2</v>
      </c>
      <c r="D541">
        <v>53</v>
      </c>
      <c r="E541" t="s">
        <v>46</v>
      </c>
      <c r="F541">
        <v>2</v>
      </c>
      <c r="G541">
        <v>23.46</v>
      </c>
      <c r="H541" t="s">
        <v>18</v>
      </c>
      <c r="I541" s="2">
        <v>44672</v>
      </c>
      <c r="J541" t="s">
        <v>14</v>
      </c>
      <c r="K541" s="4">
        <f>Table1[[#This Row],[Quantity]]*Table1[[#This Row],[Price]]</f>
        <v>46.92</v>
      </c>
      <c r="L541" t="str">
        <f>IF(Table1[[#This Row],[Age]]&lt;25,"18-24",IF(Table1[[#This Row],[Age]]&lt;35,"25-34",IF(Table1[[#This Row],[Age]]&lt;45,"35-44",IF(Table1[[#This Row],[Age]]&lt;55,"45-54","55+"))))</f>
        <v>45-54</v>
      </c>
      <c r="M541" t="str">
        <f>TEXT(Table1[[#This Row],[Invoice_date]],"mmm")</f>
        <v>Apr</v>
      </c>
      <c r="N541">
        <f>YEAR(Table1[[#This Row],[Invoice_date]])</f>
        <v>2022</v>
      </c>
    </row>
    <row r="542" spans="1:14" x14ac:dyDescent="0.25">
      <c r="A542" t="s">
        <v>303</v>
      </c>
      <c r="B542" t="s">
        <v>304</v>
      </c>
      <c r="C542" t="s">
        <v>12</v>
      </c>
      <c r="D542">
        <v>52</v>
      </c>
      <c r="E542" t="s">
        <v>8</v>
      </c>
      <c r="F542">
        <v>1</v>
      </c>
      <c r="G542">
        <v>40.659999999999997</v>
      </c>
      <c r="H542" t="s">
        <v>4</v>
      </c>
      <c r="I542" s="2">
        <v>44437</v>
      </c>
      <c r="J542" t="s">
        <v>50</v>
      </c>
      <c r="K542" s="4">
        <f>Table1[[#This Row],[Quantity]]*Table1[[#This Row],[Price]]</f>
        <v>40.659999999999997</v>
      </c>
      <c r="L542" t="str">
        <f>IF(Table1[[#This Row],[Age]]&lt;25,"18-24",IF(Table1[[#This Row],[Age]]&lt;35,"25-34",IF(Table1[[#This Row],[Age]]&lt;45,"35-44",IF(Table1[[#This Row],[Age]]&lt;55,"45-54","55+"))))</f>
        <v>45-54</v>
      </c>
      <c r="M542" t="str">
        <f>TEXT(Table1[[#This Row],[Invoice_date]],"mmm")</f>
        <v>Aug</v>
      </c>
      <c r="N542">
        <f>YEAR(Table1[[#This Row],[Invoice_date]])</f>
        <v>2021</v>
      </c>
    </row>
    <row r="543" spans="1:14" x14ac:dyDescent="0.25">
      <c r="A543" t="s">
        <v>305</v>
      </c>
      <c r="B543" t="s">
        <v>306</v>
      </c>
      <c r="C543" t="s">
        <v>12</v>
      </c>
      <c r="D543">
        <v>47</v>
      </c>
      <c r="E543" t="s">
        <v>8</v>
      </c>
      <c r="F543">
        <v>3</v>
      </c>
      <c r="G543">
        <v>121.98</v>
      </c>
      <c r="H543" t="s">
        <v>4</v>
      </c>
      <c r="I543" s="2">
        <v>44919</v>
      </c>
      <c r="J543" t="s">
        <v>74</v>
      </c>
      <c r="K543" s="4">
        <f>Table1[[#This Row],[Quantity]]*Table1[[#This Row],[Price]]</f>
        <v>365.94</v>
      </c>
      <c r="L543" t="str">
        <f>IF(Table1[[#This Row],[Age]]&lt;25,"18-24",IF(Table1[[#This Row],[Age]]&lt;35,"25-34",IF(Table1[[#This Row],[Age]]&lt;45,"35-44",IF(Table1[[#This Row],[Age]]&lt;55,"45-54","55+"))))</f>
        <v>45-54</v>
      </c>
      <c r="M543" t="str">
        <f>TEXT(Table1[[#This Row],[Invoice_date]],"mmm")</f>
        <v>Dec</v>
      </c>
      <c r="N543">
        <f>YEAR(Table1[[#This Row],[Invoice_date]])</f>
        <v>2022</v>
      </c>
    </row>
    <row r="544" spans="1:14" x14ac:dyDescent="0.25">
      <c r="A544" t="s">
        <v>325</v>
      </c>
      <c r="B544" t="s">
        <v>326</v>
      </c>
      <c r="C544" t="s">
        <v>12</v>
      </c>
      <c r="D544">
        <v>46</v>
      </c>
      <c r="E544" t="s">
        <v>46</v>
      </c>
      <c r="F544">
        <v>5</v>
      </c>
      <c r="G544">
        <v>58.65</v>
      </c>
      <c r="H544" t="s">
        <v>4</v>
      </c>
      <c r="I544" s="2">
        <v>44200</v>
      </c>
      <c r="J544" t="s">
        <v>50</v>
      </c>
      <c r="K544" s="4">
        <f>Table1[[#This Row],[Quantity]]*Table1[[#This Row],[Price]]</f>
        <v>293.25</v>
      </c>
      <c r="L544" t="str">
        <f>IF(Table1[[#This Row],[Age]]&lt;25,"18-24",IF(Table1[[#This Row],[Age]]&lt;35,"25-34",IF(Table1[[#This Row],[Age]]&lt;45,"35-44",IF(Table1[[#This Row],[Age]]&lt;55,"45-54","55+"))))</f>
        <v>45-54</v>
      </c>
      <c r="M544" t="str">
        <f>TEXT(Table1[[#This Row],[Invoice_date]],"mmm")</f>
        <v>Jan</v>
      </c>
      <c r="N544">
        <f>YEAR(Table1[[#This Row],[Invoice_date]])</f>
        <v>2021</v>
      </c>
    </row>
    <row r="545" spans="1:14" x14ac:dyDescent="0.25">
      <c r="A545" t="s">
        <v>337</v>
      </c>
      <c r="B545" t="s">
        <v>338</v>
      </c>
      <c r="C545" t="s">
        <v>12</v>
      </c>
      <c r="D545">
        <v>51</v>
      </c>
      <c r="E545" t="s">
        <v>17</v>
      </c>
      <c r="F545">
        <v>5</v>
      </c>
      <c r="G545">
        <v>75.75</v>
      </c>
      <c r="H545" t="s">
        <v>13</v>
      </c>
      <c r="I545" s="2">
        <v>44197</v>
      </c>
      <c r="J545" t="s">
        <v>14</v>
      </c>
      <c r="K545" s="4">
        <f>Table1[[#This Row],[Quantity]]*Table1[[#This Row],[Price]]</f>
        <v>378.75</v>
      </c>
      <c r="L545" t="str">
        <f>IF(Table1[[#This Row],[Age]]&lt;25,"18-24",IF(Table1[[#This Row],[Age]]&lt;35,"25-34",IF(Table1[[#This Row],[Age]]&lt;45,"35-44",IF(Table1[[#This Row],[Age]]&lt;55,"45-54","55+"))))</f>
        <v>45-54</v>
      </c>
      <c r="M545" t="str">
        <f>TEXT(Table1[[#This Row],[Invoice_date]],"mmm")</f>
        <v>Jan</v>
      </c>
      <c r="N545">
        <f>YEAR(Table1[[#This Row],[Invoice_date]])</f>
        <v>2021</v>
      </c>
    </row>
    <row r="546" spans="1:14" x14ac:dyDescent="0.25">
      <c r="A546" t="s">
        <v>339</v>
      </c>
      <c r="B546" t="s">
        <v>340</v>
      </c>
      <c r="C546" t="s">
        <v>2</v>
      </c>
      <c r="D546">
        <v>50</v>
      </c>
      <c r="E546" t="s">
        <v>3</v>
      </c>
      <c r="F546">
        <v>1</v>
      </c>
      <c r="G546">
        <v>300.08</v>
      </c>
      <c r="H546" t="s">
        <v>13</v>
      </c>
      <c r="I546" s="2">
        <v>44222</v>
      </c>
      <c r="J546" t="s">
        <v>14</v>
      </c>
      <c r="K546" s="4">
        <f>Table1[[#This Row],[Quantity]]*Table1[[#This Row],[Price]]</f>
        <v>300.08</v>
      </c>
      <c r="L546" t="str">
        <f>IF(Table1[[#This Row],[Age]]&lt;25,"18-24",IF(Table1[[#This Row],[Age]]&lt;35,"25-34",IF(Table1[[#This Row],[Age]]&lt;45,"35-44",IF(Table1[[#This Row],[Age]]&lt;55,"45-54","55+"))))</f>
        <v>45-54</v>
      </c>
      <c r="M546" t="str">
        <f>TEXT(Table1[[#This Row],[Invoice_date]],"mmm")</f>
        <v>Jan</v>
      </c>
      <c r="N546">
        <f>YEAR(Table1[[#This Row],[Invoice_date]])</f>
        <v>2021</v>
      </c>
    </row>
    <row r="547" spans="1:14" x14ac:dyDescent="0.25">
      <c r="A547" t="s">
        <v>347</v>
      </c>
      <c r="B547" t="s">
        <v>348</v>
      </c>
      <c r="C547" t="s">
        <v>12</v>
      </c>
      <c r="D547">
        <v>51</v>
      </c>
      <c r="E547" t="s">
        <v>3</v>
      </c>
      <c r="F547">
        <v>2</v>
      </c>
      <c r="G547">
        <v>600.16</v>
      </c>
      <c r="H547" t="s">
        <v>4</v>
      </c>
      <c r="I547" s="2">
        <v>44526</v>
      </c>
      <c r="J547" t="s">
        <v>24</v>
      </c>
      <c r="K547" s="4">
        <f>Table1[[#This Row],[Quantity]]*Table1[[#This Row],[Price]]</f>
        <v>1200.32</v>
      </c>
      <c r="L547" t="str">
        <f>IF(Table1[[#This Row],[Age]]&lt;25,"18-24",IF(Table1[[#This Row],[Age]]&lt;35,"25-34",IF(Table1[[#This Row],[Age]]&lt;45,"35-44",IF(Table1[[#This Row],[Age]]&lt;55,"45-54","55+"))))</f>
        <v>45-54</v>
      </c>
      <c r="M547" t="str">
        <f>TEXT(Table1[[#This Row],[Invoice_date]],"mmm")</f>
        <v>Nov</v>
      </c>
      <c r="N547">
        <f>YEAR(Table1[[#This Row],[Invoice_date]])</f>
        <v>2021</v>
      </c>
    </row>
    <row r="548" spans="1:14" x14ac:dyDescent="0.25">
      <c r="A548" t="s">
        <v>351</v>
      </c>
      <c r="B548" t="s">
        <v>352</v>
      </c>
      <c r="C548" t="s">
        <v>2</v>
      </c>
      <c r="D548">
        <v>45</v>
      </c>
      <c r="E548" t="s">
        <v>3</v>
      </c>
      <c r="F548">
        <v>5</v>
      </c>
      <c r="G548">
        <v>1500.4</v>
      </c>
      <c r="H548" t="s">
        <v>4</v>
      </c>
      <c r="I548" s="2">
        <v>44325</v>
      </c>
      <c r="J548" t="s">
        <v>63</v>
      </c>
      <c r="K548" s="4">
        <f>Table1[[#This Row],[Quantity]]*Table1[[#This Row],[Price]]</f>
        <v>7502</v>
      </c>
      <c r="L548" t="str">
        <f>IF(Table1[[#This Row],[Age]]&lt;25,"18-24",IF(Table1[[#This Row],[Age]]&lt;35,"25-34",IF(Table1[[#This Row],[Age]]&lt;45,"35-44",IF(Table1[[#This Row],[Age]]&lt;55,"45-54","55+"))))</f>
        <v>45-54</v>
      </c>
      <c r="M548" t="str">
        <f>TEXT(Table1[[#This Row],[Invoice_date]],"mmm")</f>
        <v>May</v>
      </c>
      <c r="N548">
        <f>YEAR(Table1[[#This Row],[Invoice_date]])</f>
        <v>2021</v>
      </c>
    </row>
    <row r="549" spans="1:14" x14ac:dyDescent="0.25">
      <c r="A549" t="s">
        <v>363</v>
      </c>
      <c r="B549" t="s">
        <v>364</v>
      </c>
      <c r="C549" t="s">
        <v>2</v>
      </c>
      <c r="D549">
        <v>49</v>
      </c>
      <c r="E549" t="s">
        <v>3</v>
      </c>
      <c r="F549">
        <v>4</v>
      </c>
      <c r="G549">
        <v>1200.32</v>
      </c>
      <c r="H549" t="s">
        <v>18</v>
      </c>
      <c r="I549" s="2">
        <v>44221</v>
      </c>
      <c r="J549" t="s">
        <v>33</v>
      </c>
      <c r="K549" s="4">
        <f>Table1[[#This Row],[Quantity]]*Table1[[#This Row],[Price]]</f>
        <v>4801.28</v>
      </c>
      <c r="L549" t="str">
        <f>IF(Table1[[#This Row],[Age]]&lt;25,"18-24",IF(Table1[[#This Row],[Age]]&lt;35,"25-34",IF(Table1[[#This Row],[Age]]&lt;45,"35-44",IF(Table1[[#This Row],[Age]]&lt;55,"45-54","55+"))))</f>
        <v>45-54</v>
      </c>
      <c r="M549" t="str">
        <f>TEXT(Table1[[#This Row],[Invoice_date]],"mmm")</f>
        <v>Jan</v>
      </c>
      <c r="N549">
        <f>YEAR(Table1[[#This Row],[Invoice_date]])</f>
        <v>2021</v>
      </c>
    </row>
    <row r="550" spans="1:14" x14ac:dyDescent="0.25">
      <c r="A550" t="s">
        <v>369</v>
      </c>
      <c r="B550" t="s">
        <v>370</v>
      </c>
      <c r="C550" t="s">
        <v>2</v>
      </c>
      <c r="D550">
        <v>54</v>
      </c>
      <c r="E550" t="s">
        <v>3</v>
      </c>
      <c r="F550">
        <v>1</v>
      </c>
      <c r="G550">
        <v>300.08</v>
      </c>
      <c r="H550" t="s">
        <v>4</v>
      </c>
      <c r="I550" s="2">
        <v>44738</v>
      </c>
      <c r="J550" t="s">
        <v>24</v>
      </c>
      <c r="K550" s="4">
        <f>Table1[[#This Row],[Quantity]]*Table1[[#This Row],[Price]]</f>
        <v>300.08</v>
      </c>
      <c r="L550" t="str">
        <f>IF(Table1[[#This Row],[Age]]&lt;25,"18-24",IF(Table1[[#This Row],[Age]]&lt;35,"25-34",IF(Table1[[#This Row],[Age]]&lt;45,"35-44",IF(Table1[[#This Row],[Age]]&lt;55,"45-54","55+"))))</f>
        <v>45-54</v>
      </c>
      <c r="M550" t="str">
        <f>TEXT(Table1[[#This Row],[Invoice_date]],"mmm")</f>
        <v>Jun</v>
      </c>
      <c r="N550">
        <f>YEAR(Table1[[#This Row],[Invoice_date]])</f>
        <v>2022</v>
      </c>
    </row>
    <row r="551" spans="1:14" x14ac:dyDescent="0.25">
      <c r="A551" t="s">
        <v>381</v>
      </c>
      <c r="B551" t="s">
        <v>382</v>
      </c>
      <c r="C551" t="s">
        <v>12</v>
      </c>
      <c r="D551">
        <v>52</v>
      </c>
      <c r="E551" t="s">
        <v>27</v>
      </c>
      <c r="F551">
        <v>2</v>
      </c>
      <c r="G551">
        <v>10.46</v>
      </c>
      <c r="H551" t="s">
        <v>4</v>
      </c>
      <c r="I551" s="2">
        <v>44625</v>
      </c>
      <c r="J551" t="s">
        <v>14</v>
      </c>
      <c r="K551" s="4">
        <f>Table1[[#This Row],[Quantity]]*Table1[[#This Row],[Price]]</f>
        <v>20.92</v>
      </c>
      <c r="L551" t="str">
        <f>IF(Table1[[#This Row],[Age]]&lt;25,"18-24",IF(Table1[[#This Row],[Age]]&lt;35,"25-34",IF(Table1[[#This Row],[Age]]&lt;45,"35-44",IF(Table1[[#This Row],[Age]]&lt;55,"45-54","55+"))))</f>
        <v>45-54</v>
      </c>
      <c r="M551" t="str">
        <f>TEXT(Table1[[#This Row],[Invoice_date]],"mmm")</f>
        <v>Mar</v>
      </c>
      <c r="N551">
        <f>YEAR(Table1[[#This Row],[Invoice_date]])</f>
        <v>2022</v>
      </c>
    </row>
    <row r="552" spans="1:14" x14ac:dyDescent="0.25">
      <c r="A552" t="s">
        <v>383</v>
      </c>
      <c r="B552" t="s">
        <v>384</v>
      </c>
      <c r="C552" t="s">
        <v>2</v>
      </c>
      <c r="D552">
        <v>49</v>
      </c>
      <c r="E552" t="s">
        <v>27</v>
      </c>
      <c r="F552">
        <v>1</v>
      </c>
      <c r="G552">
        <v>5.23</v>
      </c>
      <c r="H552" t="s">
        <v>18</v>
      </c>
      <c r="I552" s="2">
        <v>44415</v>
      </c>
      <c r="J552" t="s">
        <v>14</v>
      </c>
      <c r="K552" s="4">
        <f>Table1[[#This Row],[Quantity]]*Table1[[#This Row],[Price]]</f>
        <v>5.23</v>
      </c>
      <c r="L552" t="str">
        <f>IF(Table1[[#This Row],[Age]]&lt;25,"18-24",IF(Table1[[#This Row],[Age]]&lt;35,"25-34",IF(Table1[[#This Row],[Age]]&lt;45,"35-44",IF(Table1[[#This Row],[Age]]&lt;55,"45-54","55+"))))</f>
        <v>45-54</v>
      </c>
      <c r="M552" t="str">
        <f>TEXT(Table1[[#This Row],[Invoice_date]],"mmm")</f>
        <v>Aug</v>
      </c>
      <c r="N552">
        <f>YEAR(Table1[[#This Row],[Invoice_date]])</f>
        <v>2021</v>
      </c>
    </row>
    <row r="553" spans="1:14" x14ac:dyDescent="0.25">
      <c r="A553" t="s">
        <v>421</v>
      </c>
      <c r="B553" t="s">
        <v>422</v>
      </c>
      <c r="C553" t="s">
        <v>2</v>
      </c>
      <c r="D553">
        <v>49</v>
      </c>
      <c r="E553" t="s">
        <v>49</v>
      </c>
      <c r="F553">
        <v>4</v>
      </c>
      <c r="G553">
        <v>143.36000000000001</v>
      </c>
      <c r="H553" t="s">
        <v>4</v>
      </c>
      <c r="I553" s="2">
        <v>44721</v>
      </c>
      <c r="J553" t="s">
        <v>14</v>
      </c>
      <c r="K553" s="4">
        <f>Table1[[#This Row],[Quantity]]*Table1[[#This Row],[Price]]</f>
        <v>573.44000000000005</v>
      </c>
      <c r="L553" t="str">
        <f>IF(Table1[[#This Row],[Age]]&lt;25,"18-24",IF(Table1[[#This Row],[Age]]&lt;35,"25-34",IF(Table1[[#This Row],[Age]]&lt;45,"35-44",IF(Table1[[#This Row],[Age]]&lt;55,"45-54","55+"))))</f>
        <v>45-54</v>
      </c>
      <c r="M553" t="str">
        <f>TEXT(Table1[[#This Row],[Invoice_date]],"mmm")</f>
        <v>Jun</v>
      </c>
      <c r="N553">
        <f>YEAR(Table1[[#This Row],[Invoice_date]])</f>
        <v>2022</v>
      </c>
    </row>
    <row r="554" spans="1:14" x14ac:dyDescent="0.25">
      <c r="A554" t="s">
        <v>437</v>
      </c>
      <c r="B554" t="s">
        <v>438</v>
      </c>
      <c r="C554" t="s">
        <v>12</v>
      </c>
      <c r="D554">
        <v>45</v>
      </c>
      <c r="E554" t="s">
        <v>3</v>
      </c>
      <c r="F554">
        <v>3</v>
      </c>
      <c r="G554">
        <v>900.24</v>
      </c>
      <c r="H554" t="s">
        <v>18</v>
      </c>
      <c r="I554" s="2">
        <v>44944</v>
      </c>
      <c r="J554" t="s">
        <v>33</v>
      </c>
      <c r="K554" s="4">
        <f>Table1[[#This Row],[Quantity]]*Table1[[#This Row],[Price]]</f>
        <v>2700.7200000000003</v>
      </c>
      <c r="L554" t="str">
        <f>IF(Table1[[#This Row],[Age]]&lt;25,"18-24",IF(Table1[[#This Row],[Age]]&lt;35,"25-34",IF(Table1[[#This Row],[Age]]&lt;45,"35-44",IF(Table1[[#This Row],[Age]]&lt;55,"45-54","55+"))))</f>
        <v>45-54</v>
      </c>
      <c r="M554" t="str">
        <f>TEXT(Table1[[#This Row],[Invoice_date]],"mmm")</f>
        <v>Jan</v>
      </c>
      <c r="N554">
        <f>YEAR(Table1[[#This Row],[Invoice_date]])</f>
        <v>2023</v>
      </c>
    </row>
    <row r="555" spans="1:14" x14ac:dyDescent="0.25">
      <c r="A555" t="s">
        <v>441</v>
      </c>
      <c r="B555" t="s">
        <v>442</v>
      </c>
      <c r="C555" t="s">
        <v>2</v>
      </c>
      <c r="D555">
        <v>54</v>
      </c>
      <c r="E555" t="s">
        <v>17</v>
      </c>
      <c r="F555">
        <v>3</v>
      </c>
      <c r="G555">
        <v>45.45</v>
      </c>
      <c r="H555" t="s">
        <v>13</v>
      </c>
      <c r="I555" s="2">
        <v>44905</v>
      </c>
      <c r="J555" t="s">
        <v>24</v>
      </c>
      <c r="K555" s="4">
        <f>Table1[[#This Row],[Quantity]]*Table1[[#This Row],[Price]]</f>
        <v>136.35000000000002</v>
      </c>
      <c r="L555" t="str">
        <f>IF(Table1[[#This Row],[Age]]&lt;25,"18-24",IF(Table1[[#This Row],[Age]]&lt;35,"25-34",IF(Table1[[#This Row],[Age]]&lt;45,"35-44",IF(Table1[[#This Row],[Age]]&lt;55,"45-54","55+"))))</f>
        <v>45-54</v>
      </c>
      <c r="M555" t="str">
        <f>TEXT(Table1[[#This Row],[Invoice_date]],"mmm")</f>
        <v>Dec</v>
      </c>
      <c r="N555">
        <f>YEAR(Table1[[#This Row],[Invoice_date]])</f>
        <v>2022</v>
      </c>
    </row>
    <row r="556" spans="1:14" x14ac:dyDescent="0.25">
      <c r="A556" t="s">
        <v>457</v>
      </c>
      <c r="B556" t="s">
        <v>458</v>
      </c>
      <c r="C556" t="s">
        <v>12</v>
      </c>
      <c r="D556">
        <v>54</v>
      </c>
      <c r="E556" t="s">
        <v>8</v>
      </c>
      <c r="F556">
        <v>2</v>
      </c>
      <c r="G556">
        <v>81.319999999999993</v>
      </c>
      <c r="H556" t="s">
        <v>4</v>
      </c>
      <c r="I556" s="2">
        <v>44975</v>
      </c>
      <c r="J556" t="s">
        <v>50</v>
      </c>
      <c r="K556" s="4">
        <f>Table1[[#This Row],[Quantity]]*Table1[[#This Row],[Price]]</f>
        <v>162.63999999999999</v>
      </c>
      <c r="L556" t="str">
        <f>IF(Table1[[#This Row],[Age]]&lt;25,"18-24",IF(Table1[[#This Row],[Age]]&lt;35,"25-34",IF(Table1[[#This Row],[Age]]&lt;45,"35-44",IF(Table1[[#This Row],[Age]]&lt;55,"45-54","55+"))))</f>
        <v>45-54</v>
      </c>
      <c r="M556" t="str">
        <f>TEXT(Table1[[#This Row],[Invoice_date]],"mmm")</f>
        <v>Feb</v>
      </c>
      <c r="N556">
        <f>YEAR(Table1[[#This Row],[Invoice_date]])</f>
        <v>2023</v>
      </c>
    </row>
    <row r="557" spans="1:14" x14ac:dyDescent="0.25">
      <c r="A557" t="s">
        <v>495</v>
      </c>
      <c r="B557" t="s">
        <v>496</v>
      </c>
      <c r="C557" t="s">
        <v>12</v>
      </c>
      <c r="D557">
        <v>51</v>
      </c>
      <c r="E557" t="s">
        <v>3</v>
      </c>
      <c r="F557">
        <v>2</v>
      </c>
      <c r="G557">
        <v>600.16</v>
      </c>
      <c r="H557" t="s">
        <v>13</v>
      </c>
      <c r="I557" s="2">
        <v>44683</v>
      </c>
      <c r="J557" t="s">
        <v>33</v>
      </c>
      <c r="K557" s="4">
        <f>Table1[[#This Row],[Quantity]]*Table1[[#This Row],[Price]]</f>
        <v>1200.32</v>
      </c>
      <c r="L557" t="str">
        <f>IF(Table1[[#This Row],[Age]]&lt;25,"18-24",IF(Table1[[#This Row],[Age]]&lt;35,"25-34",IF(Table1[[#This Row],[Age]]&lt;45,"35-44",IF(Table1[[#This Row],[Age]]&lt;55,"45-54","55+"))))</f>
        <v>45-54</v>
      </c>
      <c r="M557" t="str">
        <f>TEXT(Table1[[#This Row],[Invoice_date]],"mmm")</f>
        <v>May</v>
      </c>
      <c r="N557">
        <f>YEAR(Table1[[#This Row],[Invoice_date]])</f>
        <v>2022</v>
      </c>
    </row>
    <row r="558" spans="1:14" x14ac:dyDescent="0.25">
      <c r="A558" t="s">
        <v>511</v>
      </c>
      <c r="B558" t="s">
        <v>512</v>
      </c>
      <c r="C558" t="s">
        <v>12</v>
      </c>
      <c r="D558">
        <v>50</v>
      </c>
      <c r="E558" t="s">
        <v>3</v>
      </c>
      <c r="F558">
        <v>4</v>
      </c>
      <c r="G558">
        <v>1200.32</v>
      </c>
      <c r="H558" t="s">
        <v>4</v>
      </c>
      <c r="I558" s="2">
        <v>44651</v>
      </c>
      <c r="J558" t="s">
        <v>33</v>
      </c>
      <c r="K558" s="4">
        <f>Table1[[#This Row],[Quantity]]*Table1[[#This Row],[Price]]</f>
        <v>4801.28</v>
      </c>
      <c r="L558" t="str">
        <f>IF(Table1[[#This Row],[Age]]&lt;25,"18-24",IF(Table1[[#This Row],[Age]]&lt;35,"25-34",IF(Table1[[#This Row],[Age]]&lt;45,"35-44",IF(Table1[[#This Row],[Age]]&lt;55,"45-54","55+"))))</f>
        <v>45-54</v>
      </c>
      <c r="M558" t="str">
        <f>TEXT(Table1[[#This Row],[Invoice_date]],"mmm")</f>
        <v>Mar</v>
      </c>
      <c r="N558">
        <f>YEAR(Table1[[#This Row],[Invoice_date]])</f>
        <v>2022</v>
      </c>
    </row>
    <row r="559" spans="1:14" x14ac:dyDescent="0.25">
      <c r="A559" t="s">
        <v>513</v>
      </c>
      <c r="B559" t="s">
        <v>514</v>
      </c>
      <c r="C559" t="s">
        <v>12</v>
      </c>
      <c r="D559">
        <v>52</v>
      </c>
      <c r="E559" t="s">
        <v>49</v>
      </c>
      <c r="F559">
        <v>2</v>
      </c>
      <c r="G559">
        <v>71.680000000000007</v>
      </c>
      <c r="H559" t="s">
        <v>4</v>
      </c>
      <c r="I559" s="2">
        <v>44259</v>
      </c>
      <c r="J559" t="s">
        <v>24</v>
      </c>
      <c r="K559" s="4">
        <f>Table1[[#This Row],[Quantity]]*Table1[[#This Row],[Price]]</f>
        <v>143.36000000000001</v>
      </c>
      <c r="L559" t="str">
        <f>IF(Table1[[#This Row],[Age]]&lt;25,"18-24",IF(Table1[[#This Row],[Age]]&lt;35,"25-34",IF(Table1[[#This Row],[Age]]&lt;45,"35-44",IF(Table1[[#This Row],[Age]]&lt;55,"45-54","55+"))))</f>
        <v>45-54</v>
      </c>
      <c r="M559" t="str">
        <f>TEXT(Table1[[#This Row],[Invoice_date]],"mmm")</f>
        <v>Mar</v>
      </c>
      <c r="N559">
        <f>YEAR(Table1[[#This Row],[Invoice_date]])</f>
        <v>2021</v>
      </c>
    </row>
    <row r="560" spans="1:14" x14ac:dyDescent="0.25">
      <c r="A560" t="s">
        <v>519</v>
      </c>
      <c r="B560" t="s">
        <v>520</v>
      </c>
      <c r="C560" t="s">
        <v>12</v>
      </c>
      <c r="D560">
        <v>49</v>
      </c>
      <c r="E560" t="s">
        <v>3</v>
      </c>
      <c r="F560">
        <v>1</v>
      </c>
      <c r="G560">
        <v>300.08</v>
      </c>
      <c r="H560" t="s">
        <v>13</v>
      </c>
      <c r="I560" s="2">
        <v>44937</v>
      </c>
      <c r="J560" t="s">
        <v>30</v>
      </c>
      <c r="K560" s="4">
        <f>Table1[[#This Row],[Quantity]]*Table1[[#This Row],[Price]]</f>
        <v>300.08</v>
      </c>
      <c r="L560" t="str">
        <f>IF(Table1[[#This Row],[Age]]&lt;25,"18-24",IF(Table1[[#This Row],[Age]]&lt;35,"25-34",IF(Table1[[#This Row],[Age]]&lt;45,"35-44",IF(Table1[[#This Row],[Age]]&lt;55,"45-54","55+"))))</f>
        <v>45-54</v>
      </c>
      <c r="M560" t="str">
        <f>TEXT(Table1[[#This Row],[Invoice_date]],"mmm")</f>
        <v>Jan</v>
      </c>
      <c r="N560">
        <f>YEAR(Table1[[#This Row],[Invoice_date]])</f>
        <v>2023</v>
      </c>
    </row>
    <row r="561" spans="1:14" x14ac:dyDescent="0.25">
      <c r="A561" t="s">
        <v>523</v>
      </c>
      <c r="B561" t="s">
        <v>524</v>
      </c>
      <c r="C561" t="s">
        <v>2</v>
      </c>
      <c r="D561">
        <v>54</v>
      </c>
      <c r="E561" t="s">
        <v>8</v>
      </c>
      <c r="F561">
        <v>3</v>
      </c>
      <c r="G561">
        <v>121.98</v>
      </c>
      <c r="H561" t="s">
        <v>18</v>
      </c>
      <c r="I561" s="2">
        <v>44964</v>
      </c>
      <c r="J561" t="s">
        <v>74</v>
      </c>
      <c r="K561" s="4">
        <f>Table1[[#This Row],[Quantity]]*Table1[[#This Row],[Price]]</f>
        <v>365.94</v>
      </c>
      <c r="L561" t="str">
        <f>IF(Table1[[#This Row],[Age]]&lt;25,"18-24",IF(Table1[[#This Row],[Age]]&lt;35,"25-34",IF(Table1[[#This Row],[Age]]&lt;45,"35-44",IF(Table1[[#This Row],[Age]]&lt;55,"45-54","55+"))))</f>
        <v>45-54</v>
      </c>
      <c r="M561" t="str">
        <f>TEXT(Table1[[#This Row],[Invoice_date]],"mmm")</f>
        <v>Feb</v>
      </c>
      <c r="N561">
        <f>YEAR(Table1[[#This Row],[Invoice_date]])</f>
        <v>2023</v>
      </c>
    </row>
    <row r="562" spans="1:14" x14ac:dyDescent="0.25">
      <c r="A562" t="s">
        <v>525</v>
      </c>
      <c r="B562" t="s">
        <v>526</v>
      </c>
      <c r="C562" t="s">
        <v>12</v>
      </c>
      <c r="D562">
        <v>49</v>
      </c>
      <c r="E562" t="s">
        <v>8</v>
      </c>
      <c r="F562">
        <v>3</v>
      </c>
      <c r="G562">
        <v>121.98</v>
      </c>
      <c r="H562" t="s">
        <v>4</v>
      </c>
      <c r="I562" s="2">
        <v>44709</v>
      </c>
      <c r="J562" t="s">
        <v>33</v>
      </c>
      <c r="K562" s="4">
        <f>Table1[[#This Row],[Quantity]]*Table1[[#This Row],[Price]]</f>
        <v>365.94</v>
      </c>
      <c r="L562" t="str">
        <f>IF(Table1[[#This Row],[Age]]&lt;25,"18-24",IF(Table1[[#This Row],[Age]]&lt;35,"25-34",IF(Table1[[#This Row],[Age]]&lt;45,"35-44",IF(Table1[[#This Row],[Age]]&lt;55,"45-54","55+"))))</f>
        <v>45-54</v>
      </c>
      <c r="M562" t="str">
        <f>TEXT(Table1[[#This Row],[Invoice_date]],"mmm")</f>
        <v>May</v>
      </c>
      <c r="N562">
        <f>YEAR(Table1[[#This Row],[Invoice_date]])</f>
        <v>2022</v>
      </c>
    </row>
    <row r="563" spans="1:14" x14ac:dyDescent="0.25">
      <c r="A563" t="s">
        <v>555</v>
      </c>
      <c r="B563" t="s">
        <v>556</v>
      </c>
      <c r="C563" t="s">
        <v>2</v>
      </c>
      <c r="D563">
        <v>50</v>
      </c>
      <c r="E563" t="s">
        <v>49</v>
      </c>
      <c r="F563">
        <v>4</v>
      </c>
      <c r="G563">
        <v>143.36000000000001</v>
      </c>
      <c r="H563" t="s">
        <v>4</v>
      </c>
      <c r="I563" s="2">
        <v>44670</v>
      </c>
      <c r="J563" t="s">
        <v>33</v>
      </c>
      <c r="K563" s="4">
        <f>Table1[[#This Row],[Quantity]]*Table1[[#This Row],[Price]]</f>
        <v>573.44000000000005</v>
      </c>
      <c r="L563" t="str">
        <f>IF(Table1[[#This Row],[Age]]&lt;25,"18-24",IF(Table1[[#This Row],[Age]]&lt;35,"25-34",IF(Table1[[#This Row],[Age]]&lt;45,"35-44",IF(Table1[[#This Row],[Age]]&lt;55,"45-54","55+"))))</f>
        <v>45-54</v>
      </c>
      <c r="M563" t="str">
        <f>TEXT(Table1[[#This Row],[Invoice_date]],"mmm")</f>
        <v>Apr</v>
      </c>
      <c r="N563">
        <f>YEAR(Table1[[#This Row],[Invoice_date]])</f>
        <v>2022</v>
      </c>
    </row>
    <row r="564" spans="1:14" x14ac:dyDescent="0.25">
      <c r="A564" t="s">
        <v>569</v>
      </c>
      <c r="B564" t="s">
        <v>570</v>
      </c>
      <c r="C564" t="s">
        <v>12</v>
      </c>
      <c r="D564">
        <v>45</v>
      </c>
      <c r="E564" t="s">
        <v>27</v>
      </c>
      <c r="F564">
        <v>5</v>
      </c>
      <c r="G564">
        <v>26.15</v>
      </c>
      <c r="H564" t="s">
        <v>18</v>
      </c>
      <c r="I564" s="2">
        <v>44355</v>
      </c>
      <c r="J564" t="s">
        <v>43</v>
      </c>
      <c r="K564" s="4">
        <f>Table1[[#This Row],[Quantity]]*Table1[[#This Row],[Price]]</f>
        <v>130.75</v>
      </c>
      <c r="L564" t="str">
        <f>IF(Table1[[#This Row],[Age]]&lt;25,"18-24",IF(Table1[[#This Row],[Age]]&lt;35,"25-34",IF(Table1[[#This Row],[Age]]&lt;45,"35-44",IF(Table1[[#This Row],[Age]]&lt;55,"45-54","55+"))))</f>
        <v>45-54</v>
      </c>
      <c r="M564" t="str">
        <f>TEXT(Table1[[#This Row],[Invoice_date]],"mmm")</f>
        <v>Jun</v>
      </c>
      <c r="N564">
        <f>YEAR(Table1[[#This Row],[Invoice_date]])</f>
        <v>2021</v>
      </c>
    </row>
    <row r="565" spans="1:14" x14ac:dyDescent="0.25">
      <c r="A565" t="s">
        <v>571</v>
      </c>
      <c r="B565" t="s">
        <v>572</v>
      </c>
      <c r="C565" t="s">
        <v>12</v>
      </c>
      <c r="D565">
        <v>54</v>
      </c>
      <c r="E565" t="s">
        <v>3</v>
      </c>
      <c r="F565">
        <v>4</v>
      </c>
      <c r="G565">
        <v>1200.32</v>
      </c>
      <c r="H565" t="s">
        <v>13</v>
      </c>
      <c r="I565" s="2">
        <v>44578</v>
      </c>
      <c r="J565" t="s">
        <v>50</v>
      </c>
      <c r="K565" s="4">
        <f>Table1[[#This Row],[Quantity]]*Table1[[#This Row],[Price]]</f>
        <v>4801.28</v>
      </c>
      <c r="L565" t="str">
        <f>IF(Table1[[#This Row],[Age]]&lt;25,"18-24",IF(Table1[[#This Row],[Age]]&lt;35,"25-34",IF(Table1[[#This Row],[Age]]&lt;45,"35-44",IF(Table1[[#This Row],[Age]]&lt;55,"45-54","55+"))))</f>
        <v>45-54</v>
      </c>
      <c r="M565" t="str">
        <f>TEXT(Table1[[#This Row],[Invoice_date]],"mmm")</f>
        <v>Jan</v>
      </c>
      <c r="N565">
        <f>YEAR(Table1[[#This Row],[Invoice_date]])</f>
        <v>2022</v>
      </c>
    </row>
    <row r="566" spans="1:14" x14ac:dyDescent="0.25">
      <c r="A566" t="s">
        <v>579</v>
      </c>
      <c r="B566" t="s">
        <v>580</v>
      </c>
      <c r="C566" t="s">
        <v>12</v>
      </c>
      <c r="D566">
        <v>49</v>
      </c>
      <c r="E566" t="s">
        <v>8</v>
      </c>
      <c r="F566">
        <v>2</v>
      </c>
      <c r="G566">
        <v>81.319999999999993</v>
      </c>
      <c r="H566" t="s">
        <v>4</v>
      </c>
      <c r="I566" s="2">
        <v>44919</v>
      </c>
      <c r="J566" t="s">
        <v>9</v>
      </c>
      <c r="K566" s="4">
        <f>Table1[[#This Row],[Quantity]]*Table1[[#This Row],[Price]]</f>
        <v>162.63999999999999</v>
      </c>
      <c r="L566" t="str">
        <f>IF(Table1[[#This Row],[Age]]&lt;25,"18-24",IF(Table1[[#This Row],[Age]]&lt;35,"25-34",IF(Table1[[#This Row],[Age]]&lt;45,"35-44",IF(Table1[[#This Row],[Age]]&lt;55,"45-54","55+"))))</f>
        <v>45-54</v>
      </c>
      <c r="M566" t="str">
        <f>TEXT(Table1[[#This Row],[Invoice_date]],"mmm")</f>
        <v>Dec</v>
      </c>
      <c r="N566">
        <f>YEAR(Table1[[#This Row],[Invoice_date]])</f>
        <v>2022</v>
      </c>
    </row>
    <row r="567" spans="1:14" x14ac:dyDescent="0.25">
      <c r="A567" t="s">
        <v>585</v>
      </c>
      <c r="B567" t="s">
        <v>586</v>
      </c>
      <c r="C567" t="s">
        <v>12</v>
      </c>
      <c r="D567">
        <v>54</v>
      </c>
      <c r="E567" t="s">
        <v>27</v>
      </c>
      <c r="F567">
        <v>3</v>
      </c>
      <c r="G567">
        <v>15.69</v>
      </c>
      <c r="H567" t="s">
        <v>4</v>
      </c>
      <c r="I567" s="2">
        <v>44424</v>
      </c>
      <c r="J567" t="s">
        <v>24</v>
      </c>
      <c r="K567" s="4">
        <f>Table1[[#This Row],[Quantity]]*Table1[[#This Row],[Price]]</f>
        <v>47.07</v>
      </c>
      <c r="L567" t="str">
        <f>IF(Table1[[#This Row],[Age]]&lt;25,"18-24",IF(Table1[[#This Row],[Age]]&lt;35,"25-34",IF(Table1[[#This Row],[Age]]&lt;45,"35-44",IF(Table1[[#This Row],[Age]]&lt;55,"45-54","55+"))))</f>
        <v>45-54</v>
      </c>
      <c r="M567" t="str">
        <f>TEXT(Table1[[#This Row],[Invoice_date]],"mmm")</f>
        <v>Aug</v>
      </c>
      <c r="N567">
        <f>YEAR(Table1[[#This Row],[Invoice_date]])</f>
        <v>2021</v>
      </c>
    </row>
    <row r="568" spans="1:14" x14ac:dyDescent="0.25">
      <c r="A568" t="s">
        <v>587</v>
      </c>
      <c r="B568" t="s">
        <v>588</v>
      </c>
      <c r="C568" t="s">
        <v>2</v>
      </c>
      <c r="D568">
        <v>46</v>
      </c>
      <c r="E568" t="s">
        <v>17</v>
      </c>
      <c r="F568">
        <v>2</v>
      </c>
      <c r="G568">
        <v>30.3</v>
      </c>
      <c r="H568" t="s">
        <v>4</v>
      </c>
      <c r="I568" s="2">
        <v>44987</v>
      </c>
      <c r="J568" t="s">
        <v>24</v>
      </c>
      <c r="K568" s="4">
        <f>Table1[[#This Row],[Quantity]]*Table1[[#This Row],[Price]]</f>
        <v>60.6</v>
      </c>
      <c r="L568" t="str">
        <f>IF(Table1[[#This Row],[Age]]&lt;25,"18-24",IF(Table1[[#This Row],[Age]]&lt;35,"25-34",IF(Table1[[#This Row],[Age]]&lt;45,"35-44",IF(Table1[[#This Row],[Age]]&lt;55,"45-54","55+"))))</f>
        <v>45-54</v>
      </c>
      <c r="M568" t="str">
        <f>TEXT(Table1[[#This Row],[Invoice_date]],"mmm")</f>
        <v>Mar</v>
      </c>
      <c r="N568">
        <f>YEAR(Table1[[#This Row],[Invoice_date]])</f>
        <v>2023</v>
      </c>
    </row>
    <row r="569" spans="1:14" x14ac:dyDescent="0.25">
      <c r="A569" t="s">
        <v>621</v>
      </c>
      <c r="B569" t="s">
        <v>622</v>
      </c>
      <c r="C569" t="s">
        <v>12</v>
      </c>
      <c r="D569">
        <v>53</v>
      </c>
      <c r="E569" t="s">
        <v>8</v>
      </c>
      <c r="F569">
        <v>4</v>
      </c>
      <c r="G569">
        <v>162.63999999999999</v>
      </c>
      <c r="H569" t="s">
        <v>18</v>
      </c>
      <c r="I569" s="2">
        <v>44433</v>
      </c>
      <c r="J569" t="s">
        <v>24</v>
      </c>
      <c r="K569" s="4">
        <f>Table1[[#This Row],[Quantity]]*Table1[[#This Row],[Price]]</f>
        <v>650.55999999999995</v>
      </c>
      <c r="L569" t="str">
        <f>IF(Table1[[#This Row],[Age]]&lt;25,"18-24",IF(Table1[[#This Row],[Age]]&lt;35,"25-34",IF(Table1[[#This Row],[Age]]&lt;45,"35-44",IF(Table1[[#This Row],[Age]]&lt;55,"45-54","55+"))))</f>
        <v>45-54</v>
      </c>
      <c r="M569" t="str">
        <f>TEXT(Table1[[#This Row],[Invoice_date]],"mmm")</f>
        <v>Aug</v>
      </c>
      <c r="N569">
        <f>YEAR(Table1[[#This Row],[Invoice_date]])</f>
        <v>2021</v>
      </c>
    </row>
    <row r="570" spans="1:14" x14ac:dyDescent="0.25">
      <c r="A570" t="s">
        <v>633</v>
      </c>
      <c r="B570" t="s">
        <v>634</v>
      </c>
      <c r="C570" t="s">
        <v>12</v>
      </c>
      <c r="D570">
        <v>46</v>
      </c>
      <c r="E570" t="s">
        <v>38</v>
      </c>
      <c r="F570">
        <v>4</v>
      </c>
      <c r="G570">
        <v>2400.6799999999998</v>
      </c>
      <c r="H570" t="s">
        <v>4</v>
      </c>
      <c r="I570" s="2">
        <v>44617</v>
      </c>
      <c r="J570" t="s">
        <v>74</v>
      </c>
      <c r="K570" s="4">
        <f>Table1[[#This Row],[Quantity]]*Table1[[#This Row],[Price]]</f>
        <v>9602.7199999999993</v>
      </c>
      <c r="L570" t="str">
        <f>IF(Table1[[#This Row],[Age]]&lt;25,"18-24",IF(Table1[[#This Row],[Age]]&lt;35,"25-34",IF(Table1[[#This Row],[Age]]&lt;45,"35-44",IF(Table1[[#This Row],[Age]]&lt;55,"45-54","55+"))))</f>
        <v>45-54</v>
      </c>
      <c r="M570" t="str">
        <f>TEXT(Table1[[#This Row],[Invoice_date]],"mmm")</f>
        <v>Feb</v>
      </c>
      <c r="N570">
        <f>YEAR(Table1[[#This Row],[Invoice_date]])</f>
        <v>2022</v>
      </c>
    </row>
    <row r="571" spans="1:14" x14ac:dyDescent="0.25">
      <c r="A571" t="s">
        <v>637</v>
      </c>
      <c r="B571" t="s">
        <v>638</v>
      </c>
      <c r="C571" t="s">
        <v>12</v>
      </c>
      <c r="D571">
        <v>47</v>
      </c>
      <c r="E571" t="s">
        <v>3</v>
      </c>
      <c r="F571">
        <v>2</v>
      </c>
      <c r="G571">
        <v>600.16</v>
      </c>
      <c r="H571" t="s">
        <v>4</v>
      </c>
      <c r="I571" s="2">
        <v>44678</v>
      </c>
      <c r="J571" t="s">
        <v>43</v>
      </c>
      <c r="K571" s="4">
        <f>Table1[[#This Row],[Quantity]]*Table1[[#This Row],[Price]]</f>
        <v>1200.32</v>
      </c>
      <c r="L571" t="str">
        <f>IF(Table1[[#This Row],[Age]]&lt;25,"18-24",IF(Table1[[#This Row],[Age]]&lt;35,"25-34",IF(Table1[[#This Row],[Age]]&lt;45,"35-44",IF(Table1[[#This Row],[Age]]&lt;55,"45-54","55+"))))</f>
        <v>45-54</v>
      </c>
      <c r="M571" t="str">
        <f>TEXT(Table1[[#This Row],[Invoice_date]],"mmm")</f>
        <v>Apr</v>
      </c>
      <c r="N571">
        <f>YEAR(Table1[[#This Row],[Invoice_date]])</f>
        <v>2022</v>
      </c>
    </row>
    <row r="572" spans="1:14" x14ac:dyDescent="0.25">
      <c r="A572" t="s">
        <v>645</v>
      </c>
      <c r="B572" t="s">
        <v>646</v>
      </c>
      <c r="C572" t="s">
        <v>2</v>
      </c>
      <c r="D572">
        <v>51</v>
      </c>
      <c r="E572" t="s">
        <v>3</v>
      </c>
      <c r="F572">
        <v>1</v>
      </c>
      <c r="G572">
        <v>300.08</v>
      </c>
      <c r="H572" t="s">
        <v>18</v>
      </c>
      <c r="I572" s="2">
        <v>44356</v>
      </c>
      <c r="J572" t="s">
        <v>74</v>
      </c>
      <c r="K572" s="4">
        <f>Table1[[#This Row],[Quantity]]*Table1[[#This Row],[Price]]</f>
        <v>300.08</v>
      </c>
      <c r="L572" t="str">
        <f>IF(Table1[[#This Row],[Age]]&lt;25,"18-24",IF(Table1[[#This Row],[Age]]&lt;35,"25-34",IF(Table1[[#This Row],[Age]]&lt;45,"35-44",IF(Table1[[#This Row],[Age]]&lt;55,"45-54","55+"))))</f>
        <v>45-54</v>
      </c>
      <c r="M572" t="str">
        <f>TEXT(Table1[[#This Row],[Invoice_date]],"mmm")</f>
        <v>Jun</v>
      </c>
      <c r="N572">
        <f>YEAR(Table1[[#This Row],[Invoice_date]])</f>
        <v>2021</v>
      </c>
    </row>
    <row r="573" spans="1:14" x14ac:dyDescent="0.25">
      <c r="A573" t="s">
        <v>671</v>
      </c>
      <c r="B573" t="s">
        <v>672</v>
      </c>
      <c r="C573" t="s">
        <v>12</v>
      </c>
      <c r="D573">
        <v>52</v>
      </c>
      <c r="E573" t="s">
        <v>8</v>
      </c>
      <c r="F573">
        <v>4</v>
      </c>
      <c r="G573">
        <v>162.63999999999999</v>
      </c>
      <c r="H573" t="s">
        <v>18</v>
      </c>
      <c r="I573" s="2">
        <v>44518</v>
      </c>
      <c r="J573" t="s">
        <v>50</v>
      </c>
      <c r="K573" s="4">
        <f>Table1[[#This Row],[Quantity]]*Table1[[#This Row],[Price]]</f>
        <v>650.55999999999995</v>
      </c>
      <c r="L573" t="str">
        <f>IF(Table1[[#This Row],[Age]]&lt;25,"18-24",IF(Table1[[#This Row],[Age]]&lt;35,"25-34",IF(Table1[[#This Row],[Age]]&lt;45,"35-44",IF(Table1[[#This Row],[Age]]&lt;55,"45-54","55+"))))</f>
        <v>45-54</v>
      </c>
      <c r="M573" t="str">
        <f>TEXT(Table1[[#This Row],[Invoice_date]],"mmm")</f>
        <v>Nov</v>
      </c>
      <c r="N573">
        <f>YEAR(Table1[[#This Row],[Invoice_date]])</f>
        <v>2021</v>
      </c>
    </row>
    <row r="574" spans="1:14" x14ac:dyDescent="0.25">
      <c r="A574" t="s">
        <v>689</v>
      </c>
      <c r="B574" t="s">
        <v>690</v>
      </c>
      <c r="C574" t="s">
        <v>12</v>
      </c>
      <c r="D574">
        <v>54</v>
      </c>
      <c r="E574" t="s">
        <v>3</v>
      </c>
      <c r="F574">
        <v>2</v>
      </c>
      <c r="G574">
        <v>600.16</v>
      </c>
      <c r="H574" t="s">
        <v>18</v>
      </c>
      <c r="I574" s="2">
        <v>44516</v>
      </c>
      <c r="J574" t="s">
        <v>24</v>
      </c>
      <c r="K574" s="4">
        <f>Table1[[#This Row],[Quantity]]*Table1[[#This Row],[Price]]</f>
        <v>1200.32</v>
      </c>
      <c r="L574" t="str">
        <f>IF(Table1[[#This Row],[Age]]&lt;25,"18-24",IF(Table1[[#This Row],[Age]]&lt;35,"25-34",IF(Table1[[#This Row],[Age]]&lt;45,"35-44",IF(Table1[[#This Row],[Age]]&lt;55,"45-54","55+"))))</f>
        <v>45-54</v>
      </c>
      <c r="M574" t="str">
        <f>TEXT(Table1[[#This Row],[Invoice_date]],"mmm")</f>
        <v>Nov</v>
      </c>
      <c r="N574">
        <f>YEAR(Table1[[#This Row],[Invoice_date]])</f>
        <v>2021</v>
      </c>
    </row>
    <row r="575" spans="1:14" x14ac:dyDescent="0.25">
      <c r="A575" t="s">
        <v>697</v>
      </c>
      <c r="B575" t="s">
        <v>698</v>
      </c>
      <c r="C575" t="s">
        <v>12</v>
      </c>
      <c r="D575">
        <v>45</v>
      </c>
      <c r="E575" t="s">
        <v>38</v>
      </c>
      <c r="F575">
        <v>4</v>
      </c>
      <c r="G575">
        <v>2400.6799999999998</v>
      </c>
      <c r="H575" t="s">
        <v>13</v>
      </c>
      <c r="I575" s="2">
        <v>44604</v>
      </c>
      <c r="J575" t="s">
        <v>33</v>
      </c>
      <c r="K575" s="4">
        <f>Table1[[#This Row],[Quantity]]*Table1[[#This Row],[Price]]</f>
        <v>9602.7199999999993</v>
      </c>
      <c r="L575" t="str">
        <f>IF(Table1[[#This Row],[Age]]&lt;25,"18-24",IF(Table1[[#This Row],[Age]]&lt;35,"25-34",IF(Table1[[#This Row],[Age]]&lt;45,"35-44",IF(Table1[[#This Row],[Age]]&lt;55,"45-54","55+"))))</f>
        <v>45-54</v>
      </c>
      <c r="M575" t="str">
        <f>TEXT(Table1[[#This Row],[Invoice_date]],"mmm")</f>
        <v>Feb</v>
      </c>
      <c r="N575">
        <f>YEAR(Table1[[#This Row],[Invoice_date]])</f>
        <v>2022</v>
      </c>
    </row>
    <row r="576" spans="1:14" x14ac:dyDescent="0.25">
      <c r="A576" t="s">
        <v>705</v>
      </c>
      <c r="B576" t="s">
        <v>706</v>
      </c>
      <c r="C576" t="s">
        <v>12</v>
      </c>
      <c r="D576">
        <v>45</v>
      </c>
      <c r="E576" t="s">
        <v>38</v>
      </c>
      <c r="F576">
        <v>4</v>
      </c>
      <c r="G576">
        <v>2400.6799999999998</v>
      </c>
      <c r="H576" t="s">
        <v>4</v>
      </c>
      <c r="I576" s="2">
        <v>44475</v>
      </c>
      <c r="J576" t="s">
        <v>43</v>
      </c>
      <c r="K576" s="4">
        <f>Table1[[#This Row],[Quantity]]*Table1[[#This Row],[Price]]</f>
        <v>9602.7199999999993</v>
      </c>
      <c r="L576" t="str">
        <f>IF(Table1[[#This Row],[Age]]&lt;25,"18-24",IF(Table1[[#This Row],[Age]]&lt;35,"25-34",IF(Table1[[#This Row],[Age]]&lt;45,"35-44",IF(Table1[[#This Row],[Age]]&lt;55,"45-54","55+"))))</f>
        <v>45-54</v>
      </c>
      <c r="M576" t="str">
        <f>TEXT(Table1[[#This Row],[Invoice_date]],"mmm")</f>
        <v>Oct</v>
      </c>
      <c r="N576">
        <f>YEAR(Table1[[#This Row],[Invoice_date]])</f>
        <v>2021</v>
      </c>
    </row>
    <row r="577" spans="1:14" x14ac:dyDescent="0.25">
      <c r="A577" t="s">
        <v>711</v>
      </c>
      <c r="B577" t="s">
        <v>712</v>
      </c>
      <c r="C577" t="s">
        <v>2</v>
      </c>
      <c r="D577">
        <v>45</v>
      </c>
      <c r="E577" t="s">
        <v>27</v>
      </c>
      <c r="F577">
        <v>3</v>
      </c>
      <c r="G577">
        <v>15.69</v>
      </c>
      <c r="H577" t="s">
        <v>4</v>
      </c>
      <c r="I577" s="2">
        <v>44814</v>
      </c>
      <c r="J577" t="s">
        <v>33</v>
      </c>
      <c r="K577" s="4">
        <f>Table1[[#This Row],[Quantity]]*Table1[[#This Row],[Price]]</f>
        <v>47.07</v>
      </c>
      <c r="L577" t="str">
        <f>IF(Table1[[#This Row],[Age]]&lt;25,"18-24",IF(Table1[[#This Row],[Age]]&lt;35,"25-34",IF(Table1[[#This Row],[Age]]&lt;45,"35-44",IF(Table1[[#This Row],[Age]]&lt;55,"45-54","55+"))))</f>
        <v>45-54</v>
      </c>
      <c r="M577" t="str">
        <f>TEXT(Table1[[#This Row],[Invoice_date]],"mmm")</f>
        <v>Sep</v>
      </c>
      <c r="N577">
        <f>YEAR(Table1[[#This Row],[Invoice_date]])</f>
        <v>2022</v>
      </c>
    </row>
    <row r="578" spans="1:14" x14ac:dyDescent="0.25">
      <c r="A578" t="s">
        <v>717</v>
      </c>
      <c r="B578" t="s">
        <v>718</v>
      </c>
      <c r="C578" t="s">
        <v>2</v>
      </c>
      <c r="D578">
        <v>48</v>
      </c>
      <c r="E578" t="s">
        <v>3</v>
      </c>
      <c r="F578">
        <v>5</v>
      </c>
      <c r="G578">
        <v>1500.4</v>
      </c>
      <c r="H578" t="s">
        <v>18</v>
      </c>
      <c r="I578" s="2">
        <v>44209</v>
      </c>
      <c r="J578" t="s">
        <v>33</v>
      </c>
      <c r="K578" s="4">
        <f>Table1[[#This Row],[Quantity]]*Table1[[#This Row],[Price]]</f>
        <v>7502</v>
      </c>
      <c r="L578" t="str">
        <f>IF(Table1[[#This Row],[Age]]&lt;25,"18-24",IF(Table1[[#This Row],[Age]]&lt;35,"25-34",IF(Table1[[#This Row],[Age]]&lt;45,"35-44",IF(Table1[[#This Row],[Age]]&lt;55,"45-54","55+"))))</f>
        <v>45-54</v>
      </c>
      <c r="M578" t="str">
        <f>TEXT(Table1[[#This Row],[Invoice_date]],"mmm")</f>
        <v>Jan</v>
      </c>
      <c r="N578">
        <f>YEAR(Table1[[#This Row],[Invoice_date]])</f>
        <v>2021</v>
      </c>
    </row>
    <row r="579" spans="1:14" x14ac:dyDescent="0.25">
      <c r="A579" t="s">
        <v>721</v>
      </c>
      <c r="B579" t="s">
        <v>722</v>
      </c>
      <c r="C579" t="s">
        <v>2</v>
      </c>
      <c r="D579">
        <v>46</v>
      </c>
      <c r="E579" t="s">
        <v>46</v>
      </c>
      <c r="F579">
        <v>5</v>
      </c>
      <c r="G579">
        <v>58.65</v>
      </c>
      <c r="H579" t="s">
        <v>13</v>
      </c>
      <c r="I579" s="2">
        <v>44617</v>
      </c>
      <c r="J579" t="s">
        <v>14</v>
      </c>
      <c r="K579" s="4">
        <f>Table1[[#This Row],[Quantity]]*Table1[[#This Row],[Price]]</f>
        <v>293.25</v>
      </c>
      <c r="L579" t="str">
        <f>IF(Table1[[#This Row],[Age]]&lt;25,"18-24",IF(Table1[[#This Row],[Age]]&lt;35,"25-34",IF(Table1[[#This Row],[Age]]&lt;45,"35-44",IF(Table1[[#This Row],[Age]]&lt;55,"45-54","55+"))))</f>
        <v>45-54</v>
      </c>
      <c r="M579" t="str">
        <f>TEXT(Table1[[#This Row],[Invoice_date]],"mmm")</f>
        <v>Feb</v>
      </c>
      <c r="N579">
        <f>YEAR(Table1[[#This Row],[Invoice_date]])</f>
        <v>2022</v>
      </c>
    </row>
    <row r="580" spans="1:14" x14ac:dyDescent="0.25">
      <c r="A580" t="s">
        <v>757</v>
      </c>
      <c r="B580" t="s">
        <v>758</v>
      </c>
      <c r="C580" t="s">
        <v>2</v>
      </c>
      <c r="D580">
        <v>51</v>
      </c>
      <c r="E580" t="s">
        <v>8</v>
      </c>
      <c r="F580">
        <v>2</v>
      </c>
      <c r="G580">
        <v>81.319999999999993</v>
      </c>
      <c r="H580" t="s">
        <v>18</v>
      </c>
      <c r="I580" s="2">
        <v>44732</v>
      </c>
      <c r="J580" t="s">
        <v>43</v>
      </c>
      <c r="K580" s="4">
        <f>Table1[[#This Row],[Quantity]]*Table1[[#This Row],[Price]]</f>
        <v>162.63999999999999</v>
      </c>
      <c r="L580" t="str">
        <f>IF(Table1[[#This Row],[Age]]&lt;25,"18-24",IF(Table1[[#This Row],[Age]]&lt;35,"25-34",IF(Table1[[#This Row],[Age]]&lt;45,"35-44",IF(Table1[[#This Row],[Age]]&lt;55,"45-54","55+"))))</f>
        <v>45-54</v>
      </c>
      <c r="M580" t="str">
        <f>TEXT(Table1[[#This Row],[Invoice_date]],"mmm")</f>
        <v>Jun</v>
      </c>
      <c r="N580">
        <f>YEAR(Table1[[#This Row],[Invoice_date]])</f>
        <v>2022</v>
      </c>
    </row>
    <row r="581" spans="1:14" x14ac:dyDescent="0.25">
      <c r="A581" t="s">
        <v>765</v>
      </c>
      <c r="B581" t="s">
        <v>766</v>
      </c>
      <c r="C581" t="s">
        <v>12</v>
      </c>
      <c r="D581">
        <v>52</v>
      </c>
      <c r="E581" t="s">
        <v>17</v>
      </c>
      <c r="F581">
        <v>1</v>
      </c>
      <c r="G581">
        <v>15.15</v>
      </c>
      <c r="H581" t="s">
        <v>18</v>
      </c>
      <c r="I581" s="2">
        <v>44681</v>
      </c>
      <c r="J581" t="s">
        <v>33</v>
      </c>
      <c r="K581" s="4">
        <f>Table1[[#This Row],[Quantity]]*Table1[[#This Row],[Price]]</f>
        <v>15.15</v>
      </c>
      <c r="L581" t="str">
        <f>IF(Table1[[#This Row],[Age]]&lt;25,"18-24",IF(Table1[[#This Row],[Age]]&lt;35,"25-34",IF(Table1[[#This Row],[Age]]&lt;45,"35-44",IF(Table1[[#This Row],[Age]]&lt;55,"45-54","55+"))))</f>
        <v>45-54</v>
      </c>
      <c r="M581" t="str">
        <f>TEXT(Table1[[#This Row],[Invoice_date]],"mmm")</f>
        <v>Apr</v>
      </c>
      <c r="N581">
        <f>YEAR(Table1[[#This Row],[Invoice_date]])</f>
        <v>2022</v>
      </c>
    </row>
    <row r="582" spans="1:14" x14ac:dyDescent="0.25">
      <c r="A582" t="s">
        <v>781</v>
      </c>
      <c r="B582" t="s">
        <v>782</v>
      </c>
      <c r="C582" t="s">
        <v>2</v>
      </c>
      <c r="D582">
        <v>50</v>
      </c>
      <c r="E582" t="s">
        <v>3</v>
      </c>
      <c r="F582">
        <v>2</v>
      </c>
      <c r="G582">
        <v>600.16</v>
      </c>
      <c r="H582" t="s">
        <v>18</v>
      </c>
      <c r="I582" s="2">
        <v>44738</v>
      </c>
      <c r="J582" t="s">
        <v>14</v>
      </c>
      <c r="K582" s="4">
        <f>Table1[[#This Row],[Quantity]]*Table1[[#This Row],[Price]]</f>
        <v>1200.32</v>
      </c>
      <c r="L582" t="str">
        <f>IF(Table1[[#This Row],[Age]]&lt;25,"18-24",IF(Table1[[#This Row],[Age]]&lt;35,"25-34",IF(Table1[[#This Row],[Age]]&lt;45,"35-44",IF(Table1[[#This Row],[Age]]&lt;55,"45-54","55+"))))</f>
        <v>45-54</v>
      </c>
      <c r="M582" t="str">
        <f>TEXT(Table1[[#This Row],[Invoice_date]],"mmm")</f>
        <v>Jun</v>
      </c>
      <c r="N582">
        <f>YEAR(Table1[[#This Row],[Invoice_date]])</f>
        <v>2022</v>
      </c>
    </row>
    <row r="583" spans="1:14" x14ac:dyDescent="0.25">
      <c r="A583" t="s">
        <v>785</v>
      </c>
      <c r="B583" t="s">
        <v>786</v>
      </c>
      <c r="C583" t="s">
        <v>12</v>
      </c>
      <c r="D583">
        <v>48</v>
      </c>
      <c r="E583" t="s">
        <v>21</v>
      </c>
      <c r="F583">
        <v>3</v>
      </c>
      <c r="G583">
        <v>3150</v>
      </c>
      <c r="H583" t="s">
        <v>4</v>
      </c>
      <c r="I583" s="2">
        <v>44734</v>
      </c>
      <c r="J583" t="s">
        <v>50</v>
      </c>
      <c r="K583" s="4">
        <f>Table1[[#This Row],[Quantity]]*Table1[[#This Row],[Price]]</f>
        <v>9450</v>
      </c>
      <c r="L583" t="str">
        <f>IF(Table1[[#This Row],[Age]]&lt;25,"18-24",IF(Table1[[#This Row],[Age]]&lt;35,"25-34",IF(Table1[[#This Row],[Age]]&lt;45,"35-44",IF(Table1[[#This Row],[Age]]&lt;55,"45-54","55+"))))</f>
        <v>45-54</v>
      </c>
      <c r="M583" t="str">
        <f>TEXT(Table1[[#This Row],[Invoice_date]],"mmm")</f>
        <v>Jun</v>
      </c>
      <c r="N583">
        <f>YEAR(Table1[[#This Row],[Invoice_date]])</f>
        <v>2022</v>
      </c>
    </row>
    <row r="584" spans="1:14" x14ac:dyDescent="0.25">
      <c r="A584" t="s">
        <v>789</v>
      </c>
      <c r="B584" t="s">
        <v>790</v>
      </c>
      <c r="C584" t="s">
        <v>2</v>
      </c>
      <c r="D584">
        <v>50</v>
      </c>
      <c r="E584" t="s">
        <v>3</v>
      </c>
      <c r="F584">
        <v>4</v>
      </c>
      <c r="G584">
        <v>1200.32</v>
      </c>
      <c r="H584" t="s">
        <v>13</v>
      </c>
      <c r="I584" s="2">
        <v>44622</v>
      </c>
      <c r="J584" t="s">
        <v>5</v>
      </c>
      <c r="K584" s="4">
        <f>Table1[[#This Row],[Quantity]]*Table1[[#This Row],[Price]]</f>
        <v>4801.28</v>
      </c>
      <c r="L584" t="str">
        <f>IF(Table1[[#This Row],[Age]]&lt;25,"18-24",IF(Table1[[#This Row],[Age]]&lt;35,"25-34",IF(Table1[[#This Row],[Age]]&lt;45,"35-44",IF(Table1[[#This Row],[Age]]&lt;55,"45-54","55+"))))</f>
        <v>45-54</v>
      </c>
      <c r="M584" t="str">
        <f>TEXT(Table1[[#This Row],[Invoice_date]],"mmm")</f>
        <v>Mar</v>
      </c>
      <c r="N584">
        <f>YEAR(Table1[[#This Row],[Invoice_date]])</f>
        <v>2022</v>
      </c>
    </row>
    <row r="585" spans="1:14" x14ac:dyDescent="0.25">
      <c r="A585" t="s">
        <v>791</v>
      </c>
      <c r="B585" t="s">
        <v>792</v>
      </c>
      <c r="C585" t="s">
        <v>12</v>
      </c>
      <c r="D585">
        <v>50</v>
      </c>
      <c r="E585" t="s">
        <v>3</v>
      </c>
      <c r="F585">
        <v>3</v>
      </c>
      <c r="G585">
        <v>900.24</v>
      </c>
      <c r="H585" t="s">
        <v>4</v>
      </c>
      <c r="I585" s="2">
        <v>44742</v>
      </c>
      <c r="J585" t="s">
        <v>9</v>
      </c>
      <c r="K585" s="4">
        <f>Table1[[#This Row],[Quantity]]*Table1[[#This Row],[Price]]</f>
        <v>2700.7200000000003</v>
      </c>
      <c r="L585" t="str">
        <f>IF(Table1[[#This Row],[Age]]&lt;25,"18-24",IF(Table1[[#This Row],[Age]]&lt;35,"25-34",IF(Table1[[#This Row],[Age]]&lt;45,"35-44",IF(Table1[[#This Row],[Age]]&lt;55,"45-54","55+"))))</f>
        <v>45-54</v>
      </c>
      <c r="M585" t="str">
        <f>TEXT(Table1[[#This Row],[Invoice_date]],"mmm")</f>
        <v>Jun</v>
      </c>
      <c r="N585">
        <f>YEAR(Table1[[#This Row],[Invoice_date]])</f>
        <v>2022</v>
      </c>
    </row>
    <row r="586" spans="1:14" x14ac:dyDescent="0.25">
      <c r="A586" t="s">
        <v>793</v>
      </c>
      <c r="B586" t="s">
        <v>794</v>
      </c>
      <c r="C586" t="s">
        <v>12</v>
      </c>
      <c r="D586">
        <v>48</v>
      </c>
      <c r="E586" t="s">
        <v>27</v>
      </c>
      <c r="F586">
        <v>1</v>
      </c>
      <c r="G586">
        <v>5.23</v>
      </c>
      <c r="H586" t="s">
        <v>18</v>
      </c>
      <c r="I586" s="2">
        <v>44731</v>
      </c>
      <c r="J586" t="s">
        <v>24</v>
      </c>
      <c r="K586" s="4">
        <f>Table1[[#This Row],[Quantity]]*Table1[[#This Row],[Price]]</f>
        <v>5.23</v>
      </c>
      <c r="L586" t="str">
        <f>IF(Table1[[#This Row],[Age]]&lt;25,"18-24",IF(Table1[[#This Row],[Age]]&lt;35,"25-34",IF(Table1[[#This Row],[Age]]&lt;45,"35-44",IF(Table1[[#This Row],[Age]]&lt;55,"45-54","55+"))))</f>
        <v>45-54</v>
      </c>
      <c r="M586" t="str">
        <f>TEXT(Table1[[#This Row],[Invoice_date]],"mmm")</f>
        <v>Jun</v>
      </c>
      <c r="N586">
        <f>YEAR(Table1[[#This Row],[Invoice_date]])</f>
        <v>2022</v>
      </c>
    </row>
    <row r="587" spans="1:14" x14ac:dyDescent="0.25">
      <c r="A587" t="s">
        <v>809</v>
      </c>
      <c r="B587" t="s">
        <v>810</v>
      </c>
      <c r="C587" t="s">
        <v>2</v>
      </c>
      <c r="D587">
        <v>50</v>
      </c>
      <c r="E587" t="s">
        <v>3</v>
      </c>
      <c r="F587">
        <v>5</v>
      </c>
      <c r="G587">
        <v>1500.4</v>
      </c>
      <c r="H587" t="s">
        <v>4</v>
      </c>
      <c r="I587" s="2">
        <v>44468</v>
      </c>
      <c r="J587" t="s">
        <v>14</v>
      </c>
      <c r="K587" s="4">
        <f>Table1[[#This Row],[Quantity]]*Table1[[#This Row],[Price]]</f>
        <v>7502</v>
      </c>
      <c r="L587" t="str">
        <f>IF(Table1[[#This Row],[Age]]&lt;25,"18-24",IF(Table1[[#This Row],[Age]]&lt;35,"25-34",IF(Table1[[#This Row],[Age]]&lt;45,"35-44",IF(Table1[[#This Row],[Age]]&lt;55,"45-54","55+"))))</f>
        <v>45-54</v>
      </c>
      <c r="M587" t="str">
        <f>TEXT(Table1[[#This Row],[Invoice_date]],"mmm")</f>
        <v>Sep</v>
      </c>
      <c r="N587">
        <f>YEAR(Table1[[#This Row],[Invoice_date]])</f>
        <v>2021</v>
      </c>
    </row>
    <row r="588" spans="1:14" x14ac:dyDescent="0.25">
      <c r="A588" t="s">
        <v>823</v>
      </c>
      <c r="B588" t="s">
        <v>824</v>
      </c>
      <c r="C588" t="s">
        <v>2</v>
      </c>
      <c r="D588">
        <v>52</v>
      </c>
      <c r="E588" t="s">
        <v>3</v>
      </c>
      <c r="F588">
        <v>2</v>
      </c>
      <c r="G588">
        <v>600.16</v>
      </c>
      <c r="H588" t="s">
        <v>4</v>
      </c>
      <c r="I588" s="2">
        <v>44766</v>
      </c>
      <c r="J588" t="s">
        <v>9</v>
      </c>
      <c r="K588" s="4">
        <f>Table1[[#This Row],[Quantity]]*Table1[[#This Row],[Price]]</f>
        <v>1200.32</v>
      </c>
      <c r="L588" t="str">
        <f>IF(Table1[[#This Row],[Age]]&lt;25,"18-24",IF(Table1[[#This Row],[Age]]&lt;35,"25-34",IF(Table1[[#This Row],[Age]]&lt;45,"35-44",IF(Table1[[#This Row],[Age]]&lt;55,"45-54","55+"))))</f>
        <v>45-54</v>
      </c>
      <c r="M588" t="str">
        <f>TEXT(Table1[[#This Row],[Invoice_date]],"mmm")</f>
        <v>Jul</v>
      </c>
      <c r="N588">
        <f>YEAR(Table1[[#This Row],[Invoice_date]])</f>
        <v>2022</v>
      </c>
    </row>
    <row r="589" spans="1:14" x14ac:dyDescent="0.25">
      <c r="A589" t="s">
        <v>825</v>
      </c>
      <c r="B589" t="s">
        <v>826</v>
      </c>
      <c r="C589" t="s">
        <v>12</v>
      </c>
      <c r="D589">
        <v>51</v>
      </c>
      <c r="E589" t="s">
        <v>3</v>
      </c>
      <c r="F589">
        <v>4</v>
      </c>
      <c r="G589">
        <v>1200.32</v>
      </c>
      <c r="H589" t="s">
        <v>18</v>
      </c>
      <c r="I589" s="2">
        <v>44307</v>
      </c>
      <c r="J589" t="s">
        <v>43</v>
      </c>
      <c r="K589" s="4">
        <f>Table1[[#This Row],[Quantity]]*Table1[[#This Row],[Price]]</f>
        <v>4801.28</v>
      </c>
      <c r="L589" t="str">
        <f>IF(Table1[[#This Row],[Age]]&lt;25,"18-24",IF(Table1[[#This Row],[Age]]&lt;35,"25-34",IF(Table1[[#This Row],[Age]]&lt;45,"35-44",IF(Table1[[#This Row],[Age]]&lt;55,"45-54","55+"))))</f>
        <v>45-54</v>
      </c>
      <c r="M589" t="str">
        <f>TEXT(Table1[[#This Row],[Invoice_date]],"mmm")</f>
        <v>Apr</v>
      </c>
      <c r="N589">
        <f>YEAR(Table1[[#This Row],[Invoice_date]])</f>
        <v>2021</v>
      </c>
    </row>
    <row r="590" spans="1:14" x14ac:dyDescent="0.25">
      <c r="A590" t="s">
        <v>827</v>
      </c>
      <c r="B590" t="s">
        <v>828</v>
      </c>
      <c r="C590" t="s">
        <v>12</v>
      </c>
      <c r="D590">
        <v>50</v>
      </c>
      <c r="E590" t="s">
        <v>49</v>
      </c>
      <c r="F590">
        <v>4</v>
      </c>
      <c r="G590">
        <v>143.36000000000001</v>
      </c>
      <c r="H590" t="s">
        <v>13</v>
      </c>
      <c r="I590" s="2">
        <v>44349</v>
      </c>
      <c r="J590" t="s">
        <v>9</v>
      </c>
      <c r="K590" s="4">
        <f>Table1[[#This Row],[Quantity]]*Table1[[#This Row],[Price]]</f>
        <v>573.44000000000005</v>
      </c>
      <c r="L590" t="str">
        <f>IF(Table1[[#This Row],[Age]]&lt;25,"18-24",IF(Table1[[#This Row],[Age]]&lt;35,"25-34",IF(Table1[[#This Row],[Age]]&lt;45,"35-44",IF(Table1[[#This Row],[Age]]&lt;55,"45-54","55+"))))</f>
        <v>45-54</v>
      </c>
      <c r="M590" t="str">
        <f>TEXT(Table1[[#This Row],[Invoice_date]],"mmm")</f>
        <v>Jun</v>
      </c>
      <c r="N590">
        <f>YEAR(Table1[[#This Row],[Invoice_date]])</f>
        <v>2021</v>
      </c>
    </row>
    <row r="591" spans="1:14" x14ac:dyDescent="0.25">
      <c r="A591" t="s">
        <v>829</v>
      </c>
      <c r="B591" t="s">
        <v>830</v>
      </c>
      <c r="C591" t="s">
        <v>2</v>
      </c>
      <c r="D591">
        <v>54</v>
      </c>
      <c r="E591" t="s">
        <v>38</v>
      </c>
      <c r="F591">
        <v>4</v>
      </c>
      <c r="G591">
        <v>2400.6799999999998</v>
      </c>
      <c r="H591" t="s">
        <v>18</v>
      </c>
      <c r="I591" s="2">
        <v>44809</v>
      </c>
      <c r="J591" t="s">
        <v>33</v>
      </c>
      <c r="K591" s="4">
        <f>Table1[[#This Row],[Quantity]]*Table1[[#This Row],[Price]]</f>
        <v>9602.7199999999993</v>
      </c>
      <c r="L591" t="str">
        <f>IF(Table1[[#This Row],[Age]]&lt;25,"18-24",IF(Table1[[#This Row],[Age]]&lt;35,"25-34",IF(Table1[[#This Row],[Age]]&lt;45,"35-44",IF(Table1[[#This Row],[Age]]&lt;55,"45-54","55+"))))</f>
        <v>45-54</v>
      </c>
      <c r="M591" t="str">
        <f>TEXT(Table1[[#This Row],[Invoice_date]],"mmm")</f>
        <v>Sep</v>
      </c>
      <c r="N591">
        <f>YEAR(Table1[[#This Row],[Invoice_date]])</f>
        <v>2022</v>
      </c>
    </row>
    <row r="592" spans="1:14" x14ac:dyDescent="0.25">
      <c r="A592" t="s">
        <v>835</v>
      </c>
      <c r="B592" t="s">
        <v>836</v>
      </c>
      <c r="C592" t="s">
        <v>12</v>
      </c>
      <c r="D592">
        <v>52</v>
      </c>
      <c r="E592" t="s">
        <v>8</v>
      </c>
      <c r="F592">
        <v>4</v>
      </c>
      <c r="G592">
        <v>162.63999999999999</v>
      </c>
      <c r="H592" t="s">
        <v>4</v>
      </c>
      <c r="I592" s="2">
        <v>44357</v>
      </c>
      <c r="J592" t="s">
        <v>9</v>
      </c>
      <c r="K592" s="4">
        <f>Table1[[#This Row],[Quantity]]*Table1[[#This Row],[Price]]</f>
        <v>650.55999999999995</v>
      </c>
      <c r="L592" t="str">
        <f>IF(Table1[[#This Row],[Age]]&lt;25,"18-24",IF(Table1[[#This Row],[Age]]&lt;35,"25-34",IF(Table1[[#This Row],[Age]]&lt;45,"35-44",IF(Table1[[#This Row],[Age]]&lt;55,"45-54","55+"))))</f>
        <v>45-54</v>
      </c>
      <c r="M592" t="str">
        <f>TEXT(Table1[[#This Row],[Invoice_date]],"mmm")</f>
        <v>Jun</v>
      </c>
      <c r="N592">
        <f>YEAR(Table1[[#This Row],[Invoice_date]])</f>
        <v>2021</v>
      </c>
    </row>
    <row r="593" spans="1:14" x14ac:dyDescent="0.25">
      <c r="A593" t="s">
        <v>853</v>
      </c>
      <c r="B593" t="s">
        <v>854</v>
      </c>
      <c r="C593" t="s">
        <v>12</v>
      </c>
      <c r="D593">
        <v>47</v>
      </c>
      <c r="E593" t="s">
        <v>3</v>
      </c>
      <c r="F593">
        <v>2</v>
      </c>
      <c r="G593">
        <v>600.16</v>
      </c>
      <c r="H593" t="s">
        <v>18</v>
      </c>
      <c r="I593" s="2">
        <v>44488</v>
      </c>
      <c r="J593" t="s">
        <v>33</v>
      </c>
      <c r="K593" s="4">
        <f>Table1[[#This Row],[Quantity]]*Table1[[#This Row],[Price]]</f>
        <v>1200.32</v>
      </c>
      <c r="L593" t="str">
        <f>IF(Table1[[#This Row],[Age]]&lt;25,"18-24",IF(Table1[[#This Row],[Age]]&lt;35,"25-34",IF(Table1[[#This Row],[Age]]&lt;45,"35-44",IF(Table1[[#This Row],[Age]]&lt;55,"45-54","55+"))))</f>
        <v>45-54</v>
      </c>
      <c r="M593" t="str">
        <f>TEXT(Table1[[#This Row],[Invoice_date]],"mmm")</f>
        <v>Oct</v>
      </c>
      <c r="N593">
        <f>YEAR(Table1[[#This Row],[Invoice_date]])</f>
        <v>2021</v>
      </c>
    </row>
    <row r="594" spans="1:14" x14ac:dyDescent="0.25">
      <c r="A594" t="s">
        <v>861</v>
      </c>
      <c r="B594" t="s">
        <v>862</v>
      </c>
      <c r="C594" t="s">
        <v>12</v>
      </c>
      <c r="D594">
        <v>47</v>
      </c>
      <c r="E594" t="s">
        <v>17</v>
      </c>
      <c r="F594">
        <v>3</v>
      </c>
      <c r="G594">
        <v>45.45</v>
      </c>
      <c r="H594" t="s">
        <v>4</v>
      </c>
      <c r="I594" s="2">
        <v>44560</v>
      </c>
      <c r="J594" t="s">
        <v>24</v>
      </c>
      <c r="K594" s="4">
        <f>Table1[[#This Row],[Quantity]]*Table1[[#This Row],[Price]]</f>
        <v>136.35000000000002</v>
      </c>
      <c r="L594" t="str">
        <f>IF(Table1[[#This Row],[Age]]&lt;25,"18-24",IF(Table1[[#This Row],[Age]]&lt;35,"25-34",IF(Table1[[#This Row],[Age]]&lt;45,"35-44",IF(Table1[[#This Row],[Age]]&lt;55,"45-54","55+"))))</f>
        <v>45-54</v>
      </c>
      <c r="M594" t="str">
        <f>TEXT(Table1[[#This Row],[Invoice_date]],"mmm")</f>
        <v>Dec</v>
      </c>
      <c r="N594">
        <f>YEAR(Table1[[#This Row],[Invoice_date]])</f>
        <v>2021</v>
      </c>
    </row>
    <row r="595" spans="1:14" x14ac:dyDescent="0.25">
      <c r="A595" t="s">
        <v>883</v>
      </c>
      <c r="B595" t="s">
        <v>884</v>
      </c>
      <c r="C595" t="s">
        <v>12</v>
      </c>
      <c r="D595">
        <v>50</v>
      </c>
      <c r="E595" t="s">
        <v>3</v>
      </c>
      <c r="F595">
        <v>3</v>
      </c>
      <c r="G595">
        <v>900.24</v>
      </c>
      <c r="H595" t="s">
        <v>18</v>
      </c>
      <c r="I595" s="2">
        <v>44254</v>
      </c>
      <c r="J595" t="s">
        <v>5</v>
      </c>
      <c r="K595" s="4">
        <f>Table1[[#This Row],[Quantity]]*Table1[[#This Row],[Price]]</f>
        <v>2700.7200000000003</v>
      </c>
      <c r="L595" t="str">
        <f>IF(Table1[[#This Row],[Age]]&lt;25,"18-24",IF(Table1[[#This Row],[Age]]&lt;35,"25-34",IF(Table1[[#This Row],[Age]]&lt;45,"35-44",IF(Table1[[#This Row],[Age]]&lt;55,"45-54","55+"))))</f>
        <v>45-54</v>
      </c>
      <c r="M595" t="str">
        <f>TEXT(Table1[[#This Row],[Invoice_date]],"mmm")</f>
        <v>Feb</v>
      </c>
      <c r="N595">
        <f>YEAR(Table1[[#This Row],[Invoice_date]])</f>
        <v>2021</v>
      </c>
    </row>
    <row r="596" spans="1:14" x14ac:dyDescent="0.25">
      <c r="A596" t="s">
        <v>885</v>
      </c>
      <c r="B596" t="s">
        <v>886</v>
      </c>
      <c r="C596" t="s">
        <v>2</v>
      </c>
      <c r="D596">
        <v>54</v>
      </c>
      <c r="E596" t="s">
        <v>49</v>
      </c>
      <c r="F596">
        <v>2</v>
      </c>
      <c r="G596">
        <v>71.680000000000007</v>
      </c>
      <c r="H596" t="s">
        <v>18</v>
      </c>
      <c r="I596" s="2">
        <v>44266</v>
      </c>
      <c r="J596" t="s">
        <v>74</v>
      </c>
      <c r="K596" s="4">
        <f>Table1[[#This Row],[Quantity]]*Table1[[#This Row],[Price]]</f>
        <v>143.36000000000001</v>
      </c>
      <c r="L596" t="str">
        <f>IF(Table1[[#This Row],[Age]]&lt;25,"18-24",IF(Table1[[#This Row],[Age]]&lt;35,"25-34",IF(Table1[[#This Row],[Age]]&lt;45,"35-44",IF(Table1[[#This Row],[Age]]&lt;55,"45-54","55+"))))</f>
        <v>45-54</v>
      </c>
      <c r="M596" t="str">
        <f>TEXT(Table1[[#This Row],[Invoice_date]],"mmm")</f>
        <v>Mar</v>
      </c>
      <c r="N596">
        <f>YEAR(Table1[[#This Row],[Invoice_date]])</f>
        <v>2021</v>
      </c>
    </row>
    <row r="597" spans="1:14" x14ac:dyDescent="0.25">
      <c r="A597" t="s">
        <v>887</v>
      </c>
      <c r="B597" t="s">
        <v>888</v>
      </c>
      <c r="C597" t="s">
        <v>2</v>
      </c>
      <c r="D597">
        <v>52</v>
      </c>
      <c r="E597" t="s">
        <v>17</v>
      </c>
      <c r="F597">
        <v>3</v>
      </c>
      <c r="G597">
        <v>45.45</v>
      </c>
      <c r="H597" t="s">
        <v>4</v>
      </c>
      <c r="I597" s="2">
        <v>44960</v>
      </c>
      <c r="J597" t="s">
        <v>9</v>
      </c>
      <c r="K597" s="4">
        <f>Table1[[#This Row],[Quantity]]*Table1[[#This Row],[Price]]</f>
        <v>136.35000000000002</v>
      </c>
      <c r="L597" t="str">
        <f>IF(Table1[[#This Row],[Age]]&lt;25,"18-24",IF(Table1[[#This Row],[Age]]&lt;35,"25-34",IF(Table1[[#This Row],[Age]]&lt;45,"35-44",IF(Table1[[#This Row],[Age]]&lt;55,"45-54","55+"))))</f>
        <v>45-54</v>
      </c>
      <c r="M597" t="str">
        <f>TEXT(Table1[[#This Row],[Invoice_date]],"mmm")</f>
        <v>Feb</v>
      </c>
      <c r="N597">
        <f>YEAR(Table1[[#This Row],[Invoice_date]])</f>
        <v>2023</v>
      </c>
    </row>
    <row r="598" spans="1:14" x14ac:dyDescent="0.25">
      <c r="A598" t="s">
        <v>893</v>
      </c>
      <c r="B598" t="s">
        <v>894</v>
      </c>
      <c r="C598" t="s">
        <v>12</v>
      </c>
      <c r="D598">
        <v>50</v>
      </c>
      <c r="E598" t="s">
        <v>17</v>
      </c>
      <c r="F598">
        <v>4</v>
      </c>
      <c r="G598">
        <v>60.6</v>
      </c>
      <c r="H598" t="s">
        <v>18</v>
      </c>
      <c r="I598" s="2">
        <v>44303</v>
      </c>
      <c r="J598" t="s">
        <v>14</v>
      </c>
      <c r="K598" s="4">
        <f>Table1[[#This Row],[Quantity]]*Table1[[#This Row],[Price]]</f>
        <v>242.4</v>
      </c>
      <c r="L598" t="str">
        <f>IF(Table1[[#This Row],[Age]]&lt;25,"18-24",IF(Table1[[#This Row],[Age]]&lt;35,"25-34",IF(Table1[[#This Row],[Age]]&lt;45,"35-44",IF(Table1[[#This Row],[Age]]&lt;55,"45-54","55+"))))</f>
        <v>45-54</v>
      </c>
      <c r="M598" t="str">
        <f>TEXT(Table1[[#This Row],[Invoice_date]],"mmm")</f>
        <v>Apr</v>
      </c>
      <c r="N598">
        <f>YEAR(Table1[[#This Row],[Invoice_date]])</f>
        <v>2021</v>
      </c>
    </row>
    <row r="599" spans="1:14" x14ac:dyDescent="0.25">
      <c r="A599" t="s">
        <v>903</v>
      </c>
      <c r="B599" t="s">
        <v>904</v>
      </c>
      <c r="C599" t="s">
        <v>12</v>
      </c>
      <c r="D599">
        <v>51</v>
      </c>
      <c r="E599" t="s">
        <v>46</v>
      </c>
      <c r="F599">
        <v>5</v>
      </c>
      <c r="G599">
        <v>58.65</v>
      </c>
      <c r="H599" t="s">
        <v>13</v>
      </c>
      <c r="I599" s="2">
        <v>44547</v>
      </c>
      <c r="J599" t="s">
        <v>5</v>
      </c>
      <c r="K599" s="4">
        <f>Table1[[#This Row],[Quantity]]*Table1[[#This Row],[Price]]</f>
        <v>293.25</v>
      </c>
      <c r="L599" t="str">
        <f>IF(Table1[[#This Row],[Age]]&lt;25,"18-24",IF(Table1[[#This Row],[Age]]&lt;35,"25-34",IF(Table1[[#This Row],[Age]]&lt;45,"35-44",IF(Table1[[#This Row],[Age]]&lt;55,"45-54","55+"))))</f>
        <v>45-54</v>
      </c>
      <c r="M599" t="str">
        <f>TEXT(Table1[[#This Row],[Invoice_date]],"mmm")</f>
        <v>Dec</v>
      </c>
      <c r="N599">
        <f>YEAR(Table1[[#This Row],[Invoice_date]])</f>
        <v>2021</v>
      </c>
    </row>
    <row r="600" spans="1:14" x14ac:dyDescent="0.25">
      <c r="A600" t="s">
        <v>909</v>
      </c>
      <c r="B600" t="s">
        <v>910</v>
      </c>
      <c r="C600" t="s">
        <v>2</v>
      </c>
      <c r="D600">
        <v>45</v>
      </c>
      <c r="E600" t="s">
        <v>3</v>
      </c>
      <c r="F600">
        <v>2</v>
      </c>
      <c r="G600">
        <v>600.16</v>
      </c>
      <c r="H600" t="s">
        <v>18</v>
      </c>
      <c r="I600" s="2">
        <v>44484</v>
      </c>
      <c r="J600" t="s">
        <v>5</v>
      </c>
      <c r="K600" s="4">
        <f>Table1[[#This Row],[Quantity]]*Table1[[#This Row],[Price]]</f>
        <v>1200.32</v>
      </c>
      <c r="L600" t="str">
        <f>IF(Table1[[#This Row],[Age]]&lt;25,"18-24",IF(Table1[[#This Row],[Age]]&lt;35,"25-34",IF(Table1[[#This Row],[Age]]&lt;45,"35-44",IF(Table1[[#This Row],[Age]]&lt;55,"45-54","55+"))))</f>
        <v>45-54</v>
      </c>
      <c r="M600" t="str">
        <f>TEXT(Table1[[#This Row],[Invoice_date]],"mmm")</f>
        <v>Oct</v>
      </c>
      <c r="N600">
        <f>YEAR(Table1[[#This Row],[Invoice_date]])</f>
        <v>2021</v>
      </c>
    </row>
    <row r="601" spans="1:14" x14ac:dyDescent="0.25">
      <c r="A601" t="s">
        <v>913</v>
      </c>
      <c r="B601" t="s">
        <v>914</v>
      </c>
      <c r="C601" t="s">
        <v>12</v>
      </c>
      <c r="D601">
        <v>53</v>
      </c>
      <c r="E601" t="s">
        <v>3</v>
      </c>
      <c r="F601">
        <v>3</v>
      </c>
      <c r="G601">
        <v>900.24</v>
      </c>
      <c r="H601" t="s">
        <v>4</v>
      </c>
      <c r="I601" s="2">
        <v>44671</v>
      </c>
      <c r="J601" t="s">
        <v>74</v>
      </c>
      <c r="K601" s="4">
        <f>Table1[[#This Row],[Quantity]]*Table1[[#This Row],[Price]]</f>
        <v>2700.7200000000003</v>
      </c>
      <c r="L601" t="str">
        <f>IF(Table1[[#This Row],[Age]]&lt;25,"18-24",IF(Table1[[#This Row],[Age]]&lt;35,"25-34",IF(Table1[[#This Row],[Age]]&lt;45,"35-44",IF(Table1[[#This Row],[Age]]&lt;55,"45-54","55+"))))</f>
        <v>45-54</v>
      </c>
      <c r="M601" t="str">
        <f>TEXT(Table1[[#This Row],[Invoice_date]],"mmm")</f>
        <v>Apr</v>
      </c>
      <c r="N601">
        <f>YEAR(Table1[[#This Row],[Invoice_date]])</f>
        <v>2022</v>
      </c>
    </row>
    <row r="602" spans="1:14" x14ac:dyDescent="0.25">
      <c r="A602" t="s">
        <v>921</v>
      </c>
      <c r="B602" t="s">
        <v>922</v>
      </c>
      <c r="C602" t="s">
        <v>12</v>
      </c>
      <c r="D602">
        <v>45</v>
      </c>
      <c r="E602" t="s">
        <v>3</v>
      </c>
      <c r="F602">
        <v>5</v>
      </c>
      <c r="G602">
        <v>1500.4</v>
      </c>
      <c r="H602" t="s">
        <v>4</v>
      </c>
      <c r="I602" s="2">
        <v>44572</v>
      </c>
      <c r="J602" t="s">
        <v>30</v>
      </c>
      <c r="K602" s="4">
        <f>Table1[[#This Row],[Quantity]]*Table1[[#This Row],[Price]]</f>
        <v>7502</v>
      </c>
      <c r="L602" t="str">
        <f>IF(Table1[[#This Row],[Age]]&lt;25,"18-24",IF(Table1[[#This Row],[Age]]&lt;35,"25-34",IF(Table1[[#This Row],[Age]]&lt;45,"35-44",IF(Table1[[#This Row],[Age]]&lt;55,"45-54","55+"))))</f>
        <v>45-54</v>
      </c>
      <c r="M602" t="str">
        <f>TEXT(Table1[[#This Row],[Invoice_date]],"mmm")</f>
        <v>Jan</v>
      </c>
      <c r="N602">
        <f>YEAR(Table1[[#This Row],[Invoice_date]])</f>
        <v>2022</v>
      </c>
    </row>
    <row r="603" spans="1:14" x14ac:dyDescent="0.25">
      <c r="A603" t="s">
        <v>927</v>
      </c>
      <c r="B603" t="s">
        <v>928</v>
      </c>
      <c r="C603" t="s">
        <v>12</v>
      </c>
      <c r="D603">
        <v>54</v>
      </c>
      <c r="E603" t="s">
        <v>49</v>
      </c>
      <c r="F603">
        <v>4</v>
      </c>
      <c r="G603">
        <v>143.36000000000001</v>
      </c>
      <c r="H603" t="s">
        <v>4</v>
      </c>
      <c r="I603" s="2">
        <v>44746</v>
      </c>
      <c r="J603" t="s">
        <v>50</v>
      </c>
      <c r="K603" s="4">
        <f>Table1[[#This Row],[Quantity]]*Table1[[#This Row],[Price]]</f>
        <v>573.44000000000005</v>
      </c>
      <c r="L603" t="str">
        <f>IF(Table1[[#This Row],[Age]]&lt;25,"18-24",IF(Table1[[#This Row],[Age]]&lt;35,"25-34",IF(Table1[[#This Row],[Age]]&lt;45,"35-44",IF(Table1[[#This Row],[Age]]&lt;55,"45-54","55+"))))</f>
        <v>45-54</v>
      </c>
      <c r="M603" t="str">
        <f>TEXT(Table1[[#This Row],[Invoice_date]],"mmm")</f>
        <v>Jul</v>
      </c>
      <c r="N603">
        <f>YEAR(Table1[[#This Row],[Invoice_date]])</f>
        <v>2022</v>
      </c>
    </row>
    <row r="604" spans="1:14" x14ac:dyDescent="0.25">
      <c r="A604" t="s">
        <v>929</v>
      </c>
      <c r="B604" t="s">
        <v>930</v>
      </c>
      <c r="C604" t="s">
        <v>12</v>
      </c>
      <c r="D604">
        <v>45</v>
      </c>
      <c r="E604" t="s">
        <v>3</v>
      </c>
      <c r="F604">
        <v>4</v>
      </c>
      <c r="G604">
        <v>1200.32</v>
      </c>
      <c r="H604" t="s">
        <v>4</v>
      </c>
      <c r="I604" s="2">
        <v>44383</v>
      </c>
      <c r="J604" t="s">
        <v>24</v>
      </c>
      <c r="K604" s="4">
        <f>Table1[[#This Row],[Quantity]]*Table1[[#This Row],[Price]]</f>
        <v>4801.28</v>
      </c>
      <c r="L604" t="str">
        <f>IF(Table1[[#This Row],[Age]]&lt;25,"18-24",IF(Table1[[#This Row],[Age]]&lt;35,"25-34",IF(Table1[[#This Row],[Age]]&lt;45,"35-44",IF(Table1[[#This Row],[Age]]&lt;55,"45-54","55+"))))</f>
        <v>45-54</v>
      </c>
      <c r="M604" t="str">
        <f>TEXT(Table1[[#This Row],[Invoice_date]],"mmm")</f>
        <v>Jul</v>
      </c>
      <c r="N604">
        <f>YEAR(Table1[[#This Row],[Invoice_date]])</f>
        <v>2021</v>
      </c>
    </row>
    <row r="605" spans="1:14" x14ac:dyDescent="0.25">
      <c r="A605" t="s">
        <v>931</v>
      </c>
      <c r="B605" t="s">
        <v>932</v>
      </c>
      <c r="C605" t="s">
        <v>12</v>
      </c>
      <c r="D605">
        <v>54</v>
      </c>
      <c r="E605" t="s">
        <v>46</v>
      </c>
      <c r="F605">
        <v>3</v>
      </c>
      <c r="G605">
        <v>35.19</v>
      </c>
      <c r="H605" t="s">
        <v>18</v>
      </c>
      <c r="I605" s="2">
        <v>44412</v>
      </c>
      <c r="J605" t="s">
        <v>33</v>
      </c>
      <c r="K605" s="4">
        <f>Table1[[#This Row],[Quantity]]*Table1[[#This Row],[Price]]</f>
        <v>105.57</v>
      </c>
      <c r="L605" t="str">
        <f>IF(Table1[[#This Row],[Age]]&lt;25,"18-24",IF(Table1[[#This Row],[Age]]&lt;35,"25-34",IF(Table1[[#This Row],[Age]]&lt;45,"35-44",IF(Table1[[#This Row],[Age]]&lt;55,"45-54","55+"))))</f>
        <v>45-54</v>
      </c>
      <c r="M605" t="str">
        <f>TEXT(Table1[[#This Row],[Invoice_date]],"mmm")</f>
        <v>Aug</v>
      </c>
      <c r="N605">
        <f>YEAR(Table1[[#This Row],[Invoice_date]])</f>
        <v>2021</v>
      </c>
    </row>
    <row r="606" spans="1:14" x14ac:dyDescent="0.25">
      <c r="A606" t="s">
        <v>937</v>
      </c>
      <c r="B606" t="s">
        <v>938</v>
      </c>
      <c r="C606" t="s">
        <v>12</v>
      </c>
      <c r="D606">
        <v>54</v>
      </c>
      <c r="E606" t="s">
        <v>17</v>
      </c>
      <c r="F606">
        <v>2</v>
      </c>
      <c r="G606">
        <v>30.3</v>
      </c>
      <c r="H606" t="s">
        <v>4</v>
      </c>
      <c r="I606" s="2">
        <v>44575</v>
      </c>
      <c r="J606" t="s">
        <v>9</v>
      </c>
      <c r="K606" s="4">
        <f>Table1[[#This Row],[Quantity]]*Table1[[#This Row],[Price]]</f>
        <v>60.6</v>
      </c>
      <c r="L606" t="str">
        <f>IF(Table1[[#This Row],[Age]]&lt;25,"18-24",IF(Table1[[#This Row],[Age]]&lt;35,"25-34",IF(Table1[[#This Row],[Age]]&lt;45,"35-44",IF(Table1[[#This Row],[Age]]&lt;55,"45-54","55+"))))</f>
        <v>45-54</v>
      </c>
      <c r="M606" t="str">
        <f>TEXT(Table1[[#This Row],[Invoice_date]],"mmm")</f>
        <v>Jan</v>
      </c>
      <c r="N606">
        <f>YEAR(Table1[[#This Row],[Invoice_date]])</f>
        <v>2022</v>
      </c>
    </row>
    <row r="607" spans="1:14" x14ac:dyDescent="0.25">
      <c r="A607" t="s">
        <v>941</v>
      </c>
      <c r="B607" t="s">
        <v>942</v>
      </c>
      <c r="C607" t="s">
        <v>12</v>
      </c>
      <c r="D607">
        <v>52</v>
      </c>
      <c r="E607" t="s">
        <v>3</v>
      </c>
      <c r="F607">
        <v>2</v>
      </c>
      <c r="G607">
        <v>600.16</v>
      </c>
      <c r="H607" t="s">
        <v>13</v>
      </c>
      <c r="I607" s="2">
        <v>44438</v>
      </c>
      <c r="J607" t="s">
        <v>14</v>
      </c>
      <c r="K607" s="4">
        <f>Table1[[#This Row],[Quantity]]*Table1[[#This Row],[Price]]</f>
        <v>1200.32</v>
      </c>
      <c r="L607" t="str">
        <f>IF(Table1[[#This Row],[Age]]&lt;25,"18-24",IF(Table1[[#This Row],[Age]]&lt;35,"25-34",IF(Table1[[#This Row],[Age]]&lt;45,"35-44",IF(Table1[[#This Row],[Age]]&lt;55,"45-54","55+"))))</f>
        <v>45-54</v>
      </c>
      <c r="M607" t="str">
        <f>TEXT(Table1[[#This Row],[Invoice_date]],"mmm")</f>
        <v>Aug</v>
      </c>
      <c r="N607">
        <f>YEAR(Table1[[#This Row],[Invoice_date]])</f>
        <v>2021</v>
      </c>
    </row>
    <row r="608" spans="1:14" x14ac:dyDescent="0.25">
      <c r="A608" t="s">
        <v>943</v>
      </c>
      <c r="B608" t="s">
        <v>944</v>
      </c>
      <c r="C608" t="s">
        <v>2</v>
      </c>
      <c r="D608">
        <v>52</v>
      </c>
      <c r="E608" t="s">
        <v>3</v>
      </c>
      <c r="F608">
        <v>4</v>
      </c>
      <c r="G608">
        <v>1200.32</v>
      </c>
      <c r="H608" t="s">
        <v>4</v>
      </c>
      <c r="I608" s="2">
        <v>44728</v>
      </c>
      <c r="J608" t="s">
        <v>33</v>
      </c>
      <c r="K608" s="4">
        <f>Table1[[#This Row],[Quantity]]*Table1[[#This Row],[Price]]</f>
        <v>4801.28</v>
      </c>
      <c r="L608" t="str">
        <f>IF(Table1[[#This Row],[Age]]&lt;25,"18-24",IF(Table1[[#This Row],[Age]]&lt;35,"25-34",IF(Table1[[#This Row],[Age]]&lt;45,"35-44",IF(Table1[[#This Row],[Age]]&lt;55,"45-54","55+"))))</f>
        <v>45-54</v>
      </c>
      <c r="M608" t="str">
        <f>TEXT(Table1[[#This Row],[Invoice_date]],"mmm")</f>
        <v>Jun</v>
      </c>
      <c r="N608">
        <f>YEAR(Table1[[#This Row],[Invoice_date]])</f>
        <v>2022</v>
      </c>
    </row>
    <row r="609" spans="1:14" x14ac:dyDescent="0.25">
      <c r="A609" t="s">
        <v>945</v>
      </c>
      <c r="B609" t="s">
        <v>946</v>
      </c>
      <c r="C609" t="s">
        <v>12</v>
      </c>
      <c r="D609">
        <v>48</v>
      </c>
      <c r="E609" t="s">
        <v>27</v>
      </c>
      <c r="F609">
        <v>2</v>
      </c>
      <c r="G609">
        <v>10.46</v>
      </c>
      <c r="H609" t="s">
        <v>4</v>
      </c>
      <c r="I609" s="2">
        <v>44674</v>
      </c>
      <c r="J609" t="s">
        <v>74</v>
      </c>
      <c r="K609" s="4">
        <f>Table1[[#This Row],[Quantity]]*Table1[[#This Row],[Price]]</f>
        <v>20.92</v>
      </c>
      <c r="L609" t="str">
        <f>IF(Table1[[#This Row],[Age]]&lt;25,"18-24",IF(Table1[[#This Row],[Age]]&lt;35,"25-34",IF(Table1[[#This Row],[Age]]&lt;45,"35-44",IF(Table1[[#This Row],[Age]]&lt;55,"45-54","55+"))))</f>
        <v>45-54</v>
      </c>
      <c r="M609" t="str">
        <f>TEXT(Table1[[#This Row],[Invoice_date]],"mmm")</f>
        <v>Apr</v>
      </c>
      <c r="N609">
        <f>YEAR(Table1[[#This Row],[Invoice_date]])</f>
        <v>2022</v>
      </c>
    </row>
    <row r="610" spans="1:14" x14ac:dyDescent="0.25">
      <c r="A610" t="s">
        <v>955</v>
      </c>
      <c r="B610" t="s">
        <v>956</v>
      </c>
      <c r="C610" t="s">
        <v>2</v>
      </c>
      <c r="D610">
        <v>54</v>
      </c>
      <c r="E610" t="s">
        <v>3</v>
      </c>
      <c r="F610">
        <v>5</v>
      </c>
      <c r="G610">
        <v>1500.4</v>
      </c>
      <c r="H610" t="s">
        <v>13</v>
      </c>
      <c r="I610" s="2">
        <v>44648</v>
      </c>
      <c r="J610" t="s">
        <v>43</v>
      </c>
      <c r="K610" s="4">
        <f>Table1[[#This Row],[Quantity]]*Table1[[#This Row],[Price]]</f>
        <v>7502</v>
      </c>
      <c r="L610" t="str">
        <f>IF(Table1[[#This Row],[Age]]&lt;25,"18-24",IF(Table1[[#This Row],[Age]]&lt;35,"25-34",IF(Table1[[#This Row],[Age]]&lt;45,"35-44",IF(Table1[[#This Row],[Age]]&lt;55,"45-54","55+"))))</f>
        <v>45-54</v>
      </c>
      <c r="M610" t="str">
        <f>TEXT(Table1[[#This Row],[Invoice_date]],"mmm")</f>
        <v>Mar</v>
      </c>
      <c r="N610">
        <f>YEAR(Table1[[#This Row],[Invoice_date]])</f>
        <v>2022</v>
      </c>
    </row>
    <row r="611" spans="1:14" x14ac:dyDescent="0.25">
      <c r="A611" t="s">
        <v>975</v>
      </c>
      <c r="B611" t="s">
        <v>976</v>
      </c>
      <c r="C611" t="s">
        <v>12</v>
      </c>
      <c r="D611">
        <v>48</v>
      </c>
      <c r="E611" t="s">
        <v>8</v>
      </c>
      <c r="F611">
        <v>2</v>
      </c>
      <c r="G611">
        <v>81.319999999999993</v>
      </c>
      <c r="H611" t="s">
        <v>18</v>
      </c>
      <c r="I611" s="2">
        <v>44240</v>
      </c>
      <c r="J611" t="s">
        <v>24</v>
      </c>
      <c r="K611" s="4">
        <f>Table1[[#This Row],[Quantity]]*Table1[[#This Row],[Price]]</f>
        <v>162.63999999999999</v>
      </c>
      <c r="L611" t="str">
        <f>IF(Table1[[#This Row],[Age]]&lt;25,"18-24",IF(Table1[[#This Row],[Age]]&lt;35,"25-34",IF(Table1[[#This Row],[Age]]&lt;45,"35-44",IF(Table1[[#This Row],[Age]]&lt;55,"45-54","55+"))))</f>
        <v>45-54</v>
      </c>
      <c r="M611" t="str">
        <f>TEXT(Table1[[#This Row],[Invoice_date]],"mmm")</f>
        <v>Feb</v>
      </c>
      <c r="N611">
        <f>YEAR(Table1[[#This Row],[Invoice_date]])</f>
        <v>2021</v>
      </c>
    </row>
    <row r="612" spans="1:14" x14ac:dyDescent="0.25">
      <c r="A612" t="s">
        <v>977</v>
      </c>
      <c r="B612" t="s">
        <v>978</v>
      </c>
      <c r="C612" t="s">
        <v>12</v>
      </c>
      <c r="D612">
        <v>45</v>
      </c>
      <c r="E612" t="s">
        <v>38</v>
      </c>
      <c r="F612">
        <v>2</v>
      </c>
      <c r="G612">
        <v>1200.3399999999999</v>
      </c>
      <c r="H612" t="s">
        <v>18</v>
      </c>
      <c r="I612" s="2">
        <v>44975</v>
      </c>
      <c r="J612" t="s">
        <v>24</v>
      </c>
      <c r="K612" s="4">
        <f>Table1[[#This Row],[Quantity]]*Table1[[#This Row],[Price]]</f>
        <v>2400.6799999999998</v>
      </c>
      <c r="L612" t="str">
        <f>IF(Table1[[#This Row],[Age]]&lt;25,"18-24",IF(Table1[[#This Row],[Age]]&lt;35,"25-34",IF(Table1[[#This Row],[Age]]&lt;45,"35-44",IF(Table1[[#This Row],[Age]]&lt;55,"45-54","55+"))))</f>
        <v>45-54</v>
      </c>
      <c r="M612" t="str">
        <f>TEXT(Table1[[#This Row],[Invoice_date]],"mmm")</f>
        <v>Feb</v>
      </c>
      <c r="N612">
        <f>YEAR(Table1[[#This Row],[Invoice_date]])</f>
        <v>2023</v>
      </c>
    </row>
    <row r="613" spans="1:14" x14ac:dyDescent="0.25">
      <c r="A613" t="s">
        <v>979</v>
      </c>
      <c r="B613" t="s">
        <v>980</v>
      </c>
      <c r="C613" t="s">
        <v>12</v>
      </c>
      <c r="D613">
        <v>45</v>
      </c>
      <c r="E613" t="s">
        <v>49</v>
      </c>
      <c r="F613">
        <v>3</v>
      </c>
      <c r="G613">
        <v>107.52</v>
      </c>
      <c r="H613" t="s">
        <v>13</v>
      </c>
      <c r="I613" s="2">
        <v>44397</v>
      </c>
      <c r="J613" t="s">
        <v>30</v>
      </c>
      <c r="K613" s="4">
        <f>Table1[[#This Row],[Quantity]]*Table1[[#This Row],[Price]]</f>
        <v>322.56</v>
      </c>
      <c r="L613" t="str">
        <f>IF(Table1[[#This Row],[Age]]&lt;25,"18-24",IF(Table1[[#This Row],[Age]]&lt;35,"25-34",IF(Table1[[#This Row],[Age]]&lt;45,"35-44",IF(Table1[[#This Row],[Age]]&lt;55,"45-54","55+"))))</f>
        <v>45-54</v>
      </c>
      <c r="M613" t="str">
        <f>TEXT(Table1[[#This Row],[Invoice_date]],"mmm")</f>
        <v>Jul</v>
      </c>
      <c r="N613">
        <f>YEAR(Table1[[#This Row],[Invoice_date]])</f>
        <v>2021</v>
      </c>
    </row>
    <row r="614" spans="1:14" x14ac:dyDescent="0.25">
      <c r="A614" t="s">
        <v>981</v>
      </c>
      <c r="B614" t="s">
        <v>982</v>
      </c>
      <c r="C614" t="s">
        <v>12</v>
      </c>
      <c r="D614">
        <v>45</v>
      </c>
      <c r="E614" t="s">
        <v>3</v>
      </c>
      <c r="F614">
        <v>2</v>
      </c>
      <c r="G614">
        <v>600.16</v>
      </c>
      <c r="H614" t="s">
        <v>13</v>
      </c>
      <c r="I614" s="2">
        <v>44557</v>
      </c>
      <c r="J614" t="s">
        <v>24</v>
      </c>
      <c r="K614" s="4">
        <f>Table1[[#This Row],[Quantity]]*Table1[[#This Row],[Price]]</f>
        <v>1200.32</v>
      </c>
      <c r="L614" t="str">
        <f>IF(Table1[[#This Row],[Age]]&lt;25,"18-24",IF(Table1[[#This Row],[Age]]&lt;35,"25-34",IF(Table1[[#This Row],[Age]]&lt;45,"35-44",IF(Table1[[#This Row],[Age]]&lt;55,"45-54","55+"))))</f>
        <v>45-54</v>
      </c>
      <c r="M614" t="str">
        <f>TEXT(Table1[[#This Row],[Invoice_date]],"mmm")</f>
        <v>Dec</v>
      </c>
      <c r="N614">
        <f>YEAR(Table1[[#This Row],[Invoice_date]])</f>
        <v>2021</v>
      </c>
    </row>
    <row r="615" spans="1:14" x14ac:dyDescent="0.25">
      <c r="A615" t="s">
        <v>989</v>
      </c>
      <c r="B615" t="s">
        <v>990</v>
      </c>
      <c r="C615" t="s">
        <v>12</v>
      </c>
      <c r="D615">
        <v>50</v>
      </c>
      <c r="E615" t="s">
        <v>3</v>
      </c>
      <c r="F615">
        <v>4</v>
      </c>
      <c r="G615">
        <v>1200.32</v>
      </c>
      <c r="H615" t="s">
        <v>4</v>
      </c>
      <c r="I615" s="2">
        <v>44871</v>
      </c>
      <c r="J615" t="s">
        <v>50</v>
      </c>
      <c r="K615" s="4">
        <f>Table1[[#This Row],[Quantity]]*Table1[[#This Row],[Price]]</f>
        <v>4801.28</v>
      </c>
      <c r="L615" t="str">
        <f>IF(Table1[[#This Row],[Age]]&lt;25,"18-24",IF(Table1[[#This Row],[Age]]&lt;35,"25-34",IF(Table1[[#This Row],[Age]]&lt;45,"35-44",IF(Table1[[#This Row],[Age]]&lt;55,"45-54","55+"))))</f>
        <v>45-54</v>
      </c>
      <c r="M615" t="str">
        <f>TEXT(Table1[[#This Row],[Invoice_date]],"mmm")</f>
        <v>Nov</v>
      </c>
      <c r="N615">
        <f>YEAR(Table1[[#This Row],[Invoice_date]])</f>
        <v>2022</v>
      </c>
    </row>
    <row r="616" spans="1:14" x14ac:dyDescent="0.25">
      <c r="A616" t="s">
        <v>999</v>
      </c>
      <c r="B616" t="s">
        <v>1000</v>
      </c>
      <c r="C616" t="s">
        <v>2</v>
      </c>
      <c r="D616">
        <v>47</v>
      </c>
      <c r="E616" t="s">
        <v>3</v>
      </c>
      <c r="F616">
        <v>4</v>
      </c>
      <c r="G616">
        <v>1200.32</v>
      </c>
      <c r="H616" t="s">
        <v>13</v>
      </c>
      <c r="I616" s="2">
        <v>44289</v>
      </c>
      <c r="J616" t="s">
        <v>33</v>
      </c>
      <c r="K616" s="4">
        <f>Table1[[#This Row],[Quantity]]*Table1[[#This Row],[Price]]</f>
        <v>4801.28</v>
      </c>
      <c r="L616" t="str">
        <f>IF(Table1[[#This Row],[Age]]&lt;25,"18-24",IF(Table1[[#This Row],[Age]]&lt;35,"25-34",IF(Table1[[#This Row],[Age]]&lt;45,"35-44",IF(Table1[[#This Row],[Age]]&lt;55,"45-54","55+"))))</f>
        <v>45-54</v>
      </c>
      <c r="M616" t="str">
        <f>TEXT(Table1[[#This Row],[Invoice_date]],"mmm")</f>
        <v>Apr</v>
      </c>
      <c r="N616">
        <f>YEAR(Table1[[#This Row],[Invoice_date]])</f>
        <v>2021</v>
      </c>
    </row>
    <row r="617" spans="1:14" x14ac:dyDescent="0.25">
      <c r="A617" t="s">
        <v>1003</v>
      </c>
      <c r="B617" t="s">
        <v>1004</v>
      </c>
      <c r="C617" t="s">
        <v>12</v>
      </c>
      <c r="D617">
        <v>53</v>
      </c>
      <c r="E617" t="s">
        <v>21</v>
      </c>
      <c r="F617">
        <v>5</v>
      </c>
      <c r="G617">
        <v>5250</v>
      </c>
      <c r="H617" t="s">
        <v>4</v>
      </c>
      <c r="I617" s="2">
        <v>44572</v>
      </c>
      <c r="J617" t="s">
        <v>50</v>
      </c>
      <c r="K617" s="4">
        <f>Table1[[#This Row],[Quantity]]*Table1[[#This Row],[Price]]</f>
        <v>26250</v>
      </c>
      <c r="L617" t="str">
        <f>IF(Table1[[#This Row],[Age]]&lt;25,"18-24",IF(Table1[[#This Row],[Age]]&lt;35,"25-34",IF(Table1[[#This Row],[Age]]&lt;45,"35-44",IF(Table1[[#This Row],[Age]]&lt;55,"45-54","55+"))))</f>
        <v>45-54</v>
      </c>
      <c r="M617" t="str">
        <f>TEXT(Table1[[#This Row],[Invoice_date]],"mmm")</f>
        <v>Jan</v>
      </c>
      <c r="N617">
        <f>YEAR(Table1[[#This Row],[Invoice_date]])</f>
        <v>2022</v>
      </c>
    </row>
    <row r="618" spans="1:14" x14ac:dyDescent="0.25">
      <c r="A618" t="s">
        <v>1007</v>
      </c>
      <c r="B618" t="s">
        <v>1008</v>
      </c>
      <c r="C618" t="s">
        <v>12</v>
      </c>
      <c r="D618">
        <v>54</v>
      </c>
      <c r="E618" t="s">
        <v>17</v>
      </c>
      <c r="F618">
        <v>1</v>
      </c>
      <c r="G618">
        <v>15.15</v>
      </c>
      <c r="H618" t="s">
        <v>18</v>
      </c>
      <c r="I618" s="2">
        <v>44494</v>
      </c>
      <c r="J618" t="s">
        <v>33</v>
      </c>
      <c r="K618" s="4">
        <f>Table1[[#This Row],[Quantity]]*Table1[[#This Row],[Price]]</f>
        <v>15.15</v>
      </c>
      <c r="L618" t="str">
        <f>IF(Table1[[#This Row],[Age]]&lt;25,"18-24",IF(Table1[[#This Row],[Age]]&lt;35,"25-34",IF(Table1[[#This Row],[Age]]&lt;45,"35-44",IF(Table1[[#This Row],[Age]]&lt;55,"45-54","55+"))))</f>
        <v>45-54</v>
      </c>
      <c r="M618" t="str">
        <f>TEXT(Table1[[#This Row],[Invoice_date]],"mmm")</f>
        <v>Oct</v>
      </c>
      <c r="N618">
        <f>YEAR(Table1[[#This Row],[Invoice_date]])</f>
        <v>2021</v>
      </c>
    </row>
    <row r="619" spans="1:14" x14ac:dyDescent="0.25">
      <c r="A619" t="s">
        <v>1009</v>
      </c>
      <c r="B619" t="s">
        <v>1010</v>
      </c>
      <c r="C619" t="s">
        <v>12</v>
      </c>
      <c r="D619">
        <v>50</v>
      </c>
      <c r="E619" t="s">
        <v>38</v>
      </c>
      <c r="F619">
        <v>3</v>
      </c>
      <c r="G619">
        <v>1800.51</v>
      </c>
      <c r="H619" t="s">
        <v>4</v>
      </c>
      <c r="I619" s="2">
        <v>44416</v>
      </c>
      <c r="J619" t="s">
        <v>63</v>
      </c>
      <c r="K619" s="4">
        <f>Table1[[#This Row],[Quantity]]*Table1[[#This Row],[Price]]</f>
        <v>5401.53</v>
      </c>
      <c r="L619" t="str">
        <f>IF(Table1[[#This Row],[Age]]&lt;25,"18-24",IF(Table1[[#This Row],[Age]]&lt;35,"25-34",IF(Table1[[#This Row],[Age]]&lt;45,"35-44",IF(Table1[[#This Row],[Age]]&lt;55,"45-54","55+"))))</f>
        <v>45-54</v>
      </c>
      <c r="M619" t="str">
        <f>TEXT(Table1[[#This Row],[Invoice_date]],"mmm")</f>
        <v>Aug</v>
      </c>
      <c r="N619">
        <f>YEAR(Table1[[#This Row],[Invoice_date]])</f>
        <v>2021</v>
      </c>
    </row>
    <row r="620" spans="1:14" x14ac:dyDescent="0.25">
      <c r="A620" t="s">
        <v>1055</v>
      </c>
      <c r="B620" t="s">
        <v>1056</v>
      </c>
      <c r="C620" t="s">
        <v>12</v>
      </c>
      <c r="D620">
        <v>45</v>
      </c>
      <c r="E620" t="s">
        <v>3</v>
      </c>
      <c r="F620">
        <v>4</v>
      </c>
      <c r="G620">
        <v>1200.32</v>
      </c>
      <c r="H620" t="s">
        <v>4</v>
      </c>
      <c r="I620" s="2">
        <v>44779</v>
      </c>
      <c r="J620" t="s">
        <v>5</v>
      </c>
      <c r="K620" s="4">
        <f>Table1[[#This Row],[Quantity]]*Table1[[#This Row],[Price]]</f>
        <v>4801.28</v>
      </c>
      <c r="L620" t="str">
        <f>IF(Table1[[#This Row],[Age]]&lt;25,"18-24",IF(Table1[[#This Row],[Age]]&lt;35,"25-34",IF(Table1[[#This Row],[Age]]&lt;45,"35-44",IF(Table1[[#This Row],[Age]]&lt;55,"45-54","55+"))))</f>
        <v>45-54</v>
      </c>
      <c r="M620" t="str">
        <f>TEXT(Table1[[#This Row],[Invoice_date]],"mmm")</f>
        <v>Aug</v>
      </c>
      <c r="N620">
        <f>YEAR(Table1[[#This Row],[Invoice_date]])</f>
        <v>2022</v>
      </c>
    </row>
    <row r="621" spans="1:14" x14ac:dyDescent="0.25">
      <c r="A621" t="s">
        <v>1073</v>
      </c>
      <c r="B621" t="s">
        <v>1074</v>
      </c>
      <c r="C621" t="s">
        <v>12</v>
      </c>
      <c r="D621">
        <v>46</v>
      </c>
      <c r="E621" t="s">
        <v>3</v>
      </c>
      <c r="F621">
        <v>4</v>
      </c>
      <c r="G621">
        <v>1200.32</v>
      </c>
      <c r="H621" t="s">
        <v>4</v>
      </c>
      <c r="I621" s="2">
        <v>44902</v>
      </c>
      <c r="J621" t="s">
        <v>63</v>
      </c>
      <c r="K621" s="4">
        <f>Table1[[#This Row],[Quantity]]*Table1[[#This Row],[Price]]</f>
        <v>4801.28</v>
      </c>
      <c r="L621" t="str">
        <f>IF(Table1[[#This Row],[Age]]&lt;25,"18-24",IF(Table1[[#This Row],[Age]]&lt;35,"25-34",IF(Table1[[#This Row],[Age]]&lt;45,"35-44",IF(Table1[[#This Row],[Age]]&lt;55,"45-54","55+"))))</f>
        <v>45-54</v>
      </c>
      <c r="M621" t="str">
        <f>TEXT(Table1[[#This Row],[Invoice_date]],"mmm")</f>
        <v>Dec</v>
      </c>
      <c r="N621">
        <f>YEAR(Table1[[#This Row],[Invoice_date]])</f>
        <v>2022</v>
      </c>
    </row>
    <row r="622" spans="1:14" x14ac:dyDescent="0.25">
      <c r="A622" t="s">
        <v>1091</v>
      </c>
      <c r="B622" t="s">
        <v>1092</v>
      </c>
      <c r="C622" t="s">
        <v>2</v>
      </c>
      <c r="D622">
        <v>48</v>
      </c>
      <c r="E622" t="s">
        <v>27</v>
      </c>
      <c r="F622">
        <v>3</v>
      </c>
      <c r="G622">
        <v>15.69</v>
      </c>
      <c r="H622" t="s">
        <v>18</v>
      </c>
      <c r="I622" s="2">
        <v>44365</v>
      </c>
      <c r="J622" t="s">
        <v>50</v>
      </c>
      <c r="K622" s="4">
        <f>Table1[[#This Row],[Quantity]]*Table1[[#This Row],[Price]]</f>
        <v>47.07</v>
      </c>
      <c r="L622" t="str">
        <f>IF(Table1[[#This Row],[Age]]&lt;25,"18-24",IF(Table1[[#This Row],[Age]]&lt;35,"25-34",IF(Table1[[#This Row],[Age]]&lt;45,"35-44",IF(Table1[[#This Row],[Age]]&lt;55,"45-54","55+"))))</f>
        <v>45-54</v>
      </c>
      <c r="M622" t="str">
        <f>TEXT(Table1[[#This Row],[Invoice_date]],"mmm")</f>
        <v>Jun</v>
      </c>
      <c r="N622">
        <f>YEAR(Table1[[#This Row],[Invoice_date]])</f>
        <v>2021</v>
      </c>
    </row>
    <row r="623" spans="1:14" x14ac:dyDescent="0.25">
      <c r="A623" t="s">
        <v>1105</v>
      </c>
      <c r="B623" t="s">
        <v>1106</v>
      </c>
      <c r="C623" t="s">
        <v>12</v>
      </c>
      <c r="D623">
        <v>48</v>
      </c>
      <c r="E623" t="s">
        <v>8</v>
      </c>
      <c r="F623">
        <v>2</v>
      </c>
      <c r="G623">
        <v>81.319999999999993</v>
      </c>
      <c r="H623" t="s">
        <v>4</v>
      </c>
      <c r="I623" s="2">
        <v>44507</v>
      </c>
      <c r="J623" t="s">
        <v>14</v>
      </c>
      <c r="K623" s="4">
        <f>Table1[[#This Row],[Quantity]]*Table1[[#This Row],[Price]]</f>
        <v>162.63999999999999</v>
      </c>
      <c r="L623" t="str">
        <f>IF(Table1[[#This Row],[Age]]&lt;25,"18-24",IF(Table1[[#This Row],[Age]]&lt;35,"25-34",IF(Table1[[#This Row],[Age]]&lt;45,"35-44",IF(Table1[[#This Row],[Age]]&lt;55,"45-54","55+"))))</f>
        <v>45-54</v>
      </c>
      <c r="M623" t="str">
        <f>TEXT(Table1[[#This Row],[Invoice_date]],"mmm")</f>
        <v>Nov</v>
      </c>
      <c r="N623">
        <f>YEAR(Table1[[#This Row],[Invoice_date]])</f>
        <v>2021</v>
      </c>
    </row>
    <row r="624" spans="1:14" x14ac:dyDescent="0.25">
      <c r="A624" t="s">
        <v>1113</v>
      </c>
      <c r="B624" t="s">
        <v>1114</v>
      </c>
      <c r="C624" t="s">
        <v>2</v>
      </c>
      <c r="D624">
        <v>49</v>
      </c>
      <c r="E624" t="s">
        <v>3</v>
      </c>
      <c r="F624">
        <v>1</v>
      </c>
      <c r="G624">
        <v>300.08</v>
      </c>
      <c r="H624" t="s">
        <v>13</v>
      </c>
      <c r="I624" s="2">
        <v>44231</v>
      </c>
      <c r="J624" t="s">
        <v>33</v>
      </c>
      <c r="K624" s="4">
        <f>Table1[[#This Row],[Quantity]]*Table1[[#This Row],[Price]]</f>
        <v>300.08</v>
      </c>
      <c r="L624" t="str">
        <f>IF(Table1[[#This Row],[Age]]&lt;25,"18-24",IF(Table1[[#This Row],[Age]]&lt;35,"25-34",IF(Table1[[#This Row],[Age]]&lt;45,"35-44",IF(Table1[[#This Row],[Age]]&lt;55,"45-54","55+"))))</f>
        <v>45-54</v>
      </c>
      <c r="M624" t="str">
        <f>TEXT(Table1[[#This Row],[Invoice_date]],"mmm")</f>
        <v>Feb</v>
      </c>
      <c r="N624">
        <f>YEAR(Table1[[#This Row],[Invoice_date]])</f>
        <v>2021</v>
      </c>
    </row>
    <row r="625" spans="1:14" x14ac:dyDescent="0.25">
      <c r="A625" t="s">
        <v>1121</v>
      </c>
      <c r="B625" t="s">
        <v>1122</v>
      </c>
      <c r="C625" t="s">
        <v>2</v>
      </c>
      <c r="D625">
        <v>48</v>
      </c>
      <c r="E625" t="s">
        <v>8</v>
      </c>
      <c r="F625">
        <v>3</v>
      </c>
      <c r="G625">
        <v>121.98</v>
      </c>
      <c r="H625" t="s">
        <v>4</v>
      </c>
      <c r="I625" s="2">
        <v>44651</v>
      </c>
      <c r="J625" t="s">
        <v>24</v>
      </c>
      <c r="K625" s="4">
        <f>Table1[[#This Row],[Quantity]]*Table1[[#This Row],[Price]]</f>
        <v>365.94</v>
      </c>
      <c r="L625" t="str">
        <f>IF(Table1[[#This Row],[Age]]&lt;25,"18-24",IF(Table1[[#This Row],[Age]]&lt;35,"25-34",IF(Table1[[#This Row],[Age]]&lt;45,"35-44",IF(Table1[[#This Row],[Age]]&lt;55,"45-54","55+"))))</f>
        <v>45-54</v>
      </c>
      <c r="M625" t="str">
        <f>TEXT(Table1[[#This Row],[Invoice_date]],"mmm")</f>
        <v>Mar</v>
      </c>
      <c r="N625">
        <f>YEAR(Table1[[#This Row],[Invoice_date]])</f>
        <v>2022</v>
      </c>
    </row>
    <row r="626" spans="1:14" x14ac:dyDescent="0.25">
      <c r="A626" t="s">
        <v>1125</v>
      </c>
      <c r="B626" t="s">
        <v>1126</v>
      </c>
      <c r="C626" t="s">
        <v>12</v>
      </c>
      <c r="D626">
        <v>45</v>
      </c>
      <c r="E626" t="s">
        <v>46</v>
      </c>
      <c r="F626">
        <v>4</v>
      </c>
      <c r="G626">
        <v>46.92</v>
      </c>
      <c r="H626" t="s">
        <v>4</v>
      </c>
      <c r="I626" s="2">
        <v>44332</v>
      </c>
      <c r="J626" t="s">
        <v>50</v>
      </c>
      <c r="K626" s="4">
        <f>Table1[[#This Row],[Quantity]]*Table1[[#This Row],[Price]]</f>
        <v>187.68</v>
      </c>
      <c r="L626" t="str">
        <f>IF(Table1[[#This Row],[Age]]&lt;25,"18-24",IF(Table1[[#This Row],[Age]]&lt;35,"25-34",IF(Table1[[#This Row],[Age]]&lt;45,"35-44",IF(Table1[[#This Row],[Age]]&lt;55,"45-54","55+"))))</f>
        <v>45-54</v>
      </c>
      <c r="M626" t="str">
        <f>TEXT(Table1[[#This Row],[Invoice_date]],"mmm")</f>
        <v>May</v>
      </c>
      <c r="N626">
        <f>YEAR(Table1[[#This Row],[Invoice_date]])</f>
        <v>2021</v>
      </c>
    </row>
    <row r="627" spans="1:14" x14ac:dyDescent="0.25">
      <c r="A627" t="s">
        <v>1129</v>
      </c>
      <c r="B627" t="s">
        <v>1130</v>
      </c>
      <c r="C627" t="s">
        <v>12</v>
      </c>
      <c r="D627">
        <v>53</v>
      </c>
      <c r="E627" t="s">
        <v>3</v>
      </c>
      <c r="F627">
        <v>4</v>
      </c>
      <c r="G627">
        <v>1200.32</v>
      </c>
      <c r="H627" t="s">
        <v>13</v>
      </c>
      <c r="I627" s="2">
        <v>44463</v>
      </c>
      <c r="J627" t="s">
        <v>33</v>
      </c>
      <c r="K627" s="4">
        <f>Table1[[#This Row],[Quantity]]*Table1[[#This Row],[Price]]</f>
        <v>4801.28</v>
      </c>
      <c r="L627" t="str">
        <f>IF(Table1[[#This Row],[Age]]&lt;25,"18-24",IF(Table1[[#This Row],[Age]]&lt;35,"25-34",IF(Table1[[#This Row],[Age]]&lt;45,"35-44",IF(Table1[[#This Row],[Age]]&lt;55,"45-54","55+"))))</f>
        <v>45-54</v>
      </c>
      <c r="M627" t="str">
        <f>TEXT(Table1[[#This Row],[Invoice_date]],"mmm")</f>
        <v>Sep</v>
      </c>
      <c r="N627">
        <f>YEAR(Table1[[#This Row],[Invoice_date]])</f>
        <v>2021</v>
      </c>
    </row>
    <row r="628" spans="1:14" x14ac:dyDescent="0.25">
      <c r="A628" t="s">
        <v>1131</v>
      </c>
      <c r="B628" t="s">
        <v>1132</v>
      </c>
      <c r="C628" t="s">
        <v>12</v>
      </c>
      <c r="D628">
        <v>53</v>
      </c>
      <c r="E628" t="s">
        <v>3</v>
      </c>
      <c r="F628">
        <v>3</v>
      </c>
      <c r="G628">
        <v>900.24</v>
      </c>
      <c r="H628" t="s">
        <v>13</v>
      </c>
      <c r="I628" s="2">
        <v>44246</v>
      </c>
      <c r="J628" t="s">
        <v>24</v>
      </c>
      <c r="K628" s="4">
        <f>Table1[[#This Row],[Quantity]]*Table1[[#This Row],[Price]]</f>
        <v>2700.7200000000003</v>
      </c>
      <c r="L628" t="str">
        <f>IF(Table1[[#This Row],[Age]]&lt;25,"18-24",IF(Table1[[#This Row],[Age]]&lt;35,"25-34",IF(Table1[[#This Row],[Age]]&lt;45,"35-44",IF(Table1[[#This Row],[Age]]&lt;55,"45-54","55+"))))</f>
        <v>45-54</v>
      </c>
      <c r="M628" t="str">
        <f>TEXT(Table1[[#This Row],[Invoice_date]],"mmm")</f>
        <v>Feb</v>
      </c>
      <c r="N628">
        <f>YEAR(Table1[[#This Row],[Invoice_date]])</f>
        <v>2021</v>
      </c>
    </row>
    <row r="629" spans="1:14" x14ac:dyDescent="0.25">
      <c r="A629" t="s">
        <v>1165</v>
      </c>
      <c r="B629" t="s">
        <v>1166</v>
      </c>
      <c r="C629" t="s">
        <v>12</v>
      </c>
      <c r="D629">
        <v>53</v>
      </c>
      <c r="E629" t="s">
        <v>27</v>
      </c>
      <c r="F629">
        <v>4</v>
      </c>
      <c r="G629">
        <v>20.92</v>
      </c>
      <c r="H629" t="s">
        <v>13</v>
      </c>
      <c r="I629" s="2">
        <v>44746</v>
      </c>
      <c r="J629" t="s">
        <v>74</v>
      </c>
      <c r="K629" s="4">
        <f>Table1[[#This Row],[Quantity]]*Table1[[#This Row],[Price]]</f>
        <v>83.68</v>
      </c>
      <c r="L629" t="str">
        <f>IF(Table1[[#This Row],[Age]]&lt;25,"18-24",IF(Table1[[#This Row],[Age]]&lt;35,"25-34",IF(Table1[[#This Row],[Age]]&lt;45,"35-44",IF(Table1[[#This Row],[Age]]&lt;55,"45-54","55+"))))</f>
        <v>45-54</v>
      </c>
      <c r="M629" t="str">
        <f>TEXT(Table1[[#This Row],[Invoice_date]],"mmm")</f>
        <v>Jul</v>
      </c>
      <c r="N629">
        <f>YEAR(Table1[[#This Row],[Invoice_date]])</f>
        <v>2022</v>
      </c>
    </row>
    <row r="630" spans="1:14" x14ac:dyDescent="0.25">
      <c r="A630" t="s">
        <v>1171</v>
      </c>
      <c r="B630" t="s">
        <v>1172</v>
      </c>
      <c r="C630" t="s">
        <v>12</v>
      </c>
      <c r="D630">
        <v>52</v>
      </c>
      <c r="E630" t="s">
        <v>21</v>
      </c>
      <c r="F630">
        <v>2</v>
      </c>
      <c r="G630">
        <v>2100</v>
      </c>
      <c r="H630" t="s">
        <v>18</v>
      </c>
      <c r="I630" s="2">
        <v>44525</v>
      </c>
      <c r="J630" t="s">
        <v>74</v>
      </c>
      <c r="K630" s="4">
        <f>Table1[[#This Row],[Quantity]]*Table1[[#This Row],[Price]]</f>
        <v>4200</v>
      </c>
      <c r="L630" t="str">
        <f>IF(Table1[[#This Row],[Age]]&lt;25,"18-24",IF(Table1[[#This Row],[Age]]&lt;35,"25-34",IF(Table1[[#This Row],[Age]]&lt;45,"35-44",IF(Table1[[#This Row],[Age]]&lt;55,"45-54","55+"))))</f>
        <v>45-54</v>
      </c>
      <c r="M630" t="str">
        <f>TEXT(Table1[[#This Row],[Invoice_date]],"mmm")</f>
        <v>Nov</v>
      </c>
      <c r="N630">
        <f>YEAR(Table1[[#This Row],[Invoice_date]])</f>
        <v>2021</v>
      </c>
    </row>
    <row r="631" spans="1:14" x14ac:dyDescent="0.25">
      <c r="A631" t="s">
        <v>1195</v>
      </c>
      <c r="B631" t="s">
        <v>1196</v>
      </c>
      <c r="C631" t="s">
        <v>12</v>
      </c>
      <c r="D631">
        <v>47</v>
      </c>
      <c r="E631" t="s">
        <v>3</v>
      </c>
      <c r="F631">
        <v>1</v>
      </c>
      <c r="G631">
        <v>300.08</v>
      </c>
      <c r="H631" t="s">
        <v>4</v>
      </c>
      <c r="I631" s="2">
        <v>44941</v>
      </c>
      <c r="J631" t="s">
        <v>14</v>
      </c>
      <c r="K631" s="4">
        <f>Table1[[#This Row],[Quantity]]*Table1[[#This Row],[Price]]</f>
        <v>300.08</v>
      </c>
      <c r="L631" t="str">
        <f>IF(Table1[[#This Row],[Age]]&lt;25,"18-24",IF(Table1[[#This Row],[Age]]&lt;35,"25-34",IF(Table1[[#This Row],[Age]]&lt;45,"35-44",IF(Table1[[#This Row],[Age]]&lt;55,"45-54","55+"))))</f>
        <v>45-54</v>
      </c>
      <c r="M631" t="str">
        <f>TEXT(Table1[[#This Row],[Invoice_date]],"mmm")</f>
        <v>Jan</v>
      </c>
      <c r="N631">
        <f>YEAR(Table1[[#This Row],[Invoice_date]])</f>
        <v>2023</v>
      </c>
    </row>
    <row r="632" spans="1:14" x14ac:dyDescent="0.25">
      <c r="A632" t="s">
        <v>1205</v>
      </c>
      <c r="B632" t="s">
        <v>1206</v>
      </c>
      <c r="C632" t="s">
        <v>2</v>
      </c>
      <c r="D632">
        <v>52</v>
      </c>
      <c r="E632" t="s">
        <v>8</v>
      </c>
      <c r="F632">
        <v>2</v>
      </c>
      <c r="G632">
        <v>81.319999999999993</v>
      </c>
      <c r="H632" t="s">
        <v>18</v>
      </c>
      <c r="I632" s="2">
        <v>44365</v>
      </c>
      <c r="J632" t="s">
        <v>33</v>
      </c>
      <c r="K632" s="4">
        <f>Table1[[#This Row],[Quantity]]*Table1[[#This Row],[Price]]</f>
        <v>162.63999999999999</v>
      </c>
      <c r="L632" t="str">
        <f>IF(Table1[[#This Row],[Age]]&lt;25,"18-24",IF(Table1[[#This Row],[Age]]&lt;35,"25-34",IF(Table1[[#This Row],[Age]]&lt;45,"35-44",IF(Table1[[#This Row],[Age]]&lt;55,"45-54","55+"))))</f>
        <v>45-54</v>
      </c>
      <c r="M632" t="str">
        <f>TEXT(Table1[[#This Row],[Invoice_date]],"mmm")</f>
        <v>Jun</v>
      </c>
      <c r="N632">
        <f>YEAR(Table1[[#This Row],[Invoice_date]])</f>
        <v>2021</v>
      </c>
    </row>
    <row r="633" spans="1:14" x14ac:dyDescent="0.25">
      <c r="A633" t="s">
        <v>1215</v>
      </c>
      <c r="B633" t="s">
        <v>1216</v>
      </c>
      <c r="C633" t="s">
        <v>12</v>
      </c>
      <c r="D633">
        <v>52</v>
      </c>
      <c r="E633" t="s">
        <v>38</v>
      </c>
      <c r="F633">
        <v>3</v>
      </c>
      <c r="G633">
        <v>1800.51</v>
      </c>
      <c r="H633" t="s">
        <v>4</v>
      </c>
      <c r="I633" s="2">
        <v>44609</v>
      </c>
      <c r="J633" t="s">
        <v>50</v>
      </c>
      <c r="K633" s="4">
        <f>Table1[[#This Row],[Quantity]]*Table1[[#This Row],[Price]]</f>
        <v>5401.53</v>
      </c>
      <c r="L633" t="str">
        <f>IF(Table1[[#This Row],[Age]]&lt;25,"18-24",IF(Table1[[#This Row],[Age]]&lt;35,"25-34",IF(Table1[[#This Row],[Age]]&lt;45,"35-44",IF(Table1[[#This Row],[Age]]&lt;55,"45-54","55+"))))</f>
        <v>45-54</v>
      </c>
      <c r="M633" t="str">
        <f>TEXT(Table1[[#This Row],[Invoice_date]],"mmm")</f>
        <v>Feb</v>
      </c>
      <c r="N633">
        <f>YEAR(Table1[[#This Row],[Invoice_date]])</f>
        <v>2022</v>
      </c>
    </row>
    <row r="634" spans="1:14" x14ac:dyDescent="0.25">
      <c r="A634" t="s">
        <v>1221</v>
      </c>
      <c r="B634" t="s">
        <v>1222</v>
      </c>
      <c r="C634" t="s">
        <v>2</v>
      </c>
      <c r="D634">
        <v>51</v>
      </c>
      <c r="E634" t="s">
        <v>27</v>
      </c>
      <c r="F634">
        <v>2</v>
      </c>
      <c r="G634">
        <v>10.46</v>
      </c>
      <c r="H634" t="s">
        <v>18</v>
      </c>
      <c r="I634" s="2">
        <v>44647</v>
      </c>
      <c r="J634" t="s">
        <v>33</v>
      </c>
      <c r="K634" s="4">
        <f>Table1[[#This Row],[Quantity]]*Table1[[#This Row],[Price]]</f>
        <v>20.92</v>
      </c>
      <c r="L634" t="str">
        <f>IF(Table1[[#This Row],[Age]]&lt;25,"18-24",IF(Table1[[#This Row],[Age]]&lt;35,"25-34",IF(Table1[[#This Row],[Age]]&lt;45,"35-44",IF(Table1[[#This Row],[Age]]&lt;55,"45-54","55+"))))</f>
        <v>45-54</v>
      </c>
      <c r="M634" t="str">
        <f>TEXT(Table1[[#This Row],[Invoice_date]],"mmm")</f>
        <v>Mar</v>
      </c>
      <c r="N634">
        <f>YEAR(Table1[[#This Row],[Invoice_date]])</f>
        <v>2022</v>
      </c>
    </row>
    <row r="635" spans="1:14" x14ac:dyDescent="0.25">
      <c r="A635" t="s">
        <v>1223</v>
      </c>
      <c r="B635" t="s">
        <v>1224</v>
      </c>
      <c r="C635" t="s">
        <v>2</v>
      </c>
      <c r="D635">
        <v>53</v>
      </c>
      <c r="E635" t="s">
        <v>27</v>
      </c>
      <c r="F635">
        <v>4</v>
      </c>
      <c r="G635">
        <v>20.92</v>
      </c>
      <c r="H635" t="s">
        <v>4</v>
      </c>
      <c r="I635" s="2">
        <v>44313</v>
      </c>
      <c r="J635" t="s">
        <v>74</v>
      </c>
      <c r="K635" s="4">
        <f>Table1[[#This Row],[Quantity]]*Table1[[#This Row],[Price]]</f>
        <v>83.68</v>
      </c>
      <c r="L635" t="str">
        <f>IF(Table1[[#This Row],[Age]]&lt;25,"18-24",IF(Table1[[#This Row],[Age]]&lt;35,"25-34",IF(Table1[[#This Row],[Age]]&lt;45,"35-44",IF(Table1[[#This Row],[Age]]&lt;55,"45-54","55+"))))</f>
        <v>45-54</v>
      </c>
      <c r="M635" t="str">
        <f>TEXT(Table1[[#This Row],[Invoice_date]],"mmm")</f>
        <v>Apr</v>
      </c>
      <c r="N635">
        <f>YEAR(Table1[[#This Row],[Invoice_date]])</f>
        <v>2021</v>
      </c>
    </row>
    <row r="636" spans="1:14" x14ac:dyDescent="0.25">
      <c r="A636" t="s">
        <v>1235</v>
      </c>
      <c r="B636" t="s">
        <v>1236</v>
      </c>
      <c r="C636" t="s">
        <v>12</v>
      </c>
      <c r="D636">
        <v>46</v>
      </c>
      <c r="E636" t="s">
        <v>8</v>
      </c>
      <c r="F636">
        <v>5</v>
      </c>
      <c r="G636">
        <v>203.3</v>
      </c>
      <c r="H636" t="s">
        <v>13</v>
      </c>
      <c r="I636" s="2">
        <v>44771</v>
      </c>
      <c r="J636" t="s">
        <v>30</v>
      </c>
      <c r="K636" s="4">
        <f>Table1[[#This Row],[Quantity]]*Table1[[#This Row],[Price]]</f>
        <v>1016.5</v>
      </c>
      <c r="L636" t="str">
        <f>IF(Table1[[#This Row],[Age]]&lt;25,"18-24",IF(Table1[[#This Row],[Age]]&lt;35,"25-34",IF(Table1[[#This Row],[Age]]&lt;45,"35-44",IF(Table1[[#This Row],[Age]]&lt;55,"45-54","55+"))))</f>
        <v>45-54</v>
      </c>
      <c r="M636" t="str">
        <f>TEXT(Table1[[#This Row],[Invoice_date]],"mmm")</f>
        <v>Jul</v>
      </c>
      <c r="N636">
        <f>YEAR(Table1[[#This Row],[Invoice_date]])</f>
        <v>2022</v>
      </c>
    </row>
    <row r="637" spans="1:14" x14ac:dyDescent="0.25">
      <c r="A637" t="s">
        <v>1247</v>
      </c>
      <c r="B637" t="s">
        <v>1248</v>
      </c>
      <c r="C637" t="s">
        <v>2</v>
      </c>
      <c r="D637">
        <v>53</v>
      </c>
      <c r="E637" t="s">
        <v>17</v>
      </c>
      <c r="F637">
        <v>2</v>
      </c>
      <c r="G637">
        <v>30.3</v>
      </c>
      <c r="H637" t="s">
        <v>18</v>
      </c>
      <c r="I637" s="2">
        <v>44362</v>
      </c>
      <c r="J637" t="s">
        <v>14</v>
      </c>
      <c r="K637" s="4">
        <f>Table1[[#This Row],[Quantity]]*Table1[[#This Row],[Price]]</f>
        <v>60.6</v>
      </c>
      <c r="L637" t="str">
        <f>IF(Table1[[#This Row],[Age]]&lt;25,"18-24",IF(Table1[[#This Row],[Age]]&lt;35,"25-34",IF(Table1[[#This Row],[Age]]&lt;45,"35-44",IF(Table1[[#This Row],[Age]]&lt;55,"45-54","55+"))))</f>
        <v>45-54</v>
      </c>
      <c r="M637" t="str">
        <f>TEXT(Table1[[#This Row],[Invoice_date]],"mmm")</f>
        <v>Jun</v>
      </c>
      <c r="N637">
        <f>YEAR(Table1[[#This Row],[Invoice_date]])</f>
        <v>2021</v>
      </c>
    </row>
    <row r="638" spans="1:14" x14ac:dyDescent="0.25">
      <c r="A638" t="s">
        <v>1253</v>
      </c>
      <c r="B638" t="s">
        <v>1254</v>
      </c>
      <c r="C638" t="s">
        <v>2</v>
      </c>
      <c r="D638">
        <v>52</v>
      </c>
      <c r="E638" t="s">
        <v>21</v>
      </c>
      <c r="F638">
        <v>3</v>
      </c>
      <c r="G638">
        <v>3150</v>
      </c>
      <c r="H638" t="s">
        <v>4</v>
      </c>
      <c r="I638" s="2">
        <v>44243</v>
      </c>
      <c r="J638" t="s">
        <v>24</v>
      </c>
      <c r="K638" s="4">
        <f>Table1[[#This Row],[Quantity]]*Table1[[#This Row],[Price]]</f>
        <v>9450</v>
      </c>
      <c r="L638" t="str">
        <f>IF(Table1[[#This Row],[Age]]&lt;25,"18-24",IF(Table1[[#This Row],[Age]]&lt;35,"25-34",IF(Table1[[#This Row],[Age]]&lt;45,"35-44",IF(Table1[[#This Row],[Age]]&lt;55,"45-54","55+"))))</f>
        <v>45-54</v>
      </c>
      <c r="M638" t="str">
        <f>TEXT(Table1[[#This Row],[Invoice_date]],"mmm")</f>
        <v>Feb</v>
      </c>
      <c r="N638">
        <f>YEAR(Table1[[#This Row],[Invoice_date]])</f>
        <v>2021</v>
      </c>
    </row>
    <row r="639" spans="1:14" x14ac:dyDescent="0.25">
      <c r="A639" t="s">
        <v>1273</v>
      </c>
      <c r="B639" t="s">
        <v>1274</v>
      </c>
      <c r="C639" t="s">
        <v>2</v>
      </c>
      <c r="D639">
        <v>45</v>
      </c>
      <c r="E639" t="s">
        <v>3</v>
      </c>
      <c r="F639">
        <v>2</v>
      </c>
      <c r="G639">
        <v>600.16</v>
      </c>
      <c r="H639" t="s">
        <v>18</v>
      </c>
      <c r="I639" s="2">
        <v>44835</v>
      </c>
      <c r="J639" t="s">
        <v>24</v>
      </c>
      <c r="K639" s="4">
        <f>Table1[[#This Row],[Quantity]]*Table1[[#This Row],[Price]]</f>
        <v>1200.32</v>
      </c>
      <c r="L639" t="str">
        <f>IF(Table1[[#This Row],[Age]]&lt;25,"18-24",IF(Table1[[#This Row],[Age]]&lt;35,"25-34",IF(Table1[[#This Row],[Age]]&lt;45,"35-44",IF(Table1[[#This Row],[Age]]&lt;55,"45-54","55+"))))</f>
        <v>45-54</v>
      </c>
      <c r="M639" t="str">
        <f>TEXT(Table1[[#This Row],[Invoice_date]],"mmm")</f>
        <v>Oct</v>
      </c>
      <c r="N639">
        <f>YEAR(Table1[[#This Row],[Invoice_date]])</f>
        <v>2022</v>
      </c>
    </row>
    <row r="640" spans="1:14" x14ac:dyDescent="0.25">
      <c r="A640" t="s">
        <v>1277</v>
      </c>
      <c r="B640" t="s">
        <v>1278</v>
      </c>
      <c r="C640" t="s">
        <v>12</v>
      </c>
      <c r="D640">
        <v>52</v>
      </c>
      <c r="E640" t="s">
        <v>38</v>
      </c>
      <c r="F640">
        <v>1</v>
      </c>
      <c r="G640">
        <v>600.16999999999996</v>
      </c>
      <c r="H640" t="s">
        <v>4</v>
      </c>
      <c r="I640" s="2">
        <v>44471</v>
      </c>
      <c r="J640" t="s">
        <v>30</v>
      </c>
      <c r="K640" s="4">
        <f>Table1[[#This Row],[Quantity]]*Table1[[#This Row],[Price]]</f>
        <v>600.16999999999996</v>
      </c>
      <c r="L640" t="str">
        <f>IF(Table1[[#This Row],[Age]]&lt;25,"18-24",IF(Table1[[#This Row],[Age]]&lt;35,"25-34",IF(Table1[[#This Row],[Age]]&lt;45,"35-44",IF(Table1[[#This Row],[Age]]&lt;55,"45-54","55+"))))</f>
        <v>45-54</v>
      </c>
      <c r="M640" t="str">
        <f>TEXT(Table1[[#This Row],[Invoice_date]],"mmm")</f>
        <v>Oct</v>
      </c>
      <c r="N640">
        <f>YEAR(Table1[[#This Row],[Invoice_date]])</f>
        <v>2021</v>
      </c>
    </row>
    <row r="641" spans="1:14" x14ac:dyDescent="0.25">
      <c r="A641" t="s">
        <v>1281</v>
      </c>
      <c r="B641" t="s">
        <v>1282</v>
      </c>
      <c r="C641" t="s">
        <v>12</v>
      </c>
      <c r="D641">
        <v>54</v>
      </c>
      <c r="E641" t="s">
        <v>27</v>
      </c>
      <c r="F641">
        <v>5</v>
      </c>
      <c r="G641">
        <v>26.15</v>
      </c>
      <c r="H641" t="s">
        <v>13</v>
      </c>
      <c r="I641" s="2">
        <v>44340</v>
      </c>
      <c r="J641" t="s">
        <v>33</v>
      </c>
      <c r="K641" s="4">
        <f>Table1[[#This Row],[Quantity]]*Table1[[#This Row],[Price]]</f>
        <v>130.75</v>
      </c>
      <c r="L641" t="str">
        <f>IF(Table1[[#This Row],[Age]]&lt;25,"18-24",IF(Table1[[#This Row],[Age]]&lt;35,"25-34",IF(Table1[[#This Row],[Age]]&lt;45,"35-44",IF(Table1[[#This Row],[Age]]&lt;55,"45-54","55+"))))</f>
        <v>45-54</v>
      </c>
      <c r="M641" t="str">
        <f>TEXT(Table1[[#This Row],[Invoice_date]],"mmm")</f>
        <v>May</v>
      </c>
      <c r="N641">
        <f>YEAR(Table1[[#This Row],[Invoice_date]])</f>
        <v>2021</v>
      </c>
    </row>
    <row r="642" spans="1:14" x14ac:dyDescent="0.25">
      <c r="A642" t="s">
        <v>1285</v>
      </c>
      <c r="B642" t="s">
        <v>1286</v>
      </c>
      <c r="C642" t="s">
        <v>12</v>
      </c>
      <c r="D642">
        <v>47</v>
      </c>
      <c r="E642" t="s">
        <v>3</v>
      </c>
      <c r="F642">
        <v>5</v>
      </c>
      <c r="G642">
        <v>1500.4</v>
      </c>
      <c r="H642" t="s">
        <v>13</v>
      </c>
      <c r="I642" s="2">
        <v>44972</v>
      </c>
      <c r="J642" t="s">
        <v>43</v>
      </c>
      <c r="K642" s="4">
        <f>Table1[[#This Row],[Quantity]]*Table1[[#This Row],[Price]]</f>
        <v>7502</v>
      </c>
      <c r="L642" t="str">
        <f>IF(Table1[[#This Row],[Age]]&lt;25,"18-24",IF(Table1[[#This Row],[Age]]&lt;35,"25-34",IF(Table1[[#This Row],[Age]]&lt;45,"35-44",IF(Table1[[#This Row],[Age]]&lt;55,"45-54","55+"))))</f>
        <v>45-54</v>
      </c>
      <c r="M642" t="str">
        <f>TEXT(Table1[[#This Row],[Invoice_date]],"mmm")</f>
        <v>Feb</v>
      </c>
      <c r="N642">
        <f>YEAR(Table1[[#This Row],[Invoice_date]])</f>
        <v>2023</v>
      </c>
    </row>
    <row r="643" spans="1:14" x14ac:dyDescent="0.25">
      <c r="A643" t="s">
        <v>1299</v>
      </c>
      <c r="B643" t="s">
        <v>1300</v>
      </c>
      <c r="C643" t="s">
        <v>2</v>
      </c>
      <c r="D643">
        <v>51</v>
      </c>
      <c r="E643" t="s">
        <v>17</v>
      </c>
      <c r="F643">
        <v>3</v>
      </c>
      <c r="G643">
        <v>45.45</v>
      </c>
      <c r="H643" t="s">
        <v>18</v>
      </c>
      <c r="I643" s="2">
        <v>44818</v>
      </c>
      <c r="J643" t="s">
        <v>43</v>
      </c>
      <c r="K643" s="4">
        <f>Table1[[#This Row],[Quantity]]*Table1[[#This Row],[Price]]</f>
        <v>136.35000000000002</v>
      </c>
      <c r="L643" t="str">
        <f>IF(Table1[[#This Row],[Age]]&lt;25,"18-24",IF(Table1[[#This Row],[Age]]&lt;35,"25-34",IF(Table1[[#This Row],[Age]]&lt;45,"35-44",IF(Table1[[#This Row],[Age]]&lt;55,"45-54","55+"))))</f>
        <v>45-54</v>
      </c>
      <c r="M643" t="str">
        <f>TEXT(Table1[[#This Row],[Invoice_date]],"mmm")</f>
        <v>Sep</v>
      </c>
      <c r="N643">
        <f>YEAR(Table1[[#This Row],[Invoice_date]])</f>
        <v>2022</v>
      </c>
    </row>
    <row r="644" spans="1:14" x14ac:dyDescent="0.25">
      <c r="A644" t="s">
        <v>1309</v>
      </c>
      <c r="B644" t="s">
        <v>1310</v>
      </c>
      <c r="C644" t="s">
        <v>2</v>
      </c>
      <c r="D644">
        <v>50</v>
      </c>
      <c r="E644" t="s">
        <v>8</v>
      </c>
      <c r="F644">
        <v>3</v>
      </c>
      <c r="G644">
        <v>121.98</v>
      </c>
      <c r="H644" t="s">
        <v>4</v>
      </c>
      <c r="I644" s="2">
        <v>44429</v>
      </c>
      <c r="J644" t="s">
        <v>14</v>
      </c>
      <c r="K644" s="4">
        <f>Table1[[#This Row],[Quantity]]*Table1[[#This Row],[Price]]</f>
        <v>365.94</v>
      </c>
      <c r="L644" t="str">
        <f>IF(Table1[[#This Row],[Age]]&lt;25,"18-24",IF(Table1[[#This Row],[Age]]&lt;35,"25-34",IF(Table1[[#This Row],[Age]]&lt;45,"35-44",IF(Table1[[#This Row],[Age]]&lt;55,"45-54","55+"))))</f>
        <v>45-54</v>
      </c>
      <c r="M644" t="str">
        <f>TEXT(Table1[[#This Row],[Invoice_date]],"mmm")</f>
        <v>Aug</v>
      </c>
      <c r="N644">
        <f>YEAR(Table1[[#This Row],[Invoice_date]])</f>
        <v>2021</v>
      </c>
    </row>
    <row r="645" spans="1:14" x14ac:dyDescent="0.25">
      <c r="A645" t="s">
        <v>1327</v>
      </c>
      <c r="B645" t="s">
        <v>1328</v>
      </c>
      <c r="C645" t="s">
        <v>12</v>
      </c>
      <c r="D645">
        <v>50</v>
      </c>
      <c r="E645" t="s">
        <v>8</v>
      </c>
      <c r="F645">
        <v>1</v>
      </c>
      <c r="G645">
        <v>40.659999999999997</v>
      </c>
      <c r="H645" t="s">
        <v>13</v>
      </c>
      <c r="I645" s="2">
        <v>44678</v>
      </c>
      <c r="J645" t="s">
        <v>14</v>
      </c>
      <c r="K645" s="4">
        <f>Table1[[#This Row],[Quantity]]*Table1[[#This Row],[Price]]</f>
        <v>40.659999999999997</v>
      </c>
      <c r="L645" t="str">
        <f>IF(Table1[[#This Row],[Age]]&lt;25,"18-24",IF(Table1[[#This Row],[Age]]&lt;35,"25-34",IF(Table1[[#This Row],[Age]]&lt;45,"35-44",IF(Table1[[#This Row],[Age]]&lt;55,"45-54","55+"))))</f>
        <v>45-54</v>
      </c>
      <c r="M645" t="str">
        <f>TEXT(Table1[[#This Row],[Invoice_date]],"mmm")</f>
        <v>Apr</v>
      </c>
      <c r="N645">
        <f>YEAR(Table1[[#This Row],[Invoice_date]])</f>
        <v>2022</v>
      </c>
    </row>
    <row r="646" spans="1:14" x14ac:dyDescent="0.25">
      <c r="A646" t="s">
        <v>1329</v>
      </c>
      <c r="B646" t="s">
        <v>1330</v>
      </c>
      <c r="C646" t="s">
        <v>12</v>
      </c>
      <c r="D646">
        <v>45</v>
      </c>
      <c r="E646" t="s">
        <v>46</v>
      </c>
      <c r="F646">
        <v>3</v>
      </c>
      <c r="G646">
        <v>35.19</v>
      </c>
      <c r="H646" t="s">
        <v>4</v>
      </c>
      <c r="I646" s="2">
        <v>44908</v>
      </c>
      <c r="J646" t="s">
        <v>63</v>
      </c>
      <c r="K646" s="4">
        <f>Table1[[#This Row],[Quantity]]*Table1[[#This Row],[Price]]</f>
        <v>105.57</v>
      </c>
      <c r="L646" t="str">
        <f>IF(Table1[[#This Row],[Age]]&lt;25,"18-24",IF(Table1[[#This Row],[Age]]&lt;35,"25-34",IF(Table1[[#This Row],[Age]]&lt;45,"35-44",IF(Table1[[#This Row],[Age]]&lt;55,"45-54","55+"))))</f>
        <v>45-54</v>
      </c>
      <c r="M646" t="str">
        <f>TEXT(Table1[[#This Row],[Invoice_date]],"mmm")</f>
        <v>Dec</v>
      </c>
      <c r="N646">
        <f>YEAR(Table1[[#This Row],[Invoice_date]])</f>
        <v>2022</v>
      </c>
    </row>
    <row r="647" spans="1:14" x14ac:dyDescent="0.25">
      <c r="A647" t="s">
        <v>1367</v>
      </c>
      <c r="B647" t="s">
        <v>1368</v>
      </c>
      <c r="C647" t="s">
        <v>2</v>
      </c>
      <c r="D647">
        <v>50</v>
      </c>
      <c r="E647" t="s">
        <v>3</v>
      </c>
      <c r="F647">
        <v>5</v>
      </c>
      <c r="G647">
        <v>1500.4</v>
      </c>
      <c r="H647" t="s">
        <v>13</v>
      </c>
      <c r="I647" s="2">
        <v>44959</v>
      </c>
      <c r="J647" t="s">
        <v>24</v>
      </c>
      <c r="K647" s="4">
        <f>Table1[[#This Row],[Quantity]]*Table1[[#This Row],[Price]]</f>
        <v>7502</v>
      </c>
      <c r="L647" t="str">
        <f>IF(Table1[[#This Row],[Age]]&lt;25,"18-24",IF(Table1[[#This Row],[Age]]&lt;35,"25-34",IF(Table1[[#This Row],[Age]]&lt;45,"35-44",IF(Table1[[#This Row],[Age]]&lt;55,"45-54","55+"))))</f>
        <v>45-54</v>
      </c>
      <c r="M647" t="str">
        <f>TEXT(Table1[[#This Row],[Invoice_date]],"mmm")</f>
        <v>Feb</v>
      </c>
      <c r="N647">
        <f>YEAR(Table1[[#This Row],[Invoice_date]])</f>
        <v>2023</v>
      </c>
    </row>
    <row r="648" spans="1:14" x14ac:dyDescent="0.25">
      <c r="A648" t="s">
        <v>1387</v>
      </c>
      <c r="B648" t="s">
        <v>1388</v>
      </c>
      <c r="C648" t="s">
        <v>12</v>
      </c>
      <c r="D648">
        <v>45</v>
      </c>
      <c r="E648" t="s">
        <v>46</v>
      </c>
      <c r="F648">
        <v>4</v>
      </c>
      <c r="G648">
        <v>46.92</v>
      </c>
      <c r="H648" t="s">
        <v>4</v>
      </c>
      <c r="I648" s="2">
        <v>44537</v>
      </c>
      <c r="J648" t="s">
        <v>14</v>
      </c>
      <c r="K648" s="4">
        <f>Table1[[#This Row],[Quantity]]*Table1[[#This Row],[Price]]</f>
        <v>187.68</v>
      </c>
      <c r="L648" t="str">
        <f>IF(Table1[[#This Row],[Age]]&lt;25,"18-24",IF(Table1[[#This Row],[Age]]&lt;35,"25-34",IF(Table1[[#This Row],[Age]]&lt;45,"35-44",IF(Table1[[#This Row],[Age]]&lt;55,"45-54","55+"))))</f>
        <v>45-54</v>
      </c>
      <c r="M648" t="str">
        <f>TEXT(Table1[[#This Row],[Invoice_date]],"mmm")</f>
        <v>Dec</v>
      </c>
      <c r="N648">
        <f>YEAR(Table1[[#This Row],[Invoice_date]])</f>
        <v>2021</v>
      </c>
    </row>
    <row r="649" spans="1:14" x14ac:dyDescent="0.25">
      <c r="A649" t="s">
        <v>1391</v>
      </c>
      <c r="B649" t="s">
        <v>1392</v>
      </c>
      <c r="C649" t="s">
        <v>12</v>
      </c>
      <c r="D649">
        <v>53</v>
      </c>
      <c r="E649" t="s">
        <v>3</v>
      </c>
      <c r="F649">
        <v>4</v>
      </c>
      <c r="G649">
        <v>1200.32</v>
      </c>
      <c r="H649" t="s">
        <v>13</v>
      </c>
      <c r="I649" s="2">
        <v>44642</v>
      </c>
      <c r="J649" t="s">
        <v>14</v>
      </c>
      <c r="K649" s="4">
        <f>Table1[[#This Row],[Quantity]]*Table1[[#This Row],[Price]]</f>
        <v>4801.28</v>
      </c>
      <c r="L649" t="str">
        <f>IF(Table1[[#This Row],[Age]]&lt;25,"18-24",IF(Table1[[#This Row],[Age]]&lt;35,"25-34",IF(Table1[[#This Row],[Age]]&lt;45,"35-44",IF(Table1[[#This Row],[Age]]&lt;55,"45-54","55+"))))</f>
        <v>45-54</v>
      </c>
      <c r="M649" t="str">
        <f>TEXT(Table1[[#This Row],[Invoice_date]],"mmm")</f>
        <v>Mar</v>
      </c>
      <c r="N649">
        <f>YEAR(Table1[[#This Row],[Invoice_date]])</f>
        <v>2022</v>
      </c>
    </row>
    <row r="650" spans="1:14" x14ac:dyDescent="0.25">
      <c r="A650" t="s">
        <v>1393</v>
      </c>
      <c r="B650" t="s">
        <v>1394</v>
      </c>
      <c r="C650" t="s">
        <v>2</v>
      </c>
      <c r="D650">
        <v>48</v>
      </c>
      <c r="E650" t="s">
        <v>8</v>
      </c>
      <c r="F650">
        <v>3</v>
      </c>
      <c r="G650">
        <v>121.98</v>
      </c>
      <c r="H650" t="s">
        <v>13</v>
      </c>
      <c r="I650" s="2">
        <v>44857</v>
      </c>
      <c r="J650" t="s">
        <v>33</v>
      </c>
      <c r="K650" s="4">
        <f>Table1[[#This Row],[Quantity]]*Table1[[#This Row],[Price]]</f>
        <v>365.94</v>
      </c>
      <c r="L650" t="str">
        <f>IF(Table1[[#This Row],[Age]]&lt;25,"18-24",IF(Table1[[#This Row],[Age]]&lt;35,"25-34",IF(Table1[[#This Row],[Age]]&lt;45,"35-44",IF(Table1[[#This Row],[Age]]&lt;55,"45-54","55+"))))</f>
        <v>45-54</v>
      </c>
      <c r="M650" t="str">
        <f>TEXT(Table1[[#This Row],[Invoice_date]],"mmm")</f>
        <v>Oct</v>
      </c>
      <c r="N650">
        <f>YEAR(Table1[[#This Row],[Invoice_date]])</f>
        <v>2022</v>
      </c>
    </row>
    <row r="651" spans="1:14" x14ac:dyDescent="0.25">
      <c r="A651" t="s">
        <v>1405</v>
      </c>
      <c r="B651" t="s">
        <v>1406</v>
      </c>
      <c r="C651" t="s">
        <v>12</v>
      </c>
      <c r="D651">
        <v>52</v>
      </c>
      <c r="E651" t="s">
        <v>49</v>
      </c>
      <c r="F651">
        <v>4</v>
      </c>
      <c r="G651">
        <v>143.36000000000001</v>
      </c>
      <c r="H651" t="s">
        <v>18</v>
      </c>
      <c r="I651" s="2">
        <v>44357</v>
      </c>
      <c r="J651" t="s">
        <v>63</v>
      </c>
      <c r="K651" s="4">
        <f>Table1[[#This Row],[Quantity]]*Table1[[#This Row],[Price]]</f>
        <v>573.44000000000005</v>
      </c>
      <c r="L651" t="str">
        <f>IF(Table1[[#This Row],[Age]]&lt;25,"18-24",IF(Table1[[#This Row],[Age]]&lt;35,"25-34",IF(Table1[[#This Row],[Age]]&lt;45,"35-44",IF(Table1[[#This Row],[Age]]&lt;55,"45-54","55+"))))</f>
        <v>45-54</v>
      </c>
      <c r="M651" t="str">
        <f>TEXT(Table1[[#This Row],[Invoice_date]],"mmm")</f>
        <v>Jun</v>
      </c>
      <c r="N651">
        <f>YEAR(Table1[[#This Row],[Invoice_date]])</f>
        <v>2021</v>
      </c>
    </row>
    <row r="652" spans="1:14" x14ac:dyDescent="0.25">
      <c r="A652" t="s">
        <v>1407</v>
      </c>
      <c r="B652" t="s">
        <v>1408</v>
      </c>
      <c r="C652" t="s">
        <v>12</v>
      </c>
      <c r="D652">
        <v>53</v>
      </c>
      <c r="E652" t="s">
        <v>27</v>
      </c>
      <c r="F652">
        <v>4</v>
      </c>
      <c r="G652">
        <v>20.92</v>
      </c>
      <c r="H652" t="s">
        <v>13</v>
      </c>
      <c r="I652" s="2">
        <v>44576</v>
      </c>
      <c r="J652" t="s">
        <v>63</v>
      </c>
      <c r="K652" s="4">
        <f>Table1[[#This Row],[Quantity]]*Table1[[#This Row],[Price]]</f>
        <v>83.68</v>
      </c>
      <c r="L652" t="str">
        <f>IF(Table1[[#This Row],[Age]]&lt;25,"18-24",IF(Table1[[#This Row],[Age]]&lt;35,"25-34",IF(Table1[[#This Row],[Age]]&lt;45,"35-44",IF(Table1[[#This Row],[Age]]&lt;55,"45-54","55+"))))</f>
        <v>45-54</v>
      </c>
      <c r="M652" t="str">
        <f>TEXT(Table1[[#This Row],[Invoice_date]],"mmm")</f>
        <v>Jan</v>
      </c>
      <c r="N652">
        <f>YEAR(Table1[[#This Row],[Invoice_date]])</f>
        <v>2022</v>
      </c>
    </row>
    <row r="653" spans="1:14" x14ac:dyDescent="0.25">
      <c r="A653" t="s">
        <v>1413</v>
      </c>
      <c r="B653" t="s">
        <v>1414</v>
      </c>
      <c r="C653" t="s">
        <v>12</v>
      </c>
      <c r="D653">
        <v>54</v>
      </c>
      <c r="E653" t="s">
        <v>49</v>
      </c>
      <c r="F653">
        <v>2</v>
      </c>
      <c r="G653">
        <v>71.680000000000007</v>
      </c>
      <c r="H653" t="s">
        <v>13</v>
      </c>
      <c r="I653" s="2">
        <v>44517</v>
      </c>
      <c r="J653" t="s">
        <v>74</v>
      </c>
      <c r="K653" s="4">
        <f>Table1[[#This Row],[Quantity]]*Table1[[#This Row],[Price]]</f>
        <v>143.36000000000001</v>
      </c>
      <c r="L653" t="str">
        <f>IF(Table1[[#This Row],[Age]]&lt;25,"18-24",IF(Table1[[#This Row],[Age]]&lt;35,"25-34",IF(Table1[[#This Row],[Age]]&lt;45,"35-44",IF(Table1[[#This Row],[Age]]&lt;55,"45-54","55+"))))</f>
        <v>45-54</v>
      </c>
      <c r="M653" t="str">
        <f>TEXT(Table1[[#This Row],[Invoice_date]],"mmm")</f>
        <v>Nov</v>
      </c>
      <c r="N653">
        <f>YEAR(Table1[[#This Row],[Invoice_date]])</f>
        <v>2021</v>
      </c>
    </row>
    <row r="654" spans="1:14" x14ac:dyDescent="0.25">
      <c r="A654" t="s">
        <v>1431</v>
      </c>
      <c r="B654" t="s">
        <v>1432</v>
      </c>
      <c r="C654" t="s">
        <v>2</v>
      </c>
      <c r="D654">
        <v>46</v>
      </c>
      <c r="E654" t="s">
        <v>27</v>
      </c>
      <c r="F654">
        <v>1</v>
      </c>
      <c r="G654">
        <v>5.23</v>
      </c>
      <c r="H654" t="s">
        <v>18</v>
      </c>
      <c r="I654" s="2">
        <v>44531</v>
      </c>
      <c r="J654" t="s">
        <v>33</v>
      </c>
      <c r="K654" s="4">
        <f>Table1[[#This Row],[Quantity]]*Table1[[#This Row],[Price]]</f>
        <v>5.23</v>
      </c>
      <c r="L654" t="str">
        <f>IF(Table1[[#This Row],[Age]]&lt;25,"18-24",IF(Table1[[#This Row],[Age]]&lt;35,"25-34",IF(Table1[[#This Row],[Age]]&lt;45,"35-44",IF(Table1[[#This Row],[Age]]&lt;55,"45-54","55+"))))</f>
        <v>45-54</v>
      </c>
      <c r="M654" t="str">
        <f>TEXT(Table1[[#This Row],[Invoice_date]],"mmm")</f>
        <v>Dec</v>
      </c>
      <c r="N654">
        <f>YEAR(Table1[[#This Row],[Invoice_date]])</f>
        <v>2021</v>
      </c>
    </row>
    <row r="655" spans="1:14" x14ac:dyDescent="0.25">
      <c r="A655" t="s">
        <v>1457</v>
      </c>
      <c r="B655" t="s">
        <v>1458</v>
      </c>
      <c r="C655" t="s">
        <v>12</v>
      </c>
      <c r="D655">
        <v>47</v>
      </c>
      <c r="E655" t="s">
        <v>38</v>
      </c>
      <c r="F655">
        <v>5</v>
      </c>
      <c r="G655">
        <v>3000.85</v>
      </c>
      <c r="H655" t="s">
        <v>18</v>
      </c>
      <c r="I655" s="2">
        <v>44311</v>
      </c>
      <c r="J655" t="s">
        <v>43</v>
      </c>
      <c r="K655" s="4">
        <f>Table1[[#This Row],[Quantity]]*Table1[[#This Row],[Price]]</f>
        <v>15004.25</v>
      </c>
      <c r="L655" t="str">
        <f>IF(Table1[[#This Row],[Age]]&lt;25,"18-24",IF(Table1[[#This Row],[Age]]&lt;35,"25-34",IF(Table1[[#This Row],[Age]]&lt;45,"35-44",IF(Table1[[#This Row],[Age]]&lt;55,"45-54","55+"))))</f>
        <v>45-54</v>
      </c>
      <c r="M655" t="str">
        <f>TEXT(Table1[[#This Row],[Invoice_date]],"mmm")</f>
        <v>Apr</v>
      </c>
      <c r="N655">
        <f>YEAR(Table1[[#This Row],[Invoice_date]])</f>
        <v>2021</v>
      </c>
    </row>
    <row r="656" spans="1:14" x14ac:dyDescent="0.25">
      <c r="A656" t="s">
        <v>1459</v>
      </c>
      <c r="B656" t="s">
        <v>1460</v>
      </c>
      <c r="C656" t="s">
        <v>2</v>
      </c>
      <c r="D656">
        <v>48</v>
      </c>
      <c r="E656" t="s">
        <v>3</v>
      </c>
      <c r="F656">
        <v>2</v>
      </c>
      <c r="G656">
        <v>600.16</v>
      </c>
      <c r="H656" t="s">
        <v>4</v>
      </c>
      <c r="I656" s="2">
        <v>44465</v>
      </c>
      <c r="J656" t="s">
        <v>50</v>
      </c>
      <c r="K656" s="4">
        <f>Table1[[#This Row],[Quantity]]*Table1[[#This Row],[Price]]</f>
        <v>1200.32</v>
      </c>
      <c r="L656" t="str">
        <f>IF(Table1[[#This Row],[Age]]&lt;25,"18-24",IF(Table1[[#This Row],[Age]]&lt;35,"25-34",IF(Table1[[#This Row],[Age]]&lt;45,"35-44",IF(Table1[[#This Row],[Age]]&lt;55,"45-54","55+"))))</f>
        <v>45-54</v>
      </c>
      <c r="M656" t="str">
        <f>TEXT(Table1[[#This Row],[Invoice_date]],"mmm")</f>
        <v>Sep</v>
      </c>
      <c r="N656">
        <f>YEAR(Table1[[#This Row],[Invoice_date]])</f>
        <v>2021</v>
      </c>
    </row>
    <row r="657" spans="1:14" x14ac:dyDescent="0.25">
      <c r="A657" t="s">
        <v>1475</v>
      </c>
      <c r="B657" t="s">
        <v>1476</v>
      </c>
      <c r="C657" t="s">
        <v>12</v>
      </c>
      <c r="D657">
        <v>49</v>
      </c>
      <c r="E657" t="s">
        <v>3</v>
      </c>
      <c r="F657">
        <v>1</v>
      </c>
      <c r="G657">
        <v>300.08</v>
      </c>
      <c r="H657" t="s">
        <v>18</v>
      </c>
      <c r="I657" s="2">
        <v>44408</v>
      </c>
      <c r="J657" t="s">
        <v>63</v>
      </c>
      <c r="K657" s="4">
        <f>Table1[[#This Row],[Quantity]]*Table1[[#This Row],[Price]]</f>
        <v>300.08</v>
      </c>
      <c r="L657" t="str">
        <f>IF(Table1[[#This Row],[Age]]&lt;25,"18-24",IF(Table1[[#This Row],[Age]]&lt;35,"25-34",IF(Table1[[#This Row],[Age]]&lt;45,"35-44",IF(Table1[[#This Row],[Age]]&lt;55,"45-54","55+"))))</f>
        <v>45-54</v>
      </c>
      <c r="M657" t="str">
        <f>TEXT(Table1[[#This Row],[Invoice_date]],"mmm")</f>
        <v>Jul</v>
      </c>
      <c r="N657">
        <f>YEAR(Table1[[#This Row],[Invoice_date]])</f>
        <v>2021</v>
      </c>
    </row>
    <row r="658" spans="1:14" x14ac:dyDescent="0.25">
      <c r="A658" t="s">
        <v>1483</v>
      </c>
      <c r="B658" t="s">
        <v>1484</v>
      </c>
      <c r="C658" t="s">
        <v>12</v>
      </c>
      <c r="D658">
        <v>47</v>
      </c>
      <c r="E658" t="s">
        <v>38</v>
      </c>
      <c r="F658">
        <v>4</v>
      </c>
      <c r="G658">
        <v>2400.6799999999998</v>
      </c>
      <c r="H658" t="s">
        <v>4</v>
      </c>
      <c r="I658" s="2">
        <v>44592</v>
      </c>
      <c r="J658" t="s">
        <v>30</v>
      </c>
      <c r="K658" s="4">
        <f>Table1[[#This Row],[Quantity]]*Table1[[#This Row],[Price]]</f>
        <v>9602.7199999999993</v>
      </c>
      <c r="L658" t="str">
        <f>IF(Table1[[#This Row],[Age]]&lt;25,"18-24",IF(Table1[[#This Row],[Age]]&lt;35,"25-34",IF(Table1[[#This Row],[Age]]&lt;45,"35-44",IF(Table1[[#This Row],[Age]]&lt;55,"45-54","55+"))))</f>
        <v>45-54</v>
      </c>
      <c r="M658" t="str">
        <f>TEXT(Table1[[#This Row],[Invoice_date]],"mmm")</f>
        <v>Jan</v>
      </c>
      <c r="N658">
        <f>YEAR(Table1[[#This Row],[Invoice_date]])</f>
        <v>2022</v>
      </c>
    </row>
    <row r="659" spans="1:14" x14ac:dyDescent="0.25">
      <c r="A659" t="s">
        <v>1485</v>
      </c>
      <c r="B659" t="s">
        <v>1486</v>
      </c>
      <c r="C659" t="s">
        <v>12</v>
      </c>
      <c r="D659">
        <v>49</v>
      </c>
      <c r="E659" t="s">
        <v>8</v>
      </c>
      <c r="F659">
        <v>2</v>
      </c>
      <c r="G659">
        <v>81.319999999999993</v>
      </c>
      <c r="H659" t="s">
        <v>13</v>
      </c>
      <c r="I659" s="2">
        <v>44650</v>
      </c>
      <c r="J659" t="s">
        <v>74</v>
      </c>
      <c r="K659" s="4">
        <f>Table1[[#This Row],[Quantity]]*Table1[[#This Row],[Price]]</f>
        <v>162.63999999999999</v>
      </c>
      <c r="L659" t="str">
        <f>IF(Table1[[#This Row],[Age]]&lt;25,"18-24",IF(Table1[[#This Row],[Age]]&lt;35,"25-34",IF(Table1[[#This Row],[Age]]&lt;45,"35-44",IF(Table1[[#This Row],[Age]]&lt;55,"45-54","55+"))))</f>
        <v>45-54</v>
      </c>
      <c r="M659" t="str">
        <f>TEXT(Table1[[#This Row],[Invoice_date]],"mmm")</f>
        <v>Mar</v>
      </c>
      <c r="N659">
        <f>YEAR(Table1[[#This Row],[Invoice_date]])</f>
        <v>2022</v>
      </c>
    </row>
    <row r="660" spans="1:14" x14ac:dyDescent="0.25">
      <c r="A660" t="s">
        <v>1495</v>
      </c>
      <c r="B660" t="s">
        <v>1496</v>
      </c>
      <c r="C660" t="s">
        <v>12</v>
      </c>
      <c r="D660">
        <v>50</v>
      </c>
      <c r="E660" t="s">
        <v>46</v>
      </c>
      <c r="F660">
        <v>3</v>
      </c>
      <c r="G660">
        <v>35.19</v>
      </c>
      <c r="H660" t="s">
        <v>4</v>
      </c>
      <c r="I660" s="2">
        <v>44563</v>
      </c>
      <c r="J660" t="s">
        <v>5</v>
      </c>
      <c r="K660" s="4">
        <f>Table1[[#This Row],[Quantity]]*Table1[[#This Row],[Price]]</f>
        <v>105.57</v>
      </c>
      <c r="L660" t="str">
        <f>IF(Table1[[#This Row],[Age]]&lt;25,"18-24",IF(Table1[[#This Row],[Age]]&lt;35,"25-34",IF(Table1[[#This Row],[Age]]&lt;45,"35-44",IF(Table1[[#This Row],[Age]]&lt;55,"45-54","55+"))))</f>
        <v>45-54</v>
      </c>
      <c r="M660" t="str">
        <f>TEXT(Table1[[#This Row],[Invoice_date]],"mmm")</f>
        <v>Jan</v>
      </c>
      <c r="N660">
        <f>YEAR(Table1[[#This Row],[Invoice_date]])</f>
        <v>2022</v>
      </c>
    </row>
    <row r="661" spans="1:14" x14ac:dyDescent="0.25">
      <c r="A661" t="s">
        <v>1501</v>
      </c>
      <c r="B661" t="s">
        <v>1502</v>
      </c>
      <c r="C661" t="s">
        <v>2</v>
      </c>
      <c r="D661">
        <v>46</v>
      </c>
      <c r="E661" t="s">
        <v>49</v>
      </c>
      <c r="F661">
        <v>3</v>
      </c>
      <c r="G661">
        <v>107.52</v>
      </c>
      <c r="H661" t="s">
        <v>4</v>
      </c>
      <c r="I661" s="2">
        <v>44206</v>
      </c>
      <c r="J661" t="s">
        <v>30</v>
      </c>
      <c r="K661" s="4">
        <f>Table1[[#This Row],[Quantity]]*Table1[[#This Row],[Price]]</f>
        <v>322.56</v>
      </c>
      <c r="L661" t="str">
        <f>IF(Table1[[#This Row],[Age]]&lt;25,"18-24",IF(Table1[[#This Row],[Age]]&lt;35,"25-34",IF(Table1[[#This Row],[Age]]&lt;45,"35-44",IF(Table1[[#This Row],[Age]]&lt;55,"45-54","55+"))))</f>
        <v>45-54</v>
      </c>
      <c r="M661" t="str">
        <f>TEXT(Table1[[#This Row],[Invoice_date]],"mmm")</f>
        <v>Jan</v>
      </c>
      <c r="N661">
        <f>YEAR(Table1[[#This Row],[Invoice_date]])</f>
        <v>2021</v>
      </c>
    </row>
    <row r="662" spans="1:14" x14ac:dyDescent="0.25">
      <c r="A662" t="s">
        <v>1543</v>
      </c>
      <c r="B662" t="s">
        <v>1544</v>
      </c>
      <c r="C662" t="s">
        <v>12</v>
      </c>
      <c r="D662">
        <v>49</v>
      </c>
      <c r="E662" t="s">
        <v>38</v>
      </c>
      <c r="F662">
        <v>3</v>
      </c>
      <c r="G662">
        <v>1800.51</v>
      </c>
      <c r="H662" t="s">
        <v>4</v>
      </c>
      <c r="I662" s="2">
        <v>44888</v>
      </c>
      <c r="J662" t="s">
        <v>14</v>
      </c>
      <c r="K662" s="4">
        <f>Table1[[#This Row],[Quantity]]*Table1[[#This Row],[Price]]</f>
        <v>5401.53</v>
      </c>
      <c r="L662" t="str">
        <f>IF(Table1[[#This Row],[Age]]&lt;25,"18-24",IF(Table1[[#This Row],[Age]]&lt;35,"25-34",IF(Table1[[#This Row],[Age]]&lt;45,"35-44",IF(Table1[[#This Row],[Age]]&lt;55,"45-54","55+"))))</f>
        <v>45-54</v>
      </c>
      <c r="M662" t="str">
        <f>TEXT(Table1[[#This Row],[Invoice_date]],"mmm")</f>
        <v>Nov</v>
      </c>
      <c r="N662">
        <f>YEAR(Table1[[#This Row],[Invoice_date]])</f>
        <v>2022</v>
      </c>
    </row>
    <row r="663" spans="1:14" x14ac:dyDescent="0.25">
      <c r="A663" t="s">
        <v>1547</v>
      </c>
      <c r="B663" t="s">
        <v>1548</v>
      </c>
      <c r="C663" t="s">
        <v>12</v>
      </c>
      <c r="D663">
        <v>47</v>
      </c>
      <c r="E663" t="s">
        <v>3</v>
      </c>
      <c r="F663">
        <v>2</v>
      </c>
      <c r="G663">
        <v>600.16</v>
      </c>
      <c r="H663" t="s">
        <v>4</v>
      </c>
      <c r="I663" s="2">
        <v>44401</v>
      </c>
      <c r="J663" t="s">
        <v>9</v>
      </c>
      <c r="K663" s="4">
        <f>Table1[[#This Row],[Quantity]]*Table1[[#This Row],[Price]]</f>
        <v>1200.32</v>
      </c>
      <c r="L663" t="str">
        <f>IF(Table1[[#This Row],[Age]]&lt;25,"18-24",IF(Table1[[#This Row],[Age]]&lt;35,"25-34",IF(Table1[[#This Row],[Age]]&lt;45,"35-44",IF(Table1[[#This Row],[Age]]&lt;55,"45-54","55+"))))</f>
        <v>45-54</v>
      </c>
      <c r="M663" t="str">
        <f>TEXT(Table1[[#This Row],[Invoice_date]],"mmm")</f>
        <v>Jul</v>
      </c>
      <c r="N663">
        <f>YEAR(Table1[[#This Row],[Invoice_date]])</f>
        <v>2021</v>
      </c>
    </row>
    <row r="664" spans="1:14" x14ac:dyDescent="0.25">
      <c r="A664" t="s">
        <v>1553</v>
      </c>
      <c r="B664" t="s">
        <v>1554</v>
      </c>
      <c r="C664" t="s">
        <v>12</v>
      </c>
      <c r="D664">
        <v>48</v>
      </c>
      <c r="E664" t="s">
        <v>8</v>
      </c>
      <c r="F664">
        <v>4</v>
      </c>
      <c r="G664">
        <v>162.63999999999999</v>
      </c>
      <c r="H664" t="s">
        <v>4</v>
      </c>
      <c r="I664" s="2">
        <v>44208</v>
      </c>
      <c r="J664" t="s">
        <v>24</v>
      </c>
      <c r="K664" s="4">
        <f>Table1[[#This Row],[Quantity]]*Table1[[#This Row],[Price]]</f>
        <v>650.55999999999995</v>
      </c>
      <c r="L664" t="str">
        <f>IF(Table1[[#This Row],[Age]]&lt;25,"18-24",IF(Table1[[#This Row],[Age]]&lt;35,"25-34",IF(Table1[[#This Row],[Age]]&lt;45,"35-44",IF(Table1[[#This Row],[Age]]&lt;55,"45-54","55+"))))</f>
        <v>45-54</v>
      </c>
      <c r="M664" t="str">
        <f>TEXT(Table1[[#This Row],[Invoice_date]],"mmm")</f>
        <v>Jan</v>
      </c>
      <c r="N664">
        <f>YEAR(Table1[[#This Row],[Invoice_date]])</f>
        <v>2021</v>
      </c>
    </row>
    <row r="665" spans="1:14" x14ac:dyDescent="0.25">
      <c r="A665" t="s">
        <v>1555</v>
      </c>
      <c r="B665" t="s">
        <v>1556</v>
      </c>
      <c r="C665" t="s">
        <v>2</v>
      </c>
      <c r="D665">
        <v>53</v>
      </c>
      <c r="E665" t="s">
        <v>38</v>
      </c>
      <c r="F665">
        <v>4</v>
      </c>
      <c r="G665">
        <v>2400.6799999999998</v>
      </c>
      <c r="H665" t="s">
        <v>4</v>
      </c>
      <c r="I665" s="2">
        <v>44659</v>
      </c>
      <c r="J665" t="s">
        <v>24</v>
      </c>
      <c r="K665" s="4">
        <f>Table1[[#This Row],[Quantity]]*Table1[[#This Row],[Price]]</f>
        <v>9602.7199999999993</v>
      </c>
      <c r="L665" t="str">
        <f>IF(Table1[[#This Row],[Age]]&lt;25,"18-24",IF(Table1[[#This Row],[Age]]&lt;35,"25-34",IF(Table1[[#This Row],[Age]]&lt;45,"35-44",IF(Table1[[#This Row],[Age]]&lt;55,"45-54","55+"))))</f>
        <v>45-54</v>
      </c>
      <c r="M665" t="str">
        <f>TEXT(Table1[[#This Row],[Invoice_date]],"mmm")</f>
        <v>Apr</v>
      </c>
      <c r="N665">
        <f>YEAR(Table1[[#This Row],[Invoice_date]])</f>
        <v>2022</v>
      </c>
    </row>
    <row r="666" spans="1:14" x14ac:dyDescent="0.25">
      <c r="A666" t="s">
        <v>1571</v>
      </c>
      <c r="B666" t="s">
        <v>1572</v>
      </c>
      <c r="C666" t="s">
        <v>12</v>
      </c>
      <c r="D666">
        <v>47</v>
      </c>
      <c r="E666" t="s">
        <v>38</v>
      </c>
      <c r="F666">
        <v>5</v>
      </c>
      <c r="G666">
        <v>3000.85</v>
      </c>
      <c r="H666" t="s">
        <v>4</v>
      </c>
      <c r="I666" s="2">
        <v>44380</v>
      </c>
      <c r="J666" t="s">
        <v>24</v>
      </c>
      <c r="K666" s="4">
        <f>Table1[[#This Row],[Quantity]]*Table1[[#This Row],[Price]]</f>
        <v>15004.25</v>
      </c>
      <c r="L666" t="str">
        <f>IF(Table1[[#This Row],[Age]]&lt;25,"18-24",IF(Table1[[#This Row],[Age]]&lt;35,"25-34",IF(Table1[[#This Row],[Age]]&lt;45,"35-44",IF(Table1[[#This Row],[Age]]&lt;55,"45-54","55+"))))</f>
        <v>45-54</v>
      </c>
      <c r="M666" t="str">
        <f>TEXT(Table1[[#This Row],[Invoice_date]],"mmm")</f>
        <v>Jul</v>
      </c>
      <c r="N666">
        <f>YEAR(Table1[[#This Row],[Invoice_date]])</f>
        <v>2021</v>
      </c>
    </row>
    <row r="667" spans="1:14" x14ac:dyDescent="0.25">
      <c r="A667" t="s">
        <v>1573</v>
      </c>
      <c r="B667" t="s">
        <v>1574</v>
      </c>
      <c r="C667" t="s">
        <v>2</v>
      </c>
      <c r="D667">
        <v>45</v>
      </c>
      <c r="E667" t="s">
        <v>8</v>
      </c>
      <c r="F667">
        <v>4</v>
      </c>
      <c r="G667">
        <v>162.63999999999999</v>
      </c>
      <c r="H667" t="s">
        <v>18</v>
      </c>
      <c r="I667" s="2">
        <v>44326</v>
      </c>
      <c r="J667" t="s">
        <v>5</v>
      </c>
      <c r="K667" s="4">
        <f>Table1[[#This Row],[Quantity]]*Table1[[#This Row],[Price]]</f>
        <v>650.55999999999995</v>
      </c>
      <c r="L667" t="str">
        <f>IF(Table1[[#This Row],[Age]]&lt;25,"18-24",IF(Table1[[#This Row],[Age]]&lt;35,"25-34",IF(Table1[[#This Row],[Age]]&lt;45,"35-44",IF(Table1[[#This Row],[Age]]&lt;55,"45-54","55+"))))</f>
        <v>45-54</v>
      </c>
      <c r="M667" t="str">
        <f>TEXT(Table1[[#This Row],[Invoice_date]],"mmm")</f>
        <v>May</v>
      </c>
      <c r="N667">
        <f>YEAR(Table1[[#This Row],[Invoice_date]])</f>
        <v>2021</v>
      </c>
    </row>
    <row r="668" spans="1:14" x14ac:dyDescent="0.25">
      <c r="A668" t="s">
        <v>1581</v>
      </c>
      <c r="B668" t="s">
        <v>1582</v>
      </c>
      <c r="C668" t="s">
        <v>12</v>
      </c>
      <c r="D668">
        <v>54</v>
      </c>
      <c r="E668" t="s">
        <v>3</v>
      </c>
      <c r="F668">
        <v>2</v>
      </c>
      <c r="G668">
        <v>600.16</v>
      </c>
      <c r="H668" t="s">
        <v>4</v>
      </c>
      <c r="I668" s="2">
        <v>44517</v>
      </c>
      <c r="J668" t="s">
        <v>33</v>
      </c>
      <c r="K668" s="4">
        <f>Table1[[#This Row],[Quantity]]*Table1[[#This Row],[Price]]</f>
        <v>1200.32</v>
      </c>
      <c r="L668" t="str">
        <f>IF(Table1[[#This Row],[Age]]&lt;25,"18-24",IF(Table1[[#This Row],[Age]]&lt;35,"25-34",IF(Table1[[#This Row],[Age]]&lt;45,"35-44",IF(Table1[[#This Row],[Age]]&lt;55,"45-54","55+"))))</f>
        <v>45-54</v>
      </c>
      <c r="M668" t="str">
        <f>TEXT(Table1[[#This Row],[Invoice_date]],"mmm")</f>
        <v>Nov</v>
      </c>
      <c r="N668">
        <f>YEAR(Table1[[#This Row],[Invoice_date]])</f>
        <v>2021</v>
      </c>
    </row>
    <row r="669" spans="1:14" x14ac:dyDescent="0.25">
      <c r="A669" t="s">
        <v>1585</v>
      </c>
      <c r="B669" t="s">
        <v>1586</v>
      </c>
      <c r="C669" t="s">
        <v>12</v>
      </c>
      <c r="D669">
        <v>53</v>
      </c>
      <c r="E669" t="s">
        <v>38</v>
      </c>
      <c r="F669">
        <v>2</v>
      </c>
      <c r="G669">
        <v>1200.3399999999999</v>
      </c>
      <c r="H669" t="s">
        <v>4</v>
      </c>
      <c r="I669" s="2">
        <v>44829</v>
      </c>
      <c r="J669" t="s">
        <v>24</v>
      </c>
      <c r="K669" s="4">
        <f>Table1[[#This Row],[Quantity]]*Table1[[#This Row],[Price]]</f>
        <v>2400.6799999999998</v>
      </c>
      <c r="L669" t="str">
        <f>IF(Table1[[#This Row],[Age]]&lt;25,"18-24",IF(Table1[[#This Row],[Age]]&lt;35,"25-34",IF(Table1[[#This Row],[Age]]&lt;45,"35-44",IF(Table1[[#This Row],[Age]]&lt;55,"45-54","55+"))))</f>
        <v>45-54</v>
      </c>
      <c r="M669" t="str">
        <f>TEXT(Table1[[#This Row],[Invoice_date]],"mmm")</f>
        <v>Sep</v>
      </c>
      <c r="N669">
        <f>YEAR(Table1[[#This Row],[Invoice_date]])</f>
        <v>2022</v>
      </c>
    </row>
    <row r="670" spans="1:14" x14ac:dyDescent="0.25">
      <c r="A670" t="s">
        <v>1597</v>
      </c>
      <c r="B670" t="s">
        <v>1598</v>
      </c>
      <c r="C670" t="s">
        <v>12</v>
      </c>
      <c r="D670">
        <v>49</v>
      </c>
      <c r="E670" t="s">
        <v>3</v>
      </c>
      <c r="F670">
        <v>3</v>
      </c>
      <c r="G670">
        <v>900.24</v>
      </c>
      <c r="H670" t="s">
        <v>18</v>
      </c>
      <c r="I670" s="2">
        <v>44927</v>
      </c>
      <c r="J670" t="s">
        <v>33</v>
      </c>
      <c r="K670" s="4">
        <f>Table1[[#This Row],[Quantity]]*Table1[[#This Row],[Price]]</f>
        <v>2700.7200000000003</v>
      </c>
      <c r="L670" t="str">
        <f>IF(Table1[[#This Row],[Age]]&lt;25,"18-24",IF(Table1[[#This Row],[Age]]&lt;35,"25-34",IF(Table1[[#This Row],[Age]]&lt;45,"35-44",IF(Table1[[#This Row],[Age]]&lt;55,"45-54","55+"))))</f>
        <v>45-54</v>
      </c>
      <c r="M670" t="str">
        <f>TEXT(Table1[[#This Row],[Invoice_date]],"mmm")</f>
        <v>Jan</v>
      </c>
      <c r="N670">
        <f>YEAR(Table1[[#This Row],[Invoice_date]])</f>
        <v>2023</v>
      </c>
    </row>
    <row r="671" spans="1:14" x14ac:dyDescent="0.25">
      <c r="A671" t="s">
        <v>1621</v>
      </c>
      <c r="B671" t="s">
        <v>1622</v>
      </c>
      <c r="C671" t="s">
        <v>2</v>
      </c>
      <c r="D671">
        <v>47</v>
      </c>
      <c r="E671" t="s">
        <v>3</v>
      </c>
      <c r="F671">
        <v>4</v>
      </c>
      <c r="G671">
        <v>1200.32</v>
      </c>
      <c r="H671" t="s">
        <v>13</v>
      </c>
      <c r="I671" s="2">
        <v>44706</v>
      </c>
      <c r="J671" t="s">
        <v>33</v>
      </c>
      <c r="K671" s="4">
        <f>Table1[[#This Row],[Quantity]]*Table1[[#This Row],[Price]]</f>
        <v>4801.28</v>
      </c>
      <c r="L671" t="str">
        <f>IF(Table1[[#This Row],[Age]]&lt;25,"18-24",IF(Table1[[#This Row],[Age]]&lt;35,"25-34",IF(Table1[[#This Row],[Age]]&lt;45,"35-44",IF(Table1[[#This Row],[Age]]&lt;55,"45-54","55+"))))</f>
        <v>45-54</v>
      </c>
      <c r="M671" t="str">
        <f>TEXT(Table1[[#This Row],[Invoice_date]],"mmm")</f>
        <v>May</v>
      </c>
      <c r="N671">
        <f>YEAR(Table1[[#This Row],[Invoice_date]])</f>
        <v>2022</v>
      </c>
    </row>
    <row r="672" spans="1:14" x14ac:dyDescent="0.25">
      <c r="A672" t="s">
        <v>1623</v>
      </c>
      <c r="B672" t="s">
        <v>1624</v>
      </c>
      <c r="C672" t="s">
        <v>2</v>
      </c>
      <c r="D672">
        <v>48</v>
      </c>
      <c r="E672" t="s">
        <v>3</v>
      </c>
      <c r="F672">
        <v>2</v>
      </c>
      <c r="G672">
        <v>600.16</v>
      </c>
      <c r="H672" t="s">
        <v>4</v>
      </c>
      <c r="I672" s="2">
        <v>44452</v>
      </c>
      <c r="J672" t="s">
        <v>24</v>
      </c>
      <c r="K672" s="4">
        <f>Table1[[#This Row],[Quantity]]*Table1[[#This Row],[Price]]</f>
        <v>1200.32</v>
      </c>
      <c r="L672" t="str">
        <f>IF(Table1[[#This Row],[Age]]&lt;25,"18-24",IF(Table1[[#This Row],[Age]]&lt;35,"25-34",IF(Table1[[#This Row],[Age]]&lt;45,"35-44",IF(Table1[[#This Row],[Age]]&lt;55,"45-54","55+"))))</f>
        <v>45-54</v>
      </c>
      <c r="M672" t="str">
        <f>TEXT(Table1[[#This Row],[Invoice_date]],"mmm")</f>
        <v>Sep</v>
      </c>
      <c r="N672">
        <f>YEAR(Table1[[#This Row],[Invoice_date]])</f>
        <v>2021</v>
      </c>
    </row>
    <row r="673" spans="1:14" x14ac:dyDescent="0.25">
      <c r="A673" t="s">
        <v>1629</v>
      </c>
      <c r="B673" t="s">
        <v>1630</v>
      </c>
      <c r="C673" t="s">
        <v>2</v>
      </c>
      <c r="D673">
        <v>54</v>
      </c>
      <c r="E673" t="s">
        <v>3</v>
      </c>
      <c r="F673">
        <v>3</v>
      </c>
      <c r="G673">
        <v>900.24</v>
      </c>
      <c r="H673" t="s">
        <v>18</v>
      </c>
      <c r="I673" s="2">
        <v>44468</v>
      </c>
      <c r="J673" t="s">
        <v>74</v>
      </c>
      <c r="K673" s="4">
        <f>Table1[[#This Row],[Quantity]]*Table1[[#This Row],[Price]]</f>
        <v>2700.7200000000003</v>
      </c>
      <c r="L673" t="str">
        <f>IF(Table1[[#This Row],[Age]]&lt;25,"18-24",IF(Table1[[#This Row],[Age]]&lt;35,"25-34",IF(Table1[[#This Row],[Age]]&lt;45,"35-44",IF(Table1[[#This Row],[Age]]&lt;55,"45-54","55+"))))</f>
        <v>45-54</v>
      </c>
      <c r="M673" t="str">
        <f>TEXT(Table1[[#This Row],[Invoice_date]],"mmm")</f>
        <v>Sep</v>
      </c>
      <c r="N673">
        <f>YEAR(Table1[[#This Row],[Invoice_date]])</f>
        <v>2021</v>
      </c>
    </row>
    <row r="674" spans="1:14" x14ac:dyDescent="0.25">
      <c r="A674" t="s">
        <v>1631</v>
      </c>
      <c r="B674" t="s">
        <v>1632</v>
      </c>
      <c r="C674" t="s">
        <v>12</v>
      </c>
      <c r="D674">
        <v>53</v>
      </c>
      <c r="E674" t="s">
        <v>27</v>
      </c>
      <c r="F674">
        <v>1</v>
      </c>
      <c r="G674">
        <v>5.23</v>
      </c>
      <c r="H674" t="s">
        <v>13</v>
      </c>
      <c r="I674" s="2">
        <v>44496</v>
      </c>
      <c r="J674" t="s">
        <v>33</v>
      </c>
      <c r="K674" s="4">
        <f>Table1[[#This Row],[Quantity]]*Table1[[#This Row],[Price]]</f>
        <v>5.23</v>
      </c>
      <c r="L674" t="str">
        <f>IF(Table1[[#This Row],[Age]]&lt;25,"18-24",IF(Table1[[#This Row],[Age]]&lt;35,"25-34",IF(Table1[[#This Row],[Age]]&lt;45,"35-44",IF(Table1[[#This Row],[Age]]&lt;55,"45-54","55+"))))</f>
        <v>45-54</v>
      </c>
      <c r="M674" t="str">
        <f>TEXT(Table1[[#This Row],[Invoice_date]],"mmm")</f>
        <v>Oct</v>
      </c>
      <c r="N674">
        <f>YEAR(Table1[[#This Row],[Invoice_date]])</f>
        <v>2021</v>
      </c>
    </row>
    <row r="675" spans="1:14" x14ac:dyDescent="0.25">
      <c r="A675" t="s">
        <v>1641</v>
      </c>
      <c r="B675" t="s">
        <v>1642</v>
      </c>
      <c r="C675" t="s">
        <v>12</v>
      </c>
      <c r="D675">
        <v>46</v>
      </c>
      <c r="E675" t="s">
        <v>27</v>
      </c>
      <c r="F675">
        <v>5</v>
      </c>
      <c r="G675">
        <v>26.15</v>
      </c>
      <c r="H675" t="s">
        <v>13</v>
      </c>
      <c r="I675" s="2">
        <v>44212</v>
      </c>
      <c r="J675" t="s">
        <v>33</v>
      </c>
      <c r="K675" s="4">
        <f>Table1[[#This Row],[Quantity]]*Table1[[#This Row],[Price]]</f>
        <v>130.75</v>
      </c>
      <c r="L675" t="str">
        <f>IF(Table1[[#This Row],[Age]]&lt;25,"18-24",IF(Table1[[#This Row],[Age]]&lt;35,"25-34",IF(Table1[[#This Row],[Age]]&lt;45,"35-44",IF(Table1[[#This Row],[Age]]&lt;55,"45-54","55+"))))</f>
        <v>45-54</v>
      </c>
      <c r="M675" t="str">
        <f>TEXT(Table1[[#This Row],[Invoice_date]],"mmm")</f>
        <v>Jan</v>
      </c>
      <c r="N675">
        <f>YEAR(Table1[[#This Row],[Invoice_date]])</f>
        <v>2021</v>
      </c>
    </row>
    <row r="676" spans="1:14" x14ac:dyDescent="0.25">
      <c r="A676" t="s">
        <v>1643</v>
      </c>
      <c r="B676" t="s">
        <v>1644</v>
      </c>
      <c r="C676" t="s">
        <v>12</v>
      </c>
      <c r="D676">
        <v>46</v>
      </c>
      <c r="E676" t="s">
        <v>38</v>
      </c>
      <c r="F676">
        <v>1</v>
      </c>
      <c r="G676">
        <v>600.16999999999996</v>
      </c>
      <c r="H676" t="s">
        <v>18</v>
      </c>
      <c r="I676" s="2">
        <v>44369</v>
      </c>
      <c r="J676" t="s">
        <v>33</v>
      </c>
      <c r="K676" s="4">
        <f>Table1[[#This Row],[Quantity]]*Table1[[#This Row],[Price]]</f>
        <v>600.16999999999996</v>
      </c>
      <c r="L676" t="str">
        <f>IF(Table1[[#This Row],[Age]]&lt;25,"18-24",IF(Table1[[#This Row],[Age]]&lt;35,"25-34",IF(Table1[[#This Row],[Age]]&lt;45,"35-44",IF(Table1[[#This Row],[Age]]&lt;55,"45-54","55+"))))</f>
        <v>45-54</v>
      </c>
      <c r="M676" t="str">
        <f>TEXT(Table1[[#This Row],[Invoice_date]],"mmm")</f>
        <v>Jun</v>
      </c>
      <c r="N676">
        <f>YEAR(Table1[[#This Row],[Invoice_date]])</f>
        <v>2021</v>
      </c>
    </row>
    <row r="677" spans="1:14" x14ac:dyDescent="0.25">
      <c r="A677" t="s">
        <v>1653</v>
      </c>
      <c r="B677" t="s">
        <v>1654</v>
      </c>
      <c r="C677" t="s">
        <v>2</v>
      </c>
      <c r="D677">
        <v>45</v>
      </c>
      <c r="E677" t="s">
        <v>49</v>
      </c>
      <c r="F677">
        <v>3</v>
      </c>
      <c r="G677">
        <v>107.52</v>
      </c>
      <c r="H677" t="s">
        <v>13</v>
      </c>
      <c r="I677" s="2">
        <v>44735</v>
      </c>
      <c r="J677" t="s">
        <v>9</v>
      </c>
      <c r="K677" s="4">
        <f>Table1[[#This Row],[Quantity]]*Table1[[#This Row],[Price]]</f>
        <v>322.56</v>
      </c>
      <c r="L677" t="str">
        <f>IF(Table1[[#This Row],[Age]]&lt;25,"18-24",IF(Table1[[#This Row],[Age]]&lt;35,"25-34",IF(Table1[[#This Row],[Age]]&lt;45,"35-44",IF(Table1[[#This Row],[Age]]&lt;55,"45-54","55+"))))</f>
        <v>45-54</v>
      </c>
      <c r="M677" t="str">
        <f>TEXT(Table1[[#This Row],[Invoice_date]],"mmm")</f>
        <v>Jun</v>
      </c>
      <c r="N677">
        <f>YEAR(Table1[[#This Row],[Invoice_date]])</f>
        <v>2022</v>
      </c>
    </row>
    <row r="678" spans="1:14" x14ac:dyDescent="0.25">
      <c r="A678" t="s">
        <v>1657</v>
      </c>
      <c r="B678" t="s">
        <v>1658</v>
      </c>
      <c r="C678" t="s">
        <v>12</v>
      </c>
      <c r="D678">
        <v>46</v>
      </c>
      <c r="E678" t="s">
        <v>3</v>
      </c>
      <c r="F678">
        <v>4</v>
      </c>
      <c r="G678">
        <v>1200.32</v>
      </c>
      <c r="H678" t="s">
        <v>13</v>
      </c>
      <c r="I678" s="2">
        <v>44895</v>
      </c>
      <c r="J678" t="s">
        <v>24</v>
      </c>
      <c r="K678" s="4">
        <f>Table1[[#This Row],[Quantity]]*Table1[[#This Row],[Price]]</f>
        <v>4801.28</v>
      </c>
      <c r="L678" t="str">
        <f>IF(Table1[[#This Row],[Age]]&lt;25,"18-24",IF(Table1[[#This Row],[Age]]&lt;35,"25-34",IF(Table1[[#This Row],[Age]]&lt;45,"35-44",IF(Table1[[#This Row],[Age]]&lt;55,"45-54","55+"))))</f>
        <v>45-54</v>
      </c>
      <c r="M678" t="str">
        <f>TEXT(Table1[[#This Row],[Invoice_date]],"mmm")</f>
        <v>Nov</v>
      </c>
      <c r="N678">
        <f>YEAR(Table1[[#This Row],[Invoice_date]])</f>
        <v>2022</v>
      </c>
    </row>
    <row r="679" spans="1:14" x14ac:dyDescent="0.25">
      <c r="A679" t="s">
        <v>1671</v>
      </c>
      <c r="B679" t="s">
        <v>1672</v>
      </c>
      <c r="C679" t="s">
        <v>2</v>
      </c>
      <c r="D679">
        <v>45</v>
      </c>
      <c r="E679" t="s">
        <v>49</v>
      </c>
      <c r="F679">
        <v>4</v>
      </c>
      <c r="G679">
        <v>143.36000000000001</v>
      </c>
      <c r="H679" t="s">
        <v>4</v>
      </c>
      <c r="I679" s="2">
        <v>44693</v>
      </c>
      <c r="J679" t="s">
        <v>24</v>
      </c>
      <c r="K679" s="4">
        <f>Table1[[#This Row],[Quantity]]*Table1[[#This Row],[Price]]</f>
        <v>573.44000000000005</v>
      </c>
      <c r="L679" t="str">
        <f>IF(Table1[[#This Row],[Age]]&lt;25,"18-24",IF(Table1[[#This Row],[Age]]&lt;35,"25-34",IF(Table1[[#This Row],[Age]]&lt;45,"35-44",IF(Table1[[#This Row],[Age]]&lt;55,"45-54","55+"))))</f>
        <v>45-54</v>
      </c>
      <c r="M679" t="str">
        <f>TEXT(Table1[[#This Row],[Invoice_date]],"mmm")</f>
        <v>May</v>
      </c>
      <c r="N679">
        <f>YEAR(Table1[[#This Row],[Invoice_date]])</f>
        <v>2022</v>
      </c>
    </row>
    <row r="680" spans="1:14" x14ac:dyDescent="0.25">
      <c r="A680" t="s">
        <v>1681</v>
      </c>
      <c r="B680" t="s">
        <v>1682</v>
      </c>
      <c r="C680" t="s">
        <v>12</v>
      </c>
      <c r="D680">
        <v>48</v>
      </c>
      <c r="E680" t="s">
        <v>49</v>
      </c>
      <c r="F680">
        <v>5</v>
      </c>
      <c r="G680">
        <v>179.2</v>
      </c>
      <c r="H680" t="s">
        <v>4</v>
      </c>
      <c r="I680" s="2">
        <v>44820</v>
      </c>
      <c r="J680" t="s">
        <v>14</v>
      </c>
      <c r="K680" s="4">
        <f>Table1[[#This Row],[Quantity]]*Table1[[#This Row],[Price]]</f>
        <v>896</v>
      </c>
      <c r="L680" t="str">
        <f>IF(Table1[[#This Row],[Age]]&lt;25,"18-24",IF(Table1[[#This Row],[Age]]&lt;35,"25-34",IF(Table1[[#This Row],[Age]]&lt;45,"35-44",IF(Table1[[#This Row],[Age]]&lt;55,"45-54","55+"))))</f>
        <v>45-54</v>
      </c>
      <c r="M680" t="str">
        <f>TEXT(Table1[[#This Row],[Invoice_date]],"mmm")</f>
        <v>Sep</v>
      </c>
      <c r="N680">
        <f>YEAR(Table1[[#This Row],[Invoice_date]])</f>
        <v>2022</v>
      </c>
    </row>
    <row r="681" spans="1:14" x14ac:dyDescent="0.25">
      <c r="A681" t="s">
        <v>1683</v>
      </c>
      <c r="B681" t="s">
        <v>1684</v>
      </c>
      <c r="C681" t="s">
        <v>12</v>
      </c>
      <c r="D681">
        <v>49</v>
      </c>
      <c r="E681" t="s">
        <v>3</v>
      </c>
      <c r="F681">
        <v>5</v>
      </c>
      <c r="G681">
        <v>1500.4</v>
      </c>
      <c r="H681" t="s">
        <v>4</v>
      </c>
      <c r="I681" s="2">
        <v>44360</v>
      </c>
      <c r="J681" t="s">
        <v>24</v>
      </c>
      <c r="K681" s="4">
        <f>Table1[[#This Row],[Quantity]]*Table1[[#This Row],[Price]]</f>
        <v>7502</v>
      </c>
      <c r="L681" t="str">
        <f>IF(Table1[[#This Row],[Age]]&lt;25,"18-24",IF(Table1[[#This Row],[Age]]&lt;35,"25-34",IF(Table1[[#This Row],[Age]]&lt;45,"35-44",IF(Table1[[#This Row],[Age]]&lt;55,"45-54","55+"))))</f>
        <v>45-54</v>
      </c>
      <c r="M681" t="str">
        <f>TEXT(Table1[[#This Row],[Invoice_date]],"mmm")</f>
        <v>Jun</v>
      </c>
      <c r="N681">
        <f>YEAR(Table1[[#This Row],[Invoice_date]])</f>
        <v>2021</v>
      </c>
    </row>
    <row r="682" spans="1:14" x14ac:dyDescent="0.25">
      <c r="A682" t="s">
        <v>1697</v>
      </c>
      <c r="B682" t="s">
        <v>1698</v>
      </c>
      <c r="C682" t="s">
        <v>12</v>
      </c>
      <c r="D682">
        <v>48</v>
      </c>
      <c r="E682" t="s">
        <v>27</v>
      </c>
      <c r="F682">
        <v>2</v>
      </c>
      <c r="G682">
        <v>10.46</v>
      </c>
      <c r="H682" t="s">
        <v>4</v>
      </c>
      <c r="I682" s="2">
        <v>44417</v>
      </c>
      <c r="J682" t="s">
        <v>24</v>
      </c>
      <c r="K682" s="4">
        <f>Table1[[#This Row],[Quantity]]*Table1[[#This Row],[Price]]</f>
        <v>20.92</v>
      </c>
      <c r="L682" t="str">
        <f>IF(Table1[[#This Row],[Age]]&lt;25,"18-24",IF(Table1[[#This Row],[Age]]&lt;35,"25-34",IF(Table1[[#This Row],[Age]]&lt;45,"35-44",IF(Table1[[#This Row],[Age]]&lt;55,"45-54","55+"))))</f>
        <v>45-54</v>
      </c>
      <c r="M682" t="str">
        <f>TEXT(Table1[[#This Row],[Invoice_date]],"mmm")</f>
        <v>Aug</v>
      </c>
      <c r="N682">
        <f>YEAR(Table1[[#This Row],[Invoice_date]])</f>
        <v>2021</v>
      </c>
    </row>
    <row r="683" spans="1:14" x14ac:dyDescent="0.25">
      <c r="A683" t="s">
        <v>1699</v>
      </c>
      <c r="B683" t="s">
        <v>1700</v>
      </c>
      <c r="C683" t="s">
        <v>2</v>
      </c>
      <c r="D683">
        <v>48</v>
      </c>
      <c r="E683" t="s">
        <v>3</v>
      </c>
      <c r="F683">
        <v>1</v>
      </c>
      <c r="G683">
        <v>300.08</v>
      </c>
      <c r="H683" t="s">
        <v>18</v>
      </c>
      <c r="I683" s="2">
        <v>44694</v>
      </c>
      <c r="J683" t="s">
        <v>14</v>
      </c>
      <c r="K683" s="4">
        <f>Table1[[#This Row],[Quantity]]*Table1[[#This Row],[Price]]</f>
        <v>300.08</v>
      </c>
      <c r="L683" t="str">
        <f>IF(Table1[[#This Row],[Age]]&lt;25,"18-24",IF(Table1[[#This Row],[Age]]&lt;35,"25-34",IF(Table1[[#This Row],[Age]]&lt;45,"35-44",IF(Table1[[#This Row],[Age]]&lt;55,"45-54","55+"))))</f>
        <v>45-54</v>
      </c>
      <c r="M683" t="str">
        <f>TEXT(Table1[[#This Row],[Invoice_date]],"mmm")</f>
        <v>May</v>
      </c>
      <c r="N683">
        <f>YEAR(Table1[[#This Row],[Invoice_date]])</f>
        <v>2022</v>
      </c>
    </row>
    <row r="684" spans="1:14" x14ac:dyDescent="0.25">
      <c r="A684" t="s">
        <v>1709</v>
      </c>
      <c r="B684" t="s">
        <v>1710</v>
      </c>
      <c r="C684" t="s">
        <v>12</v>
      </c>
      <c r="D684">
        <v>50</v>
      </c>
      <c r="E684" t="s">
        <v>38</v>
      </c>
      <c r="F684">
        <v>1</v>
      </c>
      <c r="G684">
        <v>600.16999999999996</v>
      </c>
      <c r="H684" t="s">
        <v>4</v>
      </c>
      <c r="I684" s="2">
        <v>44342</v>
      </c>
      <c r="J684" t="s">
        <v>74</v>
      </c>
      <c r="K684" s="4">
        <f>Table1[[#This Row],[Quantity]]*Table1[[#This Row],[Price]]</f>
        <v>600.16999999999996</v>
      </c>
      <c r="L684" t="str">
        <f>IF(Table1[[#This Row],[Age]]&lt;25,"18-24",IF(Table1[[#This Row],[Age]]&lt;35,"25-34",IF(Table1[[#This Row],[Age]]&lt;45,"35-44",IF(Table1[[#This Row],[Age]]&lt;55,"45-54","55+"))))</f>
        <v>45-54</v>
      </c>
      <c r="M684" t="str">
        <f>TEXT(Table1[[#This Row],[Invoice_date]],"mmm")</f>
        <v>May</v>
      </c>
      <c r="N684">
        <f>YEAR(Table1[[#This Row],[Invoice_date]])</f>
        <v>2021</v>
      </c>
    </row>
    <row r="685" spans="1:14" x14ac:dyDescent="0.25">
      <c r="A685" t="s">
        <v>1719</v>
      </c>
      <c r="B685" t="s">
        <v>1720</v>
      </c>
      <c r="C685" t="s">
        <v>2</v>
      </c>
      <c r="D685">
        <v>46</v>
      </c>
      <c r="E685" t="s">
        <v>3</v>
      </c>
      <c r="F685">
        <v>5</v>
      </c>
      <c r="G685">
        <v>1500.4</v>
      </c>
      <c r="H685" t="s">
        <v>18</v>
      </c>
      <c r="I685" s="2">
        <v>44283</v>
      </c>
      <c r="J685" t="s">
        <v>14</v>
      </c>
      <c r="K685" s="4">
        <f>Table1[[#This Row],[Quantity]]*Table1[[#This Row],[Price]]</f>
        <v>7502</v>
      </c>
      <c r="L685" t="str">
        <f>IF(Table1[[#This Row],[Age]]&lt;25,"18-24",IF(Table1[[#This Row],[Age]]&lt;35,"25-34",IF(Table1[[#This Row],[Age]]&lt;45,"35-44",IF(Table1[[#This Row],[Age]]&lt;55,"45-54","55+"))))</f>
        <v>45-54</v>
      </c>
      <c r="M685" t="str">
        <f>TEXT(Table1[[#This Row],[Invoice_date]],"mmm")</f>
        <v>Mar</v>
      </c>
      <c r="N685">
        <f>YEAR(Table1[[#This Row],[Invoice_date]])</f>
        <v>2021</v>
      </c>
    </row>
    <row r="686" spans="1:14" x14ac:dyDescent="0.25">
      <c r="A686" t="s">
        <v>1725</v>
      </c>
      <c r="B686" t="s">
        <v>1726</v>
      </c>
      <c r="C686" t="s">
        <v>12</v>
      </c>
      <c r="D686">
        <v>50</v>
      </c>
      <c r="E686" t="s">
        <v>3</v>
      </c>
      <c r="F686">
        <v>4</v>
      </c>
      <c r="G686">
        <v>1200.32</v>
      </c>
      <c r="H686" t="s">
        <v>4</v>
      </c>
      <c r="I686" s="2">
        <v>44209</v>
      </c>
      <c r="J686" t="s">
        <v>5</v>
      </c>
      <c r="K686" s="4">
        <f>Table1[[#This Row],[Quantity]]*Table1[[#This Row],[Price]]</f>
        <v>4801.28</v>
      </c>
      <c r="L686" t="str">
        <f>IF(Table1[[#This Row],[Age]]&lt;25,"18-24",IF(Table1[[#This Row],[Age]]&lt;35,"25-34",IF(Table1[[#This Row],[Age]]&lt;45,"35-44",IF(Table1[[#This Row],[Age]]&lt;55,"45-54","55+"))))</f>
        <v>45-54</v>
      </c>
      <c r="M686" t="str">
        <f>TEXT(Table1[[#This Row],[Invoice_date]],"mmm")</f>
        <v>Jan</v>
      </c>
      <c r="N686">
        <f>YEAR(Table1[[#This Row],[Invoice_date]])</f>
        <v>2021</v>
      </c>
    </row>
    <row r="687" spans="1:14" x14ac:dyDescent="0.25">
      <c r="A687" t="s">
        <v>1729</v>
      </c>
      <c r="B687" t="s">
        <v>1730</v>
      </c>
      <c r="C687" t="s">
        <v>2</v>
      </c>
      <c r="D687">
        <v>52</v>
      </c>
      <c r="E687" t="s">
        <v>8</v>
      </c>
      <c r="F687">
        <v>4</v>
      </c>
      <c r="G687">
        <v>162.63999999999999</v>
      </c>
      <c r="H687" t="s">
        <v>18</v>
      </c>
      <c r="I687" s="2">
        <v>44735</v>
      </c>
      <c r="J687" t="s">
        <v>14</v>
      </c>
      <c r="K687" s="4">
        <f>Table1[[#This Row],[Quantity]]*Table1[[#This Row],[Price]]</f>
        <v>650.55999999999995</v>
      </c>
      <c r="L687" t="str">
        <f>IF(Table1[[#This Row],[Age]]&lt;25,"18-24",IF(Table1[[#This Row],[Age]]&lt;35,"25-34",IF(Table1[[#This Row],[Age]]&lt;45,"35-44",IF(Table1[[#This Row],[Age]]&lt;55,"45-54","55+"))))</f>
        <v>45-54</v>
      </c>
      <c r="M687" t="str">
        <f>TEXT(Table1[[#This Row],[Invoice_date]],"mmm")</f>
        <v>Jun</v>
      </c>
      <c r="N687">
        <f>YEAR(Table1[[#This Row],[Invoice_date]])</f>
        <v>2022</v>
      </c>
    </row>
    <row r="688" spans="1:14" x14ac:dyDescent="0.25">
      <c r="A688" t="s">
        <v>1733</v>
      </c>
      <c r="B688" t="s">
        <v>1734</v>
      </c>
      <c r="C688" t="s">
        <v>2</v>
      </c>
      <c r="D688">
        <v>46</v>
      </c>
      <c r="E688" t="s">
        <v>17</v>
      </c>
      <c r="F688">
        <v>1</v>
      </c>
      <c r="G688">
        <v>15.15</v>
      </c>
      <c r="H688" t="s">
        <v>18</v>
      </c>
      <c r="I688" s="2">
        <v>44483</v>
      </c>
      <c r="J688" t="s">
        <v>33</v>
      </c>
      <c r="K688" s="4">
        <f>Table1[[#This Row],[Quantity]]*Table1[[#This Row],[Price]]</f>
        <v>15.15</v>
      </c>
      <c r="L688" t="str">
        <f>IF(Table1[[#This Row],[Age]]&lt;25,"18-24",IF(Table1[[#This Row],[Age]]&lt;35,"25-34",IF(Table1[[#This Row],[Age]]&lt;45,"35-44",IF(Table1[[#This Row],[Age]]&lt;55,"45-54","55+"))))</f>
        <v>45-54</v>
      </c>
      <c r="M688" t="str">
        <f>TEXT(Table1[[#This Row],[Invoice_date]],"mmm")</f>
        <v>Oct</v>
      </c>
      <c r="N688">
        <f>YEAR(Table1[[#This Row],[Invoice_date]])</f>
        <v>2021</v>
      </c>
    </row>
    <row r="689" spans="1:14" x14ac:dyDescent="0.25">
      <c r="A689" t="s">
        <v>1747</v>
      </c>
      <c r="B689" t="s">
        <v>1748</v>
      </c>
      <c r="C689" t="s">
        <v>12</v>
      </c>
      <c r="D689">
        <v>45</v>
      </c>
      <c r="E689" t="s">
        <v>27</v>
      </c>
      <c r="F689">
        <v>2</v>
      </c>
      <c r="G689">
        <v>10.46</v>
      </c>
      <c r="H689" t="s">
        <v>4</v>
      </c>
      <c r="I689" s="2">
        <v>44557</v>
      </c>
      <c r="J689" t="s">
        <v>74</v>
      </c>
      <c r="K689" s="4">
        <f>Table1[[#This Row],[Quantity]]*Table1[[#This Row],[Price]]</f>
        <v>20.92</v>
      </c>
      <c r="L689" t="str">
        <f>IF(Table1[[#This Row],[Age]]&lt;25,"18-24",IF(Table1[[#This Row],[Age]]&lt;35,"25-34",IF(Table1[[#This Row],[Age]]&lt;45,"35-44",IF(Table1[[#This Row],[Age]]&lt;55,"45-54","55+"))))</f>
        <v>45-54</v>
      </c>
      <c r="M689" t="str">
        <f>TEXT(Table1[[#This Row],[Invoice_date]],"mmm")</f>
        <v>Dec</v>
      </c>
      <c r="N689">
        <f>YEAR(Table1[[#This Row],[Invoice_date]])</f>
        <v>2021</v>
      </c>
    </row>
    <row r="690" spans="1:14" x14ac:dyDescent="0.25">
      <c r="A690" t="s">
        <v>1763</v>
      </c>
      <c r="B690" t="s">
        <v>1764</v>
      </c>
      <c r="C690" t="s">
        <v>2</v>
      </c>
      <c r="D690">
        <v>54</v>
      </c>
      <c r="E690" t="s">
        <v>3</v>
      </c>
      <c r="F690">
        <v>2</v>
      </c>
      <c r="G690">
        <v>600.16</v>
      </c>
      <c r="H690" t="s">
        <v>13</v>
      </c>
      <c r="I690" s="2">
        <v>44720</v>
      </c>
      <c r="J690" t="s">
        <v>24</v>
      </c>
      <c r="K690" s="4">
        <f>Table1[[#This Row],[Quantity]]*Table1[[#This Row],[Price]]</f>
        <v>1200.32</v>
      </c>
      <c r="L690" t="str">
        <f>IF(Table1[[#This Row],[Age]]&lt;25,"18-24",IF(Table1[[#This Row],[Age]]&lt;35,"25-34",IF(Table1[[#This Row],[Age]]&lt;45,"35-44",IF(Table1[[#This Row],[Age]]&lt;55,"45-54","55+"))))</f>
        <v>45-54</v>
      </c>
      <c r="M690" t="str">
        <f>TEXT(Table1[[#This Row],[Invoice_date]],"mmm")</f>
        <v>Jun</v>
      </c>
      <c r="N690">
        <f>YEAR(Table1[[#This Row],[Invoice_date]])</f>
        <v>2022</v>
      </c>
    </row>
    <row r="691" spans="1:14" x14ac:dyDescent="0.25">
      <c r="A691" t="s">
        <v>1777</v>
      </c>
      <c r="B691" t="s">
        <v>1778</v>
      </c>
      <c r="C691" t="s">
        <v>12</v>
      </c>
      <c r="D691">
        <v>45</v>
      </c>
      <c r="E691" t="s">
        <v>21</v>
      </c>
      <c r="F691">
        <v>1</v>
      </c>
      <c r="G691">
        <v>1050</v>
      </c>
      <c r="H691" t="s">
        <v>4</v>
      </c>
      <c r="I691" s="2">
        <v>44310</v>
      </c>
      <c r="J691" t="s">
        <v>14</v>
      </c>
      <c r="K691" s="4">
        <f>Table1[[#This Row],[Quantity]]*Table1[[#This Row],[Price]]</f>
        <v>1050</v>
      </c>
      <c r="L691" t="str">
        <f>IF(Table1[[#This Row],[Age]]&lt;25,"18-24",IF(Table1[[#This Row],[Age]]&lt;35,"25-34",IF(Table1[[#This Row],[Age]]&lt;45,"35-44",IF(Table1[[#This Row],[Age]]&lt;55,"45-54","55+"))))</f>
        <v>45-54</v>
      </c>
      <c r="M691" t="str">
        <f>TEXT(Table1[[#This Row],[Invoice_date]],"mmm")</f>
        <v>Apr</v>
      </c>
      <c r="N691">
        <f>YEAR(Table1[[#This Row],[Invoice_date]])</f>
        <v>2021</v>
      </c>
    </row>
    <row r="692" spans="1:14" x14ac:dyDescent="0.25">
      <c r="A692" t="s">
        <v>1781</v>
      </c>
      <c r="B692" t="s">
        <v>1782</v>
      </c>
      <c r="C692" t="s">
        <v>12</v>
      </c>
      <c r="D692">
        <v>54</v>
      </c>
      <c r="E692" t="s">
        <v>49</v>
      </c>
      <c r="F692">
        <v>5</v>
      </c>
      <c r="G692">
        <v>179.2</v>
      </c>
      <c r="H692" t="s">
        <v>4</v>
      </c>
      <c r="I692" s="2">
        <v>44820</v>
      </c>
      <c r="J692" t="s">
        <v>24</v>
      </c>
      <c r="K692" s="4">
        <f>Table1[[#This Row],[Quantity]]*Table1[[#This Row],[Price]]</f>
        <v>896</v>
      </c>
      <c r="L692" t="str">
        <f>IF(Table1[[#This Row],[Age]]&lt;25,"18-24",IF(Table1[[#This Row],[Age]]&lt;35,"25-34",IF(Table1[[#This Row],[Age]]&lt;45,"35-44",IF(Table1[[#This Row],[Age]]&lt;55,"45-54","55+"))))</f>
        <v>45-54</v>
      </c>
      <c r="M692" t="str">
        <f>TEXT(Table1[[#This Row],[Invoice_date]],"mmm")</f>
        <v>Sep</v>
      </c>
      <c r="N692">
        <f>YEAR(Table1[[#This Row],[Invoice_date]])</f>
        <v>2022</v>
      </c>
    </row>
    <row r="693" spans="1:14" x14ac:dyDescent="0.25">
      <c r="A693" t="s">
        <v>1789</v>
      </c>
      <c r="B693" t="s">
        <v>1790</v>
      </c>
      <c r="C693" t="s">
        <v>2</v>
      </c>
      <c r="D693">
        <v>50</v>
      </c>
      <c r="E693" t="s">
        <v>3</v>
      </c>
      <c r="F693">
        <v>5</v>
      </c>
      <c r="G693">
        <v>1500.4</v>
      </c>
      <c r="H693" t="s">
        <v>4</v>
      </c>
      <c r="I693" s="2">
        <v>44463</v>
      </c>
      <c r="J693" t="s">
        <v>30</v>
      </c>
      <c r="K693" s="4">
        <f>Table1[[#This Row],[Quantity]]*Table1[[#This Row],[Price]]</f>
        <v>7502</v>
      </c>
      <c r="L693" t="str">
        <f>IF(Table1[[#This Row],[Age]]&lt;25,"18-24",IF(Table1[[#This Row],[Age]]&lt;35,"25-34",IF(Table1[[#This Row],[Age]]&lt;45,"35-44",IF(Table1[[#This Row],[Age]]&lt;55,"45-54","55+"))))</f>
        <v>45-54</v>
      </c>
      <c r="M693" t="str">
        <f>TEXT(Table1[[#This Row],[Invoice_date]],"mmm")</f>
        <v>Sep</v>
      </c>
      <c r="N693">
        <f>YEAR(Table1[[#This Row],[Invoice_date]])</f>
        <v>2021</v>
      </c>
    </row>
    <row r="694" spans="1:14" x14ac:dyDescent="0.25">
      <c r="A694" t="s">
        <v>1791</v>
      </c>
      <c r="B694" t="s">
        <v>1792</v>
      </c>
      <c r="C694" t="s">
        <v>12</v>
      </c>
      <c r="D694">
        <v>48</v>
      </c>
      <c r="E694" t="s">
        <v>3</v>
      </c>
      <c r="F694">
        <v>5</v>
      </c>
      <c r="G694">
        <v>1500.4</v>
      </c>
      <c r="H694" t="s">
        <v>13</v>
      </c>
      <c r="I694" s="2">
        <v>44355</v>
      </c>
      <c r="J694" t="s">
        <v>24</v>
      </c>
      <c r="K694" s="4">
        <f>Table1[[#This Row],[Quantity]]*Table1[[#This Row],[Price]]</f>
        <v>7502</v>
      </c>
      <c r="L694" t="str">
        <f>IF(Table1[[#This Row],[Age]]&lt;25,"18-24",IF(Table1[[#This Row],[Age]]&lt;35,"25-34",IF(Table1[[#This Row],[Age]]&lt;45,"35-44",IF(Table1[[#This Row],[Age]]&lt;55,"45-54","55+"))))</f>
        <v>45-54</v>
      </c>
      <c r="M694" t="str">
        <f>TEXT(Table1[[#This Row],[Invoice_date]],"mmm")</f>
        <v>Jun</v>
      </c>
      <c r="N694">
        <f>YEAR(Table1[[#This Row],[Invoice_date]])</f>
        <v>2021</v>
      </c>
    </row>
    <row r="695" spans="1:14" x14ac:dyDescent="0.25">
      <c r="A695" t="s">
        <v>1819</v>
      </c>
      <c r="B695" t="s">
        <v>1820</v>
      </c>
      <c r="C695" t="s">
        <v>12</v>
      </c>
      <c r="D695">
        <v>51</v>
      </c>
      <c r="E695" t="s">
        <v>46</v>
      </c>
      <c r="F695">
        <v>5</v>
      </c>
      <c r="G695">
        <v>58.65</v>
      </c>
      <c r="H695" t="s">
        <v>4</v>
      </c>
      <c r="I695" s="2">
        <v>44501</v>
      </c>
      <c r="J695" t="s">
        <v>14</v>
      </c>
      <c r="K695" s="4">
        <f>Table1[[#This Row],[Quantity]]*Table1[[#This Row],[Price]]</f>
        <v>293.25</v>
      </c>
      <c r="L695" t="str">
        <f>IF(Table1[[#This Row],[Age]]&lt;25,"18-24",IF(Table1[[#This Row],[Age]]&lt;35,"25-34",IF(Table1[[#This Row],[Age]]&lt;45,"35-44",IF(Table1[[#This Row],[Age]]&lt;55,"45-54","55+"))))</f>
        <v>45-54</v>
      </c>
      <c r="M695" t="str">
        <f>TEXT(Table1[[#This Row],[Invoice_date]],"mmm")</f>
        <v>Nov</v>
      </c>
      <c r="N695">
        <f>YEAR(Table1[[#This Row],[Invoice_date]])</f>
        <v>2021</v>
      </c>
    </row>
    <row r="696" spans="1:14" x14ac:dyDescent="0.25">
      <c r="A696" t="s">
        <v>1829</v>
      </c>
      <c r="B696" t="s">
        <v>1830</v>
      </c>
      <c r="C696" t="s">
        <v>2</v>
      </c>
      <c r="D696">
        <v>52</v>
      </c>
      <c r="E696" t="s">
        <v>8</v>
      </c>
      <c r="F696">
        <v>2</v>
      </c>
      <c r="G696">
        <v>81.319999999999993</v>
      </c>
      <c r="H696" t="s">
        <v>18</v>
      </c>
      <c r="I696" s="2">
        <v>44938</v>
      </c>
      <c r="J696" t="s">
        <v>14</v>
      </c>
      <c r="K696" s="4">
        <f>Table1[[#This Row],[Quantity]]*Table1[[#This Row],[Price]]</f>
        <v>162.63999999999999</v>
      </c>
      <c r="L696" t="str">
        <f>IF(Table1[[#This Row],[Age]]&lt;25,"18-24",IF(Table1[[#This Row],[Age]]&lt;35,"25-34",IF(Table1[[#This Row],[Age]]&lt;45,"35-44",IF(Table1[[#This Row],[Age]]&lt;55,"45-54","55+"))))</f>
        <v>45-54</v>
      </c>
      <c r="M696" t="str">
        <f>TEXT(Table1[[#This Row],[Invoice_date]],"mmm")</f>
        <v>Jan</v>
      </c>
      <c r="N696">
        <f>YEAR(Table1[[#This Row],[Invoice_date]])</f>
        <v>2023</v>
      </c>
    </row>
    <row r="697" spans="1:14" x14ac:dyDescent="0.25">
      <c r="A697" t="s">
        <v>1841</v>
      </c>
      <c r="B697" t="s">
        <v>1842</v>
      </c>
      <c r="C697" t="s">
        <v>2</v>
      </c>
      <c r="D697">
        <v>53</v>
      </c>
      <c r="E697" t="s">
        <v>27</v>
      </c>
      <c r="F697">
        <v>2</v>
      </c>
      <c r="G697">
        <v>10.46</v>
      </c>
      <c r="H697" t="s">
        <v>4</v>
      </c>
      <c r="I697" s="2">
        <v>44860</v>
      </c>
      <c r="J697" t="s">
        <v>30</v>
      </c>
      <c r="K697" s="4">
        <f>Table1[[#This Row],[Quantity]]*Table1[[#This Row],[Price]]</f>
        <v>20.92</v>
      </c>
      <c r="L697" t="str">
        <f>IF(Table1[[#This Row],[Age]]&lt;25,"18-24",IF(Table1[[#This Row],[Age]]&lt;35,"25-34",IF(Table1[[#This Row],[Age]]&lt;45,"35-44",IF(Table1[[#This Row],[Age]]&lt;55,"45-54","55+"))))</f>
        <v>45-54</v>
      </c>
      <c r="M697" t="str">
        <f>TEXT(Table1[[#This Row],[Invoice_date]],"mmm")</f>
        <v>Oct</v>
      </c>
      <c r="N697">
        <f>YEAR(Table1[[#This Row],[Invoice_date]])</f>
        <v>2022</v>
      </c>
    </row>
    <row r="698" spans="1:14" x14ac:dyDescent="0.25">
      <c r="A698" t="s">
        <v>1855</v>
      </c>
      <c r="B698" t="s">
        <v>1856</v>
      </c>
      <c r="C698" t="s">
        <v>12</v>
      </c>
      <c r="D698">
        <v>48</v>
      </c>
      <c r="E698" t="s">
        <v>27</v>
      </c>
      <c r="F698">
        <v>5</v>
      </c>
      <c r="G698">
        <v>26.15</v>
      </c>
      <c r="H698" t="s">
        <v>4</v>
      </c>
      <c r="I698" s="2">
        <v>44501</v>
      </c>
      <c r="J698" t="s">
        <v>24</v>
      </c>
      <c r="K698" s="4">
        <f>Table1[[#This Row],[Quantity]]*Table1[[#This Row],[Price]]</f>
        <v>130.75</v>
      </c>
      <c r="L698" t="str">
        <f>IF(Table1[[#This Row],[Age]]&lt;25,"18-24",IF(Table1[[#This Row],[Age]]&lt;35,"25-34",IF(Table1[[#This Row],[Age]]&lt;45,"35-44",IF(Table1[[#This Row],[Age]]&lt;55,"45-54","55+"))))</f>
        <v>45-54</v>
      </c>
      <c r="M698" t="str">
        <f>TEXT(Table1[[#This Row],[Invoice_date]],"mmm")</f>
        <v>Nov</v>
      </c>
      <c r="N698">
        <f>YEAR(Table1[[#This Row],[Invoice_date]])</f>
        <v>2021</v>
      </c>
    </row>
    <row r="699" spans="1:14" x14ac:dyDescent="0.25">
      <c r="A699" t="s">
        <v>1859</v>
      </c>
      <c r="B699" t="s">
        <v>1860</v>
      </c>
      <c r="C699" t="s">
        <v>2</v>
      </c>
      <c r="D699">
        <v>51</v>
      </c>
      <c r="E699" t="s">
        <v>46</v>
      </c>
      <c r="F699">
        <v>3</v>
      </c>
      <c r="G699">
        <v>35.19</v>
      </c>
      <c r="H699" t="s">
        <v>13</v>
      </c>
      <c r="I699" s="2">
        <v>44629</v>
      </c>
      <c r="J699" t="s">
        <v>33</v>
      </c>
      <c r="K699" s="4">
        <f>Table1[[#This Row],[Quantity]]*Table1[[#This Row],[Price]]</f>
        <v>105.57</v>
      </c>
      <c r="L699" t="str">
        <f>IF(Table1[[#This Row],[Age]]&lt;25,"18-24",IF(Table1[[#This Row],[Age]]&lt;35,"25-34",IF(Table1[[#This Row],[Age]]&lt;45,"35-44",IF(Table1[[#This Row],[Age]]&lt;55,"45-54","55+"))))</f>
        <v>45-54</v>
      </c>
      <c r="M699" t="str">
        <f>TEXT(Table1[[#This Row],[Invoice_date]],"mmm")</f>
        <v>Mar</v>
      </c>
      <c r="N699">
        <f>YEAR(Table1[[#This Row],[Invoice_date]])</f>
        <v>2022</v>
      </c>
    </row>
    <row r="700" spans="1:14" x14ac:dyDescent="0.25">
      <c r="A700" t="s">
        <v>1875</v>
      </c>
      <c r="B700" t="s">
        <v>1876</v>
      </c>
      <c r="C700" t="s">
        <v>12</v>
      </c>
      <c r="D700">
        <v>50</v>
      </c>
      <c r="E700" t="s">
        <v>3</v>
      </c>
      <c r="F700">
        <v>2</v>
      </c>
      <c r="G700">
        <v>600.16</v>
      </c>
      <c r="H700" t="s">
        <v>4</v>
      </c>
      <c r="I700" s="2">
        <v>44460</v>
      </c>
      <c r="J700" t="s">
        <v>14</v>
      </c>
      <c r="K700" s="4">
        <f>Table1[[#This Row],[Quantity]]*Table1[[#This Row],[Price]]</f>
        <v>1200.32</v>
      </c>
      <c r="L700" t="str">
        <f>IF(Table1[[#This Row],[Age]]&lt;25,"18-24",IF(Table1[[#This Row],[Age]]&lt;35,"25-34",IF(Table1[[#This Row],[Age]]&lt;45,"35-44",IF(Table1[[#This Row],[Age]]&lt;55,"45-54","55+"))))</f>
        <v>45-54</v>
      </c>
      <c r="M700" t="str">
        <f>TEXT(Table1[[#This Row],[Invoice_date]],"mmm")</f>
        <v>Sep</v>
      </c>
      <c r="N700">
        <f>YEAR(Table1[[#This Row],[Invoice_date]])</f>
        <v>2021</v>
      </c>
    </row>
    <row r="701" spans="1:14" x14ac:dyDescent="0.25">
      <c r="A701" t="s">
        <v>1879</v>
      </c>
      <c r="B701" t="s">
        <v>1880</v>
      </c>
      <c r="C701" t="s">
        <v>12</v>
      </c>
      <c r="D701">
        <v>45</v>
      </c>
      <c r="E701" t="s">
        <v>49</v>
      </c>
      <c r="F701">
        <v>5</v>
      </c>
      <c r="G701">
        <v>179.2</v>
      </c>
      <c r="H701" t="s">
        <v>18</v>
      </c>
      <c r="I701" s="2">
        <v>44277</v>
      </c>
      <c r="J701" t="s">
        <v>24</v>
      </c>
      <c r="K701" s="4">
        <f>Table1[[#This Row],[Quantity]]*Table1[[#This Row],[Price]]</f>
        <v>896</v>
      </c>
      <c r="L701" t="str">
        <f>IF(Table1[[#This Row],[Age]]&lt;25,"18-24",IF(Table1[[#This Row],[Age]]&lt;35,"25-34",IF(Table1[[#This Row],[Age]]&lt;45,"35-44",IF(Table1[[#This Row],[Age]]&lt;55,"45-54","55+"))))</f>
        <v>45-54</v>
      </c>
      <c r="M701" t="str">
        <f>TEXT(Table1[[#This Row],[Invoice_date]],"mmm")</f>
        <v>Mar</v>
      </c>
      <c r="N701">
        <f>YEAR(Table1[[#This Row],[Invoice_date]])</f>
        <v>2021</v>
      </c>
    </row>
    <row r="702" spans="1:14" x14ac:dyDescent="0.25">
      <c r="A702" t="s">
        <v>1909</v>
      </c>
      <c r="B702" t="s">
        <v>1910</v>
      </c>
      <c r="C702" t="s">
        <v>12</v>
      </c>
      <c r="D702">
        <v>45</v>
      </c>
      <c r="E702" t="s">
        <v>8</v>
      </c>
      <c r="F702">
        <v>2</v>
      </c>
      <c r="G702">
        <v>81.319999999999993</v>
      </c>
      <c r="H702" t="s">
        <v>4</v>
      </c>
      <c r="I702" s="2">
        <v>44695</v>
      </c>
      <c r="J702" t="s">
        <v>24</v>
      </c>
      <c r="K702" s="4">
        <f>Table1[[#This Row],[Quantity]]*Table1[[#This Row],[Price]]</f>
        <v>162.63999999999999</v>
      </c>
      <c r="L702" t="str">
        <f>IF(Table1[[#This Row],[Age]]&lt;25,"18-24",IF(Table1[[#This Row],[Age]]&lt;35,"25-34",IF(Table1[[#This Row],[Age]]&lt;45,"35-44",IF(Table1[[#This Row],[Age]]&lt;55,"45-54","55+"))))</f>
        <v>45-54</v>
      </c>
      <c r="M702" t="str">
        <f>TEXT(Table1[[#This Row],[Invoice_date]],"mmm")</f>
        <v>May</v>
      </c>
      <c r="N702">
        <f>YEAR(Table1[[#This Row],[Invoice_date]])</f>
        <v>2022</v>
      </c>
    </row>
    <row r="703" spans="1:14" x14ac:dyDescent="0.25">
      <c r="A703" t="s">
        <v>1919</v>
      </c>
      <c r="B703" t="s">
        <v>1920</v>
      </c>
      <c r="C703" t="s">
        <v>12</v>
      </c>
      <c r="D703">
        <v>54</v>
      </c>
      <c r="E703" t="s">
        <v>3</v>
      </c>
      <c r="F703">
        <v>3</v>
      </c>
      <c r="G703">
        <v>900.24</v>
      </c>
      <c r="H703" t="s">
        <v>18</v>
      </c>
      <c r="I703" s="2">
        <v>44867</v>
      </c>
      <c r="J703" t="s">
        <v>74</v>
      </c>
      <c r="K703" s="4">
        <f>Table1[[#This Row],[Quantity]]*Table1[[#This Row],[Price]]</f>
        <v>2700.7200000000003</v>
      </c>
      <c r="L703" t="str">
        <f>IF(Table1[[#This Row],[Age]]&lt;25,"18-24",IF(Table1[[#This Row],[Age]]&lt;35,"25-34",IF(Table1[[#This Row],[Age]]&lt;45,"35-44",IF(Table1[[#This Row],[Age]]&lt;55,"45-54","55+"))))</f>
        <v>45-54</v>
      </c>
      <c r="M703" t="str">
        <f>TEXT(Table1[[#This Row],[Invoice_date]],"mmm")</f>
        <v>Nov</v>
      </c>
      <c r="N703">
        <f>YEAR(Table1[[#This Row],[Invoice_date]])</f>
        <v>2022</v>
      </c>
    </row>
    <row r="704" spans="1:14" x14ac:dyDescent="0.25">
      <c r="A704" t="s">
        <v>1951</v>
      </c>
      <c r="B704" t="s">
        <v>1952</v>
      </c>
      <c r="C704" t="s">
        <v>12</v>
      </c>
      <c r="D704">
        <v>51</v>
      </c>
      <c r="E704" t="s">
        <v>38</v>
      </c>
      <c r="F704">
        <v>1</v>
      </c>
      <c r="G704">
        <v>600.16999999999996</v>
      </c>
      <c r="H704" t="s">
        <v>4</v>
      </c>
      <c r="I704" s="2">
        <v>44410</v>
      </c>
      <c r="J704" t="s">
        <v>24</v>
      </c>
      <c r="K704" s="4">
        <f>Table1[[#This Row],[Quantity]]*Table1[[#This Row],[Price]]</f>
        <v>600.16999999999996</v>
      </c>
      <c r="L704" t="str">
        <f>IF(Table1[[#This Row],[Age]]&lt;25,"18-24",IF(Table1[[#This Row],[Age]]&lt;35,"25-34",IF(Table1[[#This Row],[Age]]&lt;45,"35-44",IF(Table1[[#This Row],[Age]]&lt;55,"45-54","55+"))))</f>
        <v>45-54</v>
      </c>
      <c r="M704" t="str">
        <f>TEXT(Table1[[#This Row],[Invoice_date]],"mmm")</f>
        <v>Aug</v>
      </c>
      <c r="N704">
        <f>YEAR(Table1[[#This Row],[Invoice_date]])</f>
        <v>2021</v>
      </c>
    </row>
    <row r="705" spans="1:14" x14ac:dyDescent="0.25">
      <c r="A705" t="s">
        <v>1979</v>
      </c>
      <c r="B705" t="s">
        <v>1980</v>
      </c>
      <c r="C705" t="s">
        <v>12</v>
      </c>
      <c r="D705">
        <v>48</v>
      </c>
      <c r="E705" t="s">
        <v>3</v>
      </c>
      <c r="F705">
        <v>5</v>
      </c>
      <c r="G705">
        <v>1500.4</v>
      </c>
      <c r="H705" t="s">
        <v>4</v>
      </c>
      <c r="I705" s="2">
        <v>44360</v>
      </c>
      <c r="J705" t="s">
        <v>9</v>
      </c>
      <c r="K705" s="4">
        <f>Table1[[#This Row],[Quantity]]*Table1[[#This Row],[Price]]</f>
        <v>7502</v>
      </c>
      <c r="L705" t="str">
        <f>IF(Table1[[#This Row],[Age]]&lt;25,"18-24",IF(Table1[[#This Row],[Age]]&lt;35,"25-34",IF(Table1[[#This Row],[Age]]&lt;45,"35-44",IF(Table1[[#This Row],[Age]]&lt;55,"45-54","55+"))))</f>
        <v>45-54</v>
      </c>
      <c r="M705" t="str">
        <f>TEXT(Table1[[#This Row],[Invoice_date]],"mmm")</f>
        <v>Jun</v>
      </c>
      <c r="N705">
        <f>YEAR(Table1[[#This Row],[Invoice_date]])</f>
        <v>2021</v>
      </c>
    </row>
    <row r="706" spans="1:14" x14ac:dyDescent="0.25">
      <c r="A706" t="s">
        <v>1993</v>
      </c>
      <c r="B706" t="s">
        <v>1994</v>
      </c>
      <c r="C706" t="s">
        <v>12</v>
      </c>
      <c r="D706">
        <v>53</v>
      </c>
      <c r="E706" t="s">
        <v>27</v>
      </c>
      <c r="F706">
        <v>5</v>
      </c>
      <c r="G706">
        <v>26.15</v>
      </c>
      <c r="H706" t="s">
        <v>18</v>
      </c>
      <c r="I706" s="2">
        <v>44968</v>
      </c>
      <c r="J706" t="s">
        <v>33</v>
      </c>
      <c r="K706" s="4">
        <f>Table1[[#This Row],[Quantity]]*Table1[[#This Row],[Price]]</f>
        <v>130.75</v>
      </c>
      <c r="L706" t="str">
        <f>IF(Table1[[#This Row],[Age]]&lt;25,"18-24",IF(Table1[[#This Row],[Age]]&lt;35,"25-34",IF(Table1[[#This Row],[Age]]&lt;45,"35-44",IF(Table1[[#This Row],[Age]]&lt;55,"45-54","55+"))))</f>
        <v>45-54</v>
      </c>
      <c r="M706" t="str">
        <f>TEXT(Table1[[#This Row],[Invoice_date]],"mmm")</f>
        <v>Feb</v>
      </c>
      <c r="N706">
        <f>YEAR(Table1[[#This Row],[Invoice_date]])</f>
        <v>2023</v>
      </c>
    </row>
    <row r="707" spans="1:14" x14ac:dyDescent="0.25">
      <c r="A707" t="s">
        <v>2017</v>
      </c>
      <c r="B707" t="s">
        <v>2018</v>
      </c>
      <c r="C707" t="s">
        <v>12</v>
      </c>
      <c r="D707">
        <v>48</v>
      </c>
      <c r="E707" t="s">
        <v>8</v>
      </c>
      <c r="F707">
        <v>4</v>
      </c>
      <c r="G707">
        <v>162.63999999999999</v>
      </c>
      <c r="H707" t="s">
        <v>4</v>
      </c>
      <c r="I707" s="2">
        <v>44607</v>
      </c>
      <c r="J707" t="s">
        <v>74</v>
      </c>
      <c r="K707" s="4">
        <f>Table1[[#This Row],[Quantity]]*Table1[[#This Row],[Price]]</f>
        <v>650.55999999999995</v>
      </c>
      <c r="L707" t="str">
        <f>IF(Table1[[#This Row],[Age]]&lt;25,"18-24",IF(Table1[[#This Row],[Age]]&lt;35,"25-34",IF(Table1[[#This Row],[Age]]&lt;45,"35-44",IF(Table1[[#This Row],[Age]]&lt;55,"45-54","55+"))))</f>
        <v>45-54</v>
      </c>
      <c r="M707" t="str">
        <f>TEXT(Table1[[#This Row],[Invoice_date]],"mmm")</f>
        <v>Feb</v>
      </c>
      <c r="N707">
        <f>YEAR(Table1[[#This Row],[Invoice_date]])</f>
        <v>2022</v>
      </c>
    </row>
    <row r="708" spans="1:14" x14ac:dyDescent="0.25">
      <c r="A708" t="s">
        <v>2021</v>
      </c>
      <c r="B708" t="s">
        <v>2022</v>
      </c>
      <c r="C708" t="s">
        <v>12</v>
      </c>
      <c r="D708">
        <v>52</v>
      </c>
      <c r="E708" t="s">
        <v>8</v>
      </c>
      <c r="F708">
        <v>4</v>
      </c>
      <c r="G708">
        <v>162.63999999999999</v>
      </c>
      <c r="H708" t="s">
        <v>4</v>
      </c>
      <c r="I708" s="2">
        <v>44790</v>
      </c>
      <c r="J708" t="s">
        <v>24</v>
      </c>
      <c r="K708" s="4">
        <f>Table1[[#This Row],[Quantity]]*Table1[[#This Row],[Price]]</f>
        <v>650.55999999999995</v>
      </c>
      <c r="L708" t="str">
        <f>IF(Table1[[#This Row],[Age]]&lt;25,"18-24",IF(Table1[[#This Row],[Age]]&lt;35,"25-34",IF(Table1[[#This Row],[Age]]&lt;45,"35-44",IF(Table1[[#This Row],[Age]]&lt;55,"45-54","55+"))))</f>
        <v>45-54</v>
      </c>
      <c r="M708" t="str">
        <f>TEXT(Table1[[#This Row],[Invoice_date]],"mmm")</f>
        <v>Aug</v>
      </c>
      <c r="N708">
        <f>YEAR(Table1[[#This Row],[Invoice_date]])</f>
        <v>2022</v>
      </c>
    </row>
    <row r="709" spans="1:14" x14ac:dyDescent="0.25">
      <c r="A709" t="s">
        <v>0</v>
      </c>
      <c r="B709" t="s">
        <v>1</v>
      </c>
      <c r="C709" t="s">
        <v>2</v>
      </c>
      <c r="D709">
        <v>65</v>
      </c>
      <c r="E709" t="s">
        <v>3</v>
      </c>
      <c r="F709">
        <v>5</v>
      </c>
      <c r="G709">
        <v>1500.4</v>
      </c>
      <c r="H709" t="s">
        <v>4</v>
      </c>
      <c r="I709" s="2">
        <v>44752</v>
      </c>
      <c r="J709" t="s">
        <v>5</v>
      </c>
      <c r="K709" s="4">
        <f>Table1[[#This Row],[Quantity]]*Table1[[#This Row],[Price]]</f>
        <v>7502</v>
      </c>
      <c r="L709" t="str">
        <f>IF(Table1[[#This Row],[Age]]&lt;25,"18-24",IF(Table1[[#This Row],[Age]]&lt;35,"25-34",IF(Table1[[#This Row],[Age]]&lt;45,"35-44",IF(Table1[[#This Row],[Age]]&lt;55,"45-54","55+"))))</f>
        <v>55+</v>
      </c>
      <c r="M709" t="str">
        <f>TEXT(Table1[[#This Row],[Invoice_date]],"mmm")</f>
        <v>Jul</v>
      </c>
      <c r="N709">
        <f>YEAR(Table1[[#This Row],[Invoice_date]])</f>
        <v>2022</v>
      </c>
    </row>
    <row r="710" spans="1:14" x14ac:dyDescent="0.25">
      <c r="A710" t="s">
        <v>6</v>
      </c>
      <c r="B710" t="s">
        <v>7</v>
      </c>
      <c r="C710" t="s">
        <v>2</v>
      </c>
      <c r="D710">
        <v>55</v>
      </c>
      <c r="E710" t="s">
        <v>8</v>
      </c>
      <c r="F710">
        <v>5</v>
      </c>
      <c r="G710">
        <v>203.3</v>
      </c>
      <c r="H710" t="s">
        <v>4</v>
      </c>
      <c r="I710" s="2">
        <v>44365</v>
      </c>
      <c r="J710" t="s">
        <v>9</v>
      </c>
      <c r="K710" s="4">
        <f>Table1[[#This Row],[Quantity]]*Table1[[#This Row],[Price]]</f>
        <v>1016.5</v>
      </c>
      <c r="L710" t="str">
        <f>IF(Table1[[#This Row],[Age]]&lt;25,"18-24",IF(Table1[[#This Row],[Age]]&lt;35,"25-34",IF(Table1[[#This Row],[Age]]&lt;45,"35-44",IF(Table1[[#This Row],[Age]]&lt;55,"45-54","55+"))))</f>
        <v>55+</v>
      </c>
      <c r="M710" t="str">
        <f>TEXT(Table1[[#This Row],[Invoice_date]],"mmm")</f>
        <v>Jun</v>
      </c>
      <c r="N710">
        <f>YEAR(Table1[[#This Row],[Invoice_date]])</f>
        <v>2021</v>
      </c>
    </row>
    <row r="711" spans="1:14" x14ac:dyDescent="0.25">
      <c r="A711" t="s">
        <v>15</v>
      </c>
      <c r="B711" t="s">
        <v>16</v>
      </c>
      <c r="C711" t="s">
        <v>12</v>
      </c>
      <c r="D711">
        <v>67</v>
      </c>
      <c r="E711" t="s">
        <v>17</v>
      </c>
      <c r="F711">
        <v>3</v>
      </c>
      <c r="G711">
        <v>45.45</v>
      </c>
      <c r="H711" t="s">
        <v>18</v>
      </c>
      <c r="I711" s="2">
        <v>44931</v>
      </c>
      <c r="J711" t="s">
        <v>5</v>
      </c>
      <c r="K711" s="4">
        <f>Table1[[#This Row],[Quantity]]*Table1[[#This Row],[Price]]</f>
        <v>136.35000000000002</v>
      </c>
      <c r="L711" t="str">
        <f>IF(Table1[[#This Row],[Age]]&lt;25,"18-24",IF(Table1[[#This Row],[Age]]&lt;35,"25-34",IF(Table1[[#This Row],[Age]]&lt;45,"35-44",IF(Table1[[#This Row],[Age]]&lt;55,"45-54","55+"))))</f>
        <v>55+</v>
      </c>
      <c r="M711" t="str">
        <f>TEXT(Table1[[#This Row],[Invoice_date]],"mmm")</f>
        <v>Jan</v>
      </c>
      <c r="N711">
        <f>YEAR(Table1[[#This Row],[Invoice_date]])</f>
        <v>2023</v>
      </c>
    </row>
    <row r="712" spans="1:14" x14ac:dyDescent="0.25">
      <c r="A712" t="s">
        <v>28</v>
      </c>
      <c r="B712" t="s">
        <v>29</v>
      </c>
      <c r="C712" t="s">
        <v>2</v>
      </c>
      <c r="D712">
        <v>56</v>
      </c>
      <c r="E712" t="s">
        <v>27</v>
      </c>
      <c r="F712">
        <v>4</v>
      </c>
      <c r="G712">
        <v>20.92</v>
      </c>
      <c r="H712" t="s">
        <v>18</v>
      </c>
      <c r="I712" s="2">
        <v>44488</v>
      </c>
      <c r="J712" t="s">
        <v>30</v>
      </c>
      <c r="K712" s="4">
        <f>Table1[[#This Row],[Quantity]]*Table1[[#This Row],[Price]]</f>
        <v>83.68</v>
      </c>
      <c r="L712" t="str">
        <f>IF(Table1[[#This Row],[Age]]&lt;25,"18-24",IF(Table1[[#This Row],[Age]]&lt;35,"25-34",IF(Table1[[#This Row],[Age]]&lt;45,"35-44",IF(Table1[[#This Row],[Age]]&lt;55,"45-54","55+"))))</f>
        <v>55+</v>
      </c>
      <c r="M712" t="str">
        <f>TEXT(Table1[[#This Row],[Invoice_date]],"mmm")</f>
        <v>Oct</v>
      </c>
      <c r="N712">
        <f>YEAR(Table1[[#This Row],[Invoice_date]])</f>
        <v>2021</v>
      </c>
    </row>
    <row r="713" spans="1:14" x14ac:dyDescent="0.25">
      <c r="A713" t="s">
        <v>31</v>
      </c>
      <c r="B713" t="s">
        <v>32</v>
      </c>
      <c r="C713" t="s">
        <v>12</v>
      </c>
      <c r="D713">
        <v>63</v>
      </c>
      <c r="E713" t="s">
        <v>3</v>
      </c>
      <c r="F713">
        <v>1</v>
      </c>
      <c r="G713">
        <v>300.08</v>
      </c>
      <c r="H713" t="s">
        <v>13</v>
      </c>
      <c r="I713" s="2">
        <v>44353</v>
      </c>
      <c r="J713" t="s">
        <v>33</v>
      </c>
      <c r="K713" s="4">
        <f>Table1[[#This Row],[Quantity]]*Table1[[#This Row],[Price]]</f>
        <v>300.08</v>
      </c>
      <c r="L713" t="str">
        <f>IF(Table1[[#This Row],[Age]]&lt;25,"18-24",IF(Table1[[#This Row],[Age]]&lt;35,"25-34",IF(Table1[[#This Row],[Age]]&lt;45,"35-44",IF(Table1[[#This Row],[Age]]&lt;55,"45-54","55+"))))</f>
        <v>55+</v>
      </c>
      <c r="M713" t="str">
        <f>TEXT(Table1[[#This Row],[Invoice_date]],"mmm")</f>
        <v>Jun</v>
      </c>
      <c r="N713">
        <f>YEAR(Table1[[#This Row],[Invoice_date]])</f>
        <v>2021</v>
      </c>
    </row>
    <row r="714" spans="1:14" x14ac:dyDescent="0.25">
      <c r="A714" t="s">
        <v>53</v>
      </c>
      <c r="B714" t="s">
        <v>54</v>
      </c>
      <c r="C714" t="s">
        <v>2</v>
      </c>
      <c r="D714">
        <v>64</v>
      </c>
      <c r="E714" t="s">
        <v>21</v>
      </c>
      <c r="F714">
        <v>5</v>
      </c>
      <c r="G714">
        <v>5250</v>
      </c>
      <c r="H714" t="s">
        <v>13</v>
      </c>
      <c r="I714" s="2">
        <v>44418</v>
      </c>
      <c r="J714" t="s">
        <v>50</v>
      </c>
      <c r="K714" s="4">
        <f>Table1[[#This Row],[Quantity]]*Table1[[#This Row],[Price]]</f>
        <v>26250</v>
      </c>
      <c r="L714" t="str">
        <f>IF(Table1[[#This Row],[Age]]&lt;25,"18-24",IF(Table1[[#This Row],[Age]]&lt;35,"25-34",IF(Table1[[#This Row],[Age]]&lt;45,"35-44",IF(Table1[[#This Row],[Age]]&lt;55,"45-54","55+"))))</f>
        <v>55+</v>
      </c>
      <c r="M714" t="str">
        <f>TEXT(Table1[[#This Row],[Invoice_date]],"mmm")</f>
        <v>Aug</v>
      </c>
      <c r="N714">
        <f>YEAR(Table1[[#This Row],[Invoice_date]])</f>
        <v>2021</v>
      </c>
    </row>
    <row r="715" spans="1:14" x14ac:dyDescent="0.25">
      <c r="A715" t="s">
        <v>59</v>
      </c>
      <c r="B715" t="s">
        <v>60</v>
      </c>
      <c r="C715" t="s">
        <v>2</v>
      </c>
      <c r="D715">
        <v>55</v>
      </c>
      <c r="E715" t="s">
        <v>49</v>
      </c>
      <c r="F715">
        <v>4</v>
      </c>
      <c r="G715">
        <v>143.36000000000001</v>
      </c>
      <c r="H715" t="s">
        <v>18</v>
      </c>
      <c r="I715" s="2">
        <v>44677</v>
      </c>
      <c r="J715" t="s">
        <v>50</v>
      </c>
      <c r="K715" s="4">
        <f>Table1[[#This Row],[Quantity]]*Table1[[#This Row],[Price]]</f>
        <v>573.44000000000005</v>
      </c>
      <c r="L715" t="str">
        <f>IF(Table1[[#This Row],[Age]]&lt;25,"18-24",IF(Table1[[#This Row],[Age]]&lt;35,"25-34",IF(Table1[[#This Row],[Age]]&lt;45,"35-44",IF(Table1[[#This Row],[Age]]&lt;55,"45-54","55+"))))</f>
        <v>55+</v>
      </c>
      <c r="M715" t="str">
        <f>TEXT(Table1[[#This Row],[Invoice_date]],"mmm")</f>
        <v>Apr</v>
      </c>
      <c r="N715">
        <f>YEAR(Table1[[#This Row],[Invoice_date]])</f>
        <v>2022</v>
      </c>
    </row>
    <row r="716" spans="1:14" x14ac:dyDescent="0.25">
      <c r="A716" t="s">
        <v>64</v>
      </c>
      <c r="B716" t="s">
        <v>65</v>
      </c>
      <c r="C716" t="s">
        <v>12</v>
      </c>
      <c r="D716">
        <v>68</v>
      </c>
      <c r="E716" t="s">
        <v>38</v>
      </c>
      <c r="F716">
        <v>2</v>
      </c>
      <c r="G716">
        <v>1200.3399999999999</v>
      </c>
      <c r="H716" t="s">
        <v>18</v>
      </c>
      <c r="I716" s="2">
        <v>44843</v>
      </c>
      <c r="J716" t="s">
        <v>33</v>
      </c>
      <c r="K716" s="4">
        <f>Table1[[#This Row],[Quantity]]*Table1[[#This Row],[Price]]</f>
        <v>2400.6799999999998</v>
      </c>
      <c r="L716" t="str">
        <f>IF(Table1[[#This Row],[Age]]&lt;25,"18-24",IF(Table1[[#This Row],[Age]]&lt;35,"25-34",IF(Table1[[#This Row],[Age]]&lt;45,"35-44",IF(Table1[[#This Row],[Age]]&lt;55,"45-54","55+"))))</f>
        <v>55+</v>
      </c>
      <c r="M716" t="str">
        <f>TEXT(Table1[[#This Row],[Invoice_date]],"mmm")</f>
        <v>Oct</v>
      </c>
      <c r="N716">
        <f>YEAR(Table1[[#This Row],[Invoice_date]])</f>
        <v>2022</v>
      </c>
    </row>
    <row r="717" spans="1:14" x14ac:dyDescent="0.25">
      <c r="A717" t="s">
        <v>66</v>
      </c>
      <c r="B717" t="s">
        <v>67</v>
      </c>
      <c r="C717" t="s">
        <v>12</v>
      </c>
      <c r="D717">
        <v>63</v>
      </c>
      <c r="E717" t="s">
        <v>3</v>
      </c>
      <c r="F717">
        <v>5</v>
      </c>
      <c r="G717">
        <v>1500.4</v>
      </c>
      <c r="H717" t="s">
        <v>4</v>
      </c>
      <c r="I717" s="2">
        <v>44647</v>
      </c>
      <c r="J717" t="s">
        <v>5</v>
      </c>
      <c r="K717" s="4">
        <f>Table1[[#This Row],[Quantity]]*Table1[[#This Row],[Price]]</f>
        <v>7502</v>
      </c>
      <c r="L717" t="str">
        <f>IF(Table1[[#This Row],[Age]]&lt;25,"18-24",IF(Table1[[#This Row],[Age]]&lt;35,"25-34",IF(Table1[[#This Row],[Age]]&lt;45,"35-44",IF(Table1[[#This Row],[Age]]&lt;55,"45-54","55+"))))</f>
        <v>55+</v>
      </c>
      <c r="M717" t="str">
        <f>TEXT(Table1[[#This Row],[Invoice_date]],"mmm")</f>
        <v>Mar</v>
      </c>
      <c r="N717">
        <f>YEAR(Table1[[#This Row],[Invoice_date]])</f>
        <v>2022</v>
      </c>
    </row>
    <row r="718" spans="1:14" x14ac:dyDescent="0.25">
      <c r="A718" t="s">
        <v>70</v>
      </c>
      <c r="B718" t="s">
        <v>71</v>
      </c>
      <c r="C718" t="s">
        <v>12</v>
      </c>
      <c r="D718">
        <v>68</v>
      </c>
      <c r="E718" t="s">
        <v>49</v>
      </c>
      <c r="F718">
        <v>2</v>
      </c>
      <c r="G718">
        <v>71.680000000000007</v>
      </c>
      <c r="H718" t="s">
        <v>4</v>
      </c>
      <c r="I718" s="2">
        <v>44548</v>
      </c>
      <c r="J718" t="s">
        <v>50</v>
      </c>
      <c r="K718" s="4">
        <f>Table1[[#This Row],[Quantity]]*Table1[[#This Row],[Price]]</f>
        <v>143.36000000000001</v>
      </c>
      <c r="L718" t="str">
        <f>IF(Table1[[#This Row],[Age]]&lt;25,"18-24",IF(Table1[[#This Row],[Age]]&lt;35,"25-34",IF(Table1[[#This Row],[Age]]&lt;45,"35-44",IF(Table1[[#This Row],[Age]]&lt;55,"45-54","55+"))))</f>
        <v>55+</v>
      </c>
      <c r="M718" t="str">
        <f>TEXT(Table1[[#This Row],[Invoice_date]],"mmm")</f>
        <v>Dec</v>
      </c>
      <c r="N718">
        <f>YEAR(Table1[[#This Row],[Invoice_date]])</f>
        <v>2021</v>
      </c>
    </row>
    <row r="719" spans="1:14" x14ac:dyDescent="0.25">
      <c r="A719" t="s">
        <v>72</v>
      </c>
      <c r="B719" t="s">
        <v>73</v>
      </c>
      <c r="C719" t="s">
        <v>2</v>
      </c>
      <c r="D719">
        <v>60</v>
      </c>
      <c r="E719" t="s">
        <v>3</v>
      </c>
      <c r="F719">
        <v>2</v>
      </c>
      <c r="G719">
        <v>600.16</v>
      </c>
      <c r="H719" t="s">
        <v>4</v>
      </c>
      <c r="I719" s="2">
        <v>44523</v>
      </c>
      <c r="J719" t="s">
        <v>74</v>
      </c>
      <c r="K719" s="4">
        <f>Table1[[#This Row],[Quantity]]*Table1[[#This Row],[Price]]</f>
        <v>1200.32</v>
      </c>
      <c r="L719" t="str">
        <f>IF(Table1[[#This Row],[Age]]&lt;25,"18-24",IF(Table1[[#This Row],[Age]]&lt;35,"25-34",IF(Table1[[#This Row],[Age]]&lt;45,"35-44",IF(Table1[[#This Row],[Age]]&lt;55,"45-54","55+"))))</f>
        <v>55+</v>
      </c>
      <c r="M719" t="str">
        <f>TEXT(Table1[[#This Row],[Invoice_date]],"mmm")</f>
        <v>Nov</v>
      </c>
      <c r="N719">
        <f>YEAR(Table1[[#This Row],[Invoice_date]])</f>
        <v>2021</v>
      </c>
    </row>
    <row r="720" spans="1:14" x14ac:dyDescent="0.25">
      <c r="A720" t="s">
        <v>75</v>
      </c>
      <c r="B720" t="s">
        <v>76</v>
      </c>
      <c r="C720" t="s">
        <v>12</v>
      </c>
      <c r="D720">
        <v>63</v>
      </c>
      <c r="E720" t="s">
        <v>27</v>
      </c>
      <c r="F720">
        <v>4</v>
      </c>
      <c r="G720">
        <v>20.92</v>
      </c>
      <c r="H720" t="s">
        <v>18</v>
      </c>
      <c r="I720" s="2">
        <v>44797</v>
      </c>
      <c r="J720" t="s">
        <v>14</v>
      </c>
      <c r="K720" s="4">
        <f>Table1[[#This Row],[Quantity]]*Table1[[#This Row],[Price]]</f>
        <v>83.68</v>
      </c>
      <c r="L720" t="str">
        <f>IF(Table1[[#This Row],[Age]]&lt;25,"18-24",IF(Table1[[#This Row],[Age]]&lt;35,"25-34",IF(Table1[[#This Row],[Age]]&lt;45,"35-44",IF(Table1[[#This Row],[Age]]&lt;55,"45-54","55+"))))</f>
        <v>55+</v>
      </c>
      <c r="M720" t="str">
        <f>TEXT(Table1[[#This Row],[Invoice_date]],"mmm")</f>
        <v>Aug</v>
      </c>
      <c r="N720">
        <f>YEAR(Table1[[#This Row],[Invoice_date]])</f>
        <v>2022</v>
      </c>
    </row>
    <row r="721" spans="1:14" x14ac:dyDescent="0.25">
      <c r="A721" t="s">
        <v>89</v>
      </c>
      <c r="B721" t="s">
        <v>90</v>
      </c>
      <c r="C721" t="s">
        <v>12</v>
      </c>
      <c r="D721">
        <v>60</v>
      </c>
      <c r="E721" t="s">
        <v>8</v>
      </c>
      <c r="F721">
        <v>3</v>
      </c>
      <c r="G721">
        <v>121.98</v>
      </c>
      <c r="H721" t="s">
        <v>4</v>
      </c>
      <c r="I721" s="2">
        <v>44883</v>
      </c>
      <c r="J721" t="s">
        <v>50</v>
      </c>
      <c r="K721" s="4">
        <f>Table1[[#This Row],[Quantity]]*Table1[[#This Row],[Price]]</f>
        <v>365.94</v>
      </c>
      <c r="L721" t="str">
        <f>IF(Table1[[#This Row],[Age]]&lt;25,"18-24",IF(Table1[[#This Row],[Age]]&lt;35,"25-34",IF(Table1[[#This Row],[Age]]&lt;45,"35-44",IF(Table1[[#This Row],[Age]]&lt;55,"45-54","55+"))))</f>
        <v>55+</v>
      </c>
      <c r="M721" t="str">
        <f>TEXT(Table1[[#This Row],[Invoice_date]],"mmm")</f>
        <v>Nov</v>
      </c>
      <c r="N721">
        <f>YEAR(Table1[[#This Row],[Invoice_date]])</f>
        <v>2022</v>
      </c>
    </row>
    <row r="722" spans="1:14" x14ac:dyDescent="0.25">
      <c r="A722" t="s">
        <v>109</v>
      </c>
      <c r="B722" t="s">
        <v>110</v>
      </c>
      <c r="C722" t="s">
        <v>12</v>
      </c>
      <c r="D722">
        <v>65</v>
      </c>
      <c r="E722" t="s">
        <v>27</v>
      </c>
      <c r="F722">
        <v>5</v>
      </c>
      <c r="G722">
        <v>26.15</v>
      </c>
      <c r="H722" t="s">
        <v>4</v>
      </c>
      <c r="I722" s="2">
        <v>44517</v>
      </c>
      <c r="J722" t="s">
        <v>14</v>
      </c>
      <c r="K722" s="4">
        <f>Table1[[#This Row],[Quantity]]*Table1[[#This Row],[Price]]</f>
        <v>130.75</v>
      </c>
      <c r="L722" t="str">
        <f>IF(Table1[[#This Row],[Age]]&lt;25,"18-24",IF(Table1[[#This Row],[Age]]&lt;35,"25-34",IF(Table1[[#This Row],[Age]]&lt;45,"35-44",IF(Table1[[#This Row],[Age]]&lt;55,"45-54","55+"))))</f>
        <v>55+</v>
      </c>
      <c r="M722" t="str">
        <f>TEXT(Table1[[#This Row],[Invoice_date]],"mmm")</f>
        <v>Nov</v>
      </c>
      <c r="N722">
        <f>YEAR(Table1[[#This Row],[Invoice_date]])</f>
        <v>2021</v>
      </c>
    </row>
    <row r="723" spans="1:14" x14ac:dyDescent="0.25">
      <c r="A723" t="s">
        <v>111</v>
      </c>
      <c r="B723" t="s">
        <v>112</v>
      </c>
      <c r="C723" t="s">
        <v>2</v>
      </c>
      <c r="D723">
        <v>69</v>
      </c>
      <c r="E723" t="s">
        <v>3</v>
      </c>
      <c r="F723">
        <v>2</v>
      </c>
      <c r="G723">
        <v>600.16</v>
      </c>
      <c r="H723" t="s">
        <v>4</v>
      </c>
      <c r="I723" s="2">
        <v>44400</v>
      </c>
      <c r="J723" t="s">
        <v>33</v>
      </c>
      <c r="K723" s="4">
        <f>Table1[[#This Row],[Quantity]]*Table1[[#This Row],[Price]]</f>
        <v>1200.32</v>
      </c>
      <c r="L723" t="str">
        <f>IF(Table1[[#This Row],[Age]]&lt;25,"18-24",IF(Table1[[#This Row],[Age]]&lt;35,"25-34",IF(Table1[[#This Row],[Age]]&lt;45,"35-44",IF(Table1[[#This Row],[Age]]&lt;55,"45-54","55+"))))</f>
        <v>55+</v>
      </c>
      <c r="M723" t="str">
        <f>TEXT(Table1[[#This Row],[Invoice_date]],"mmm")</f>
        <v>Jul</v>
      </c>
      <c r="N723">
        <f>YEAR(Table1[[#This Row],[Invoice_date]])</f>
        <v>2021</v>
      </c>
    </row>
    <row r="724" spans="1:14" x14ac:dyDescent="0.25">
      <c r="A724" t="s">
        <v>117</v>
      </c>
      <c r="B724" t="s">
        <v>118</v>
      </c>
      <c r="C724" t="s">
        <v>12</v>
      </c>
      <c r="D724">
        <v>69</v>
      </c>
      <c r="E724" t="s">
        <v>17</v>
      </c>
      <c r="F724">
        <v>3</v>
      </c>
      <c r="G724">
        <v>45.45</v>
      </c>
      <c r="H724" t="s">
        <v>18</v>
      </c>
      <c r="I724" s="2">
        <v>44221</v>
      </c>
      <c r="J724" t="s">
        <v>50</v>
      </c>
      <c r="K724" s="4">
        <f>Table1[[#This Row],[Quantity]]*Table1[[#This Row],[Price]]</f>
        <v>136.35000000000002</v>
      </c>
      <c r="L724" t="str">
        <f>IF(Table1[[#This Row],[Age]]&lt;25,"18-24",IF(Table1[[#This Row],[Age]]&lt;35,"25-34",IF(Table1[[#This Row],[Age]]&lt;45,"35-44",IF(Table1[[#This Row],[Age]]&lt;55,"45-54","55+"))))</f>
        <v>55+</v>
      </c>
      <c r="M724" t="str">
        <f>TEXT(Table1[[#This Row],[Invoice_date]],"mmm")</f>
        <v>Jan</v>
      </c>
      <c r="N724">
        <f>YEAR(Table1[[#This Row],[Invoice_date]])</f>
        <v>2021</v>
      </c>
    </row>
    <row r="725" spans="1:14" x14ac:dyDescent="0.25">
      <c r="A725" t="s">
        <v>123</v>
      </c>
      <c r="B725" t="s">
        <v>124</v>
      </c>
      <c r="C725" t="s">
        <v>12</v>
      </c>
      <c r="D725">
        <v>69</v>
      </c>
      <c r="E725" t="s">
        <v>27</v>
      </c>
      <c r="F725">
        <v>1</v>
      </c>
      <c r="G725">
        <v>5.23</v>
      </c>
      <c r="H725" t="s">
        <v>4</v>
      </c>
      <c r="I725" s="2">
        <v>44334</v>
      </c>
      <c r="J725" t="s">
        <v>50</v>
      </c>
      <c r="K725" s="4">
        <f>Table1[[#This Row],[Quantity]]*Table1[[#This Row],[Price]]</f>
        <v>5.23</v>
      </c>
      <c r="L725" t="str">
        <f>IF(Table1[[#This Row],[Age]]&lt;25,"18-24",IF(Table1[[#This Row],[Age]]&lt;35,"25-34",IF(Table1[[#This Row],[Age]]&lt;45,"35-44",IF(Table1[[#This Row],[Age]]&lt;55,"45-54","55+"))))</f>
        <v>55+</v>
      </c>
      <c r="M725" t="str">
        <f>TEXT(Table1[[#This Row],[Invoice_date]],"mmm")</f>
        <v>May</v>
      </c>
      <c r="N725">
        <f>YEAR(Table1[[#This Row],[Invoice_date]])</f>
        <v>2021</v>
      </c>
    </row>
    <row r="726" spans="1:14" x14ac:dyDescent="0.25">
      <c r="A726" t="s">
        <v>131</v>
      </c>
      <c r="B726" t="s">
        <v>132</v>
      </c>
      <c r="C726" t="s">
        <v>2</v>
      </c>
      <c r="D726">
        <v>62</v>
      </c>
      <c r="E726" t="s">
        <v>3</v>
      </c>
      <c r="F726">
        <v>1</v>
      </c>
      <c r="G726">
        <v>300.08</v>
      </c>
      <c r="H726" t="s">
        <v>13</v>
      </c>
      <c r="I726" s="2">
        <v>44956</v>
      </c>
      <c r="J726" t="s">
        <v>30</v>
      </c>
      <c r="K726" s="4">
        <f>Table1[[#This Row],[Quantity]]*Table1[[#This Row],[Price]]</f>
        <v>300.08</v>
      </c>
      <c r="L726" t="str">
        <f>IF(Table1[[#This Row],[Age]]&lt;25,"18-24",IF(Table1[[#This Row],[Age]]&lt;35,"25-34",IF(Table1[[#This Row],[Age]]&lt;45,"35-44",IF(Table1[[#This Row],[Age]]&lt;55,"45-54","55+"))))</f>
        <v>55+</v>
      </c>
      <c r="M726" t="str">
        <f>TEXT(Table1[[#This Row],[Invoice_date]],"mmm")</f>
        <v>Jan</v>
      </c>
      <c r="N726">
        <f>YEAR(Table1[[#This Row],[Invoice_date]])</f>
        <v>2023</v>
      </c>
    </row>
    <row r="727" spans="1:14" x14ac:dyDescent="0.25">
      <c r="A727" t="s">
        <v>135</v>
      </c>
      <c r="B727" t="s">
        <v>136</v>
      </c>
      <c r="C727" t="s">
        <v>2</v>
      </c>
      <c r="D727">
        <v>57</v>
      </c>
      <c r="E727" t="s">
        <v>3</v>
      </c>
      <c r="F727">
        <v>1</v>
      </c>
      <c r="G727">
        <v>300.08</v>
      </c>
      <c r="H727" t="s">
        <v>13</v>
      </c>
      <c r="I727" s="2">
        <v>44517</v>
      </c>
      <c r="J727" t="s">
        <v>14</v>
      </c>
      <c r="K727" s="4">
        <f>Table1[[#This Row],[Quantity]]*Table1[[#This Row],[Price]]</f>
        <v>300.08</v>
      </c>
      <c r="L727" t="str">
        <f>IF(Table1[[#This Row],[Age]]&lt;25,"18-24",IF(Table1[[#This Row],[Age]]&lt;35,"25-34",IF(Table1[[#This Row],[Age]]&lt;45,"35-44",IF(Table1[[#This Row],[Age]]&lt;55,"45-54","55+"))))</f>
        <v>55+</v>
      </c>
      <c r="M727" t="str">
        <f>TEXT(Table1[[#This Row],[Invoice_date]],"mmm")</f>
        <v>Nov</v>
      </c>
      <c r="N727">
        <f>YEAR(Table1[[#This Row],[Invoice_date]])</f>
        <v>2021</v>
      </c>
    </row>
    <row r="728" spans="1:14" x14ac:dyDescent="0.25">
      <c r="A728" t="s">
        <v>141</v>
      </c>
      <c r="B728" t="s">
        <v>142</v>
      </c>
      <c r="C728" t="s">
        <v>12</v>
      </c>
      <c r="D728">
        <v>58</v>
      </c>
      <c r="E728" t="s">
        <v>8</v>
      </c>
      <c r="F728">
        <v>5</v>
      </c>
      <c r="G728">
        <v>203.3</v>
      </c>
      <c r="H728" t="s">
        <v>18</v>
      </c>
      <c r="I728" s="2">
        <v>44395</v>
      </c>
      <c r="J728" t="s">
        <v>63</v>
      </c>
      <c r="K728" s="4">
        <f>Table1[[#This Row],[Quantity]]*Table1[[#This Row],[Price]]</f>
        <v>1016.5</v>
      </c>
      <c r="L728" t="str">
        <f>IF(Table1[[#This Row],[Age]]&lt;25,"18-24",IF(Table1[[#This Row],[Age]]&lt;35,"25-34",IF(Table1[[#This Row],[Age]]&lt;45,"35-44",IF(Table1[[#This Row],[Age]]&lt;55,"45-54","55+"))))</f>
        <v>55+</v>
      </c>
      <c r="M728" t="str">
        <f>TEXT(Table1[[#This Row],[Invoice_date]],"mmm")</f>
        <v>Jul</v>
      </c>
      <c r="N728">
        <f>YEAR(Table1[[#This Row],[Invoice_date]])</f>
        <v>2021</v>
      </c>
    </row>
    <row r="729" spans="1:14" x14ac:dyDescent="0.25">
      <c r="A729" t="s">
        <v>147</v>
      </c>
      <c r="B729" t="s">
        <v>148</v>
      </c>
      <c r="C729" t="s">
        <v>2</v>
      </c>
      <c r="D729">
        <v>57</v>
      </c>
      <c r="E729" t="s">
        <v>46</v>
      </c>
      <c r="F729">
        <v>5</v>
      </c>
      <c r="G729">
        <v>58.65</v>
      </c>
      <c r="H729" t="s">
        <v>4</v>
      </c>
      <c r="I729" s="2">
        <v>44275</v>
      </c>
      <c r="J729" t="s">
        <v>74</v>
      </c>
      <c r="K729" s="4">
        <f>Table1[[#This Row],[Quantity]]*Table1[[#This Row],[Price]]</f>
        <v>293.25</v>
      </c>
      <c r="L729" t="str">
        <f>IF(Table1[[#This Row],[Age]]&lt;25,"18-24",IF(Table1[[#This Row],[Age]]&lt;35,"25-34",IF(Table1[[#This Row],[Age]]&lt;45,"35-44",IF(Table1[[#This Row],[Age]]&lt;55,"45-54","55+"))))</f>
        <v>55+</v>
      </c>
      <c r="M729" t="str">
        <f>TEXT(Table1[[#This Row],[Invoice_date]],"mmm")</f>
        <v>Mar</v>
      </c>
      <c r="N729">
        <f>YEAR(Table1[[#This Row],[Invoice_date]])</f>
        <v>2021</v>
      </c>
    </row>
    <row r="730" spans="1:14" x14ac:dyDescent="0.25">
      <c r="A730" t="s">
        <v>155</v>
      </c>
      <c r="B730" t="s">
        <v>156</v>
      </c>
      <c r="C730" t="s">
        <v>12</v>
      </c>
      <c r="D730">
        <v>59</v>
      </c>
      <c r="E730" t="s">
        <v>3</v>
      </c>
      <c r="F730">
        <v>2</v>
      </c>
      <c r="G730">
        <v>600.16</v>
      </c>
      <c r="H730" t="s">
        <v>13</v>
      </c>
      <c r="I730" s="2">
        <v>44237</v>
      </c>
      <c r="J730" t="s">
        <v>24</v>
      </c>
      <c r="K730" s="4">
        <f>Table1[[#This Row],[Quantity]]*Table1[[#This Row],[Price]]</f>
        <v>1200.32</v>
      </c>
      <c r="L730" t="str">
        <f>IF(Table1[[#This Row],[Age]]&lt;25,"18-24",IF(Table1[[#This Row],[Age]]&lt;35,"25-34",IF(Table1[[#This Row],[Age]]&lt;45,"35-44",IF(Table1[[#This Row],[Age]]&lt;55,"45-54","55+"))))</f>
        <v>55+</v>
      </c>
      <c r="M730" t="str">
        <f>TEXT(Table1[[#This Row],[Invoice_date]],"mmm")</f>
        <v>Feb</v>
      </c>
      <c r="N730">
        <f>YEAR(Table1[[#This Row],[Invoice_date]])</f>
        <v>2021</v>
      </c>
    </row>
    <row r="731" spans="1:14" x14ac:dyDescent="0.25">
      <c r="A731" t="s">
        <v>157</v>
      </c>
      <c r="B731" t="s">
        <v>158</v>
      </c>
      <c r="C731" t="s">
        <v>12</v>
      </c>
      <c r="D731">
        <v>60</v>
      </c>
      <c r="E731" t="s">
        <v>46</v>
      </c>
      <c r="F731">
        <v>3</v>
      </c>
      <c r="G731">
        <v>35.19</v>
      </c>
      <c r="H731" t="s">
        <v>18</v>
      </c>
      <c r="I731" s="2">
        <v>44439</v>
      </c>
      <c r="J731" t="s">
        <v>33</v>
      </c>
      <c r="K731" s="4">
        <f>Table1[[#This Row],[Quantity]]*Table1[[#This Row],[Price]]</f>
        <v>105.57</v>
      </c>
      <c r="L731" t="str">
        <f>IF(Table1[[#This Row],[Age]]&lt;25,"18-24",IF(Table1[[#This Row],[Age]]&lt;35,"25-34",IF(Table1[[#This Row],[Age]]&lt;45,"35-44",IF(Table1[[#This Row],[Age]]&lt;55,"45-54","55+"))))</f>
        <v>55+</v>
      </c>
      <c r="M731" t="str">
        <f>TEXT(Table1[[#This Row],[Invoice_date]],"mmm")</f>
        <v>Aug</v>
      </c>
      <c r="N731">
        <f>YEAR(Table1[[#This Row],[Invoice_date]])</f>
        <v>2021</v>
      </c>
    </row>
    <row r="732" spans="1:14" x14ac:dyDescent="0.25">
      <c r="A732" t="s">
        <v>173</v>
      </c>
      <c r="B732" t="s">
        <v>174</v>
      </c>
      <c r="C732" t="s">
        <v>12</v>
      </c>
      <c r="D732">
        <v>67</v>
      </c>
      <c r="E732" t="s">
        <v>49</v>
      </c>
      <c r="F732">
        <v>3</v>
      </c>
      <c r="G732">
        <v>107.52</v>
      </c>
      <c r="H732" t="s">
        <v>4</v>
      </c>
      <c r="I732" s="2">
        <v>44694</v>
      </c>
      <c r="J732" t="s">
        <v>24</v>
      </c>
      <c r="K732" s="4">
        <f>Table1[[#This Row],[Quantity]]*Table1[[#This Row],[Price]]</f>
        <v>322.56</v>
      </c>
      <c r="L732" t="str">
        <f>IF(Table1[[#This Row],[Age]]&lt;25,"18-24",IF(Table1[[#This Row],[Age]]&lt;35,"25-34",IF(Table1[[#This Row],[Age]]&lt;45,"35-44",IF(Table1[[#This Row],[Age]]&lt;55,"45-54","55+"))))</f>
        <v>55+</v>
      </c>
      <c r="M732" t="str">
        <f>TEXT(Table1[[#This Row],[Invoice_date]],"mmm")</f>
        <v>May</v>
      </c>
      <c r="N732">
        <f>YEAR(Table1[[#This Row],[Invoice_date]])</f>
        <v>2022</v>
      </c>
    </row>
    <row r="733" spans="1:14" x14ac:dyDescent="0.25">
      <c r="A733" t="s">
        <v>179</v>
      </c>
      <c r="B733" t="s">
        <v>180</v>
      </c>
      <c r="C733" t="s">
        <v>12</v>
      </c>
      <c r="D733">
        <v>67</v>
      </c>
      <c r="E733" t="s">
        <v>21</v>
      </c>
      <c r="F733">
        <v>1</v>
      </c>
      <c r="G733">
        <v>1050</v>
      </c>
      <c r="H733" t="s">
        <v>13</v>
      </c>
      <c r="I733" s="2">
        <v>44396</v>
      </c>
      <c r="J733" t="s">
        <v>50</v>
      </c>
      <c r="K733" s="4">
        <f>Table1[[#This Row],[Quantity]]*Table1[[#This Row],[Price]]</f>
        <v>1050</v>
      </c>
      <c r="L733" t="str">
        <f>IF(Table1[[#This Row],[Age]]&lt;25,"18-24",IF(Table1[[#This Row],[Age]]&lt;35,"25-34",IF(Table1[[#This Row],[Age]]&lt;45,"35-44",IF(Table1[[#This Row],[Age]]&lt;55,"45-54","55+"))))</f>
        <v>55+</v>
      </c>
      <c r="M733" t="str">
        <f>TEXT(Table1[[#This Row],[Invoice_date]],"mmm")</f>
        <v>Jul</v>
      </c>
      <c r="N733">
        <f>YEAR(Table1[[#This Row],[Invoice_date]])</f>
        <v>2021</v>
      </c>
    </row>
    <row r="734" spans="1:14" x14ac:dyDescent="0.25">
      <c r="A734" t="s">
        <v>191</v>
      </c>
      <c r="B734" t="s">
        <v>192</v>
      </c>
      <c r="C734" t="s">
        <v>12</v>
      </c>
      <c r="D734">
        <v>57</v>
      </c>
      <c r="E734" t="s">
        <v>8</v>
      </c>
      <c r="F734">
        <v>4</v>
      </c>
      <c r="G734">
        <v>162.63999999999999</v>
      </c>
      <c r="H734" t="s">
        <v>13</v>
      </c>
      <c r="I734" s="2">
        <v>44906</v>
      </c>
      <c r="J734" t="s">
        <v>33</v>
      </c>
      <c r="K734" s="4">
        <f>Table1[[#This Row],[Quantity]]*Table1[[#This Row],[Price]]</f>
        <v>650.55999999999995</v>
      </c>
      <c r="L734" t="str">
        <f>IF(Table1[[#This Row],[Age]]&lt;25,"18-24",IF(Table1[[#This Row],[Age]]&lt;35,"25-34",IF(Table1[[#This Row],[Age]]&lt;45,"35-44",IF(Table1[[#This Row],[Age]]&lt;55,"45-54","55+"))))</f>
        <v>55+</v>
      </c>
      <c r="M734" t="str">
        <f>TEXT(Table1[[#This Row],[Invoice_date]],"mmm")</f>
        <v>Dec</v>
      </c>
      <c r="N734">
        <f>YEAR(Table1[[#This Row],[Invoice_date]])</f>
        <v>2022</v>
      </c>
    </row>
    <row r="735" spans="1:14" x14ac:dyDescent="0.25">
      <c r="A735" t="s">
        <v>195</v>
      </c>
      <c r="B735" t="s">
        <v>196</v>
      </c>
      <c r="C735" t="s">
        <v>12</v>
      </c>
      <c r="D735">
        <v>67</v>
      </c>
      <c r="E735" t="s">
        <v>49</v>
      </c>
      <c r="F735">
        <v>5</v>
      </c>
      <c r="G735">
        <v>179.2</v>
      </c>
      <c r="H735" t="s">
        <v>4</v>
      </c>
      <c r="I735" s="2">
        <v>44326</v>
      </c>
      <c r="J735" t="s">
        <v>63</v>
      </c>
      <c r="K735" s="4">
        <f>Table1[[#This Row],[Quantity]]*Table1[[#This Row],[Price]]</f>
        <v>896</v>
      </c>
      <c r="L735" t="str">
        <f>IF(Table1[[#This Row],[Age]]&lt;25,"18-24",IF(Table1[[#This Row],[Age]]&lt;35,"25-34",IF(Table1[[#This Row],[Age]]&lt;45,"35-44",IF(Table1[[#This Row],[Age]]&lt;55,"45-54","55+"))))</f>
        <v>55+</v>
      </c>
      <c r="M735" t="str">
        <f>TEXT(Table1[[#This Row],[Invoice_date]],"mmm")</f>
        <v>May</v>
      </c>
      <c r="N735">
        <f>YEAR(Table1[[#This Row],[Invoice_date]])</f>
        <v>2021</v>
      </c>
    </row>
    <row r="736" spans="1:14" x14ac:dyDescent="0.25">
      <c r="A736" t="s">
        <v>201</v>
      </c>
      <c r="B736" t="s">
        <v>202</v>
      </c>
      <c r="C736" t="s">
        <v>12</v>
      </c>
      <c r="D736">
        <v>66</v>
      </c>
      <c r="E736" t="s">
        <v>3</v>
      </c>
      <c r="F736">
        <v>2</v>
      </c>
      <c r="G736">
        <v>600.16</v>
      </c>
      <c r="H736" t="s">
        <v>18</v>
      </c>
      <c r="I736" s="2">
        <v>44786</v>
      </c>
      <c r="J736" t="s">
        <v>33</v>
      </c>
      <c r="K736" s="4">
        <f>Table1[[#This Row],[Quantity]]*Table1[[#This Row],[Price]]</f>
        <v>1200.32</v>
      </c>
      <c r="L736" t="str">
        <f>IF(Table1[[#This Row],[Age]]&lt;25,"18-24",IF(Table1[[#This Row],[Age]]&lt;35,"25-34",IF(Table1[[#This Row],[Age]]&lt;45,"35-44",IF(Table1[[#This Row],[Age]]&lt;55,"45-54","55+"))))</f>
        <v>55+</v>
      </c>
      <c r="M736" t="str">
        <f>TEXT(Table1[[#This Row],[Invoice_date]],"mmm")</f>
        <v>Aug</v>
      </c>
      <c r="N736">
        <f>YEAR(Table1[[#This Row],[Invoice_date]])</f>
        <v>2022</v>
      </c>
    </row>
    <row r="737" spans="1:14" x14ac:dyDescent="0.25">
      <c r="A737" t="s">
        <v>219</v>
      </c>
      <c r="B737" t="s">
        <v>220</v>
      </c>
      <c r="C737" t="s">
        <v>12</v>
      </c>
      <c r="D737">
        <v>58</v>
      </c>
      <c r="E737" t="s">
        <v>3</v>
      </c>
      <c r="F737">
        <v>3</v>
      </c>
      <c r="G737">
        <v>900.24</v>
      </c>
      <c r="H737" t="s">
        <v>18</v>
      </c>
      <c r="I737" s="2">
        <v>44585</v>
      </c>
      <c r="J737" t="s">
        <v>33</v>
      </c>
      <c r="K737" s="4">
        <f>Table1[[#This Row],[Quantity]]*Table1[[#This Row],[Price]]</f>
        <v>2700.7200000000003</v>
      </c>
      <c r="L737" t="str">
        <f>IF(Table1[[#This Row],[Age]]&lt;25,"18-24",IF(Table1[[#This Row],[Age]]&lt;35,"25-34",IF(Table1[[#This Row],[Age]]&lt;45,"35-44",IF(Table1[[#This Row],[Age]]&lt;55,"45-54","55+"))))</f>
        <v>55+</v>
      </c>
      <c r="M737" t="str">
        <f>TEXT(Table1[[#This Row],[Invoice_date]],"mmm")</f>
        <v>Jan</v>
      </c>
      <c r="N737">
        <f>YEAR(Table1[[#This Row],[Invoice_date]])</f>
        <v>2022</v>
      </c>
    </row>
    <row r="738" spans="1:14" x14ac:dyDescent="0.25">
      <c r="A738" t="s">
        <v>225</v>
      </c>
      <c r="B738" t="s">
        <v>226</v>
      </c>
      <c r="C738" t="s">
        <v>12</v>
      </c>
      <c r="D738">
        <v>55</v>
      </c>
      <c r="E738" t="s">
        <v>3</v>
      </c>
      <c r="F738">
        <v>4</v>
      </c>
      <c r="G738">
        <v>1200.32</v>
      </c>
      <c r="H738" t="s">
        <v>4</v>
      </c>
      <c r="I738" s="2">
        <v>44671</v>
      </c>
      <c r="J738" t="s">
        <v>30</v>
      </c>
      <c r="K738" s="4">
        <f>Table1[[#This Row],[Quantity]]*Table1[[#This Row],[Price]]</f>
        <v>4801.28</v>
      </c>
      <c r="L738" t="str">
        <f>IF(Table1[[#This Row],[Age]]&lt;25,"18-24",IF(Table1[[#This Row],[Age]]&lt;35,"25-34",IF(Table1[[#This Row],[Age]]&lt;45,"35-44",IF(Table1[[#This Row],[Age]]&lt;55,"45-54","55+"))))</f>
        <v>55+</v>
      </c>
      <c r="M738" t="str">
        <f>TEXT(Table1[[#This Row],[Invoice_date]],"mmm")</f>
        <v>Apr</v>
      </c>
      <c r="N738">
        <f>YEAR(Table1[[#This Row],[Invoice_date]])</f>
        <v>2022</v>
      </c>
    </row>
    <row r="739" spans="1:14" x14ac:dyDescent="0.25">
      <c r="A739" t="s">
        <v>229</v>
      </c>
      <c r="B739" t="s">
        <v>230</v>
      </c>
      <c r="C739" t="s">
        <v>12</v>
      </c>
      <c r="D739">
        <v>64</v>
      </c>
      <c r="E739" t="s">
        <v>8</v>
      </c>
      <c r="F739">
        <v>4</v>
      </c>
      <c r="G739">
        <v>162.63999999999999</v>
      </c>
      <c r="H739" t="s">
        <v>4</v>
      </c>
      <c r="I739" s="2">
        <v>44882</v>
      </c>
      <c r="J739" t="s">
        <v>24</v>
      </c>
      <c r="K739" s="4">
        <f>Table1[[#This Row],[Quantity]]*Table1[[#This Row],[Price]]</f>
        <v>650.55999999999995</v>
      </c>
      <c r="L739" t="str">
        <f>IF(Table1[[#This Row],[Age]]&lt;25,"18-24",IF(Table1[[#This Row],[Age]]&lt;35,"25-34",IF(Table1[[#This Row],[Age]]&lt;45,"35-44",IF(Table1[[#This Row],[Age]]&lt;55,"45-54","55+"))))</f>
        <v>55+</v>
      </c>
      <c r="M739" t="str">
        <f>TEXT(Table1[[#This Row],[Invoice_date]],"mmm")</f>
        <v>Nov</v>
      </c>
      <c r="N739">
        <f>YEAR(Table1[[#This Row],[Invoice_date]])</f>
        <v>2022</v>
      </c>
    </row>
    <row r="740" spans="1:14" x14ac:dyDescent="0.25">
      <c r="A740" t="s">
        <v>237</v>
      </c>
      <c r="B740" t="s">
        <v>238</v>
      </c>
      <c r="C740" t="s">
        <v>12</v>
      </c>
      <c r="D740">
        <v>59</v>
      </c>
      <c r="E740" t="s">
        <v>49</v>
      </c>
      <c r="F740">
        <v>2</v>
      </c>
      <c r="G740">
        <v>71.680000000000007</v>
      </c>
      <c r="H740" t="s">
        <v>18</v>
      </c>
      <c r="I740" s="2">
        <v>44704</v>
      </c>
      <c r="J740" t="s">
        <v>43</v>
      </c>
      <c r="K740" s="4">
        <f>Table1[[#This Row],[Quantity]]*Table1[[#This Row],[Price]]</f>
        <v>143.36000000000001</v>
      </c>
      <c r="L740" t="str">
        <f>IF(Table1[[#This Row],[Age]]&lt;25,"18-24",IF(Table1[[#This Row],[Age]]&lt;35,"25-34",IF(Table1[[#This Row],[Age]]&lt;45,"35-44",IF(Table1[[#This Row],[Age]]&lt;55,"45-54","55+"))))</f>
        <v>55+</v>
      </c>
      <c r="M740" t="str">
        <f>TEXT(Table1[[#This Row],[Invoice_date]],"mmm")</f>
        <v>May</v>
      </c>
      <c r="N740">
        <f>YEAR(Table1[[#This Row],[Invoice_date]])</f>
        <v>2022</v>
      </c>
    </row>
    <row r="741" spans="1:14" x14ac:dyDescent="0.25">
      <c r="A741" t="s">
        <v>239</v>
      </c>
      <c r="B741" t="s">
        <v>240</v>
      </c>
      <c r="C741" t="s">
        <v>2</v>
      </c>
      <c r="D741">
        <v>66</v>
      </c>
      <c r="E741" t="s">
        <v>8</v>
      </c>
      <c r="F741">
        <v>3</v>
      </c>
      <c r="G741">
        <v>121.98</v>
      </c>
      <c r="H741" t="s">
        <v>13</v>
      </c>
      <c r="I741" s="2">
        <v>44700</v>
      </c>
      <c r="J741" t="s">
        <v>33</v>
      </c>
      <c r="K741" s="4">
        <f>Table1[[#This Row],[Quantity]]*Table1[[#This Row],[Price]]</f>
        <v>365.94</v>
      </c>
      <c r="L741" t="str">
        <f>IF(Table1[[#This Row],[Age]]&lt;25,"18-24",IF(Table1[[#This Row],[Age]]&lt;35,"25-34",IF(Table1[[#This Row],[Age]]&lt;45,"35-44",IF(Table1[[#This Row],[Age]]&lt;55,"45-54","55+"))))</f>
        <v>55+</v>
      </c>
      <c r="M741" t="str">
        <f>TEXT(Table1[[#This Row],[Invoice_date]],"mmm")</f>
        <v>May</v>
      </c>
      <c r="N741">
        <f>YEAR(Table1[[#This Row],[Invoice_date]])</f>
        <v>2022</v>
      </c>
    </row>
    <row r="742" spans="1:14" x14ac:dyDescent="0.25">
      <c r="A742" t="s">
        <v>241</v>
      </c>
      <c r="B742" t="s">
        <v>242</v>
      </c>
      <c r="C742" t="s">
        <v>12</v>
      </c>
      <c r="D742">
        <v>61</v>
      </c>
      <c r="E742" t="s">
        <v>3</v>
      </c>
      <c r="F742">
        <v>5</v>
      </c>
      <c r="G742">
        <v>1500.4</v>
      </c>
      <c r="H742" t="s">
        <v>13</v>
      </c>
      <c r="I742" s="2">
        <v>44925</v>
      </c>
      <c r="J742" t="s">
        <v>50</v>
      </c>
      <c r="K742" s="4">
        <f>Table1[[#This Row],[Quantity]]*Table1[[#This Row],[Price]]</f>
        <v>7502</v>
      </c>
      <c r="L742" t="str">
        <f>IF(Table1[[#This Row],[Age]]&lt;25,"18-24",IF(Table1[[#This Row],[Age]]&lt;35,"25-34",IF(Table1[[#This Row],[Age]]&lt;45,"35-44",IF(Table1[[#This Row],[Age]]&lt;55,"45-54","55+"))))</f>
        <v>55+</v>
      </c>
      <c r="M742" t="str">
        <f>TEXT(Table1[[#This Row],[Invoice_date]],"mmm")</f>
        <v>Dec</v>
      </c>
      <c r="N742">
        <f>YEAR(Table1[[#This Row],[Invoice_date]])</f>
        <v>2022</v>
      </c>
    </row>
    <row r="743" spans="1:14" x14ac:dyDescent="0.25">
      <c r="A743" t="s">
        <v>243</v>
      </c>
      <c r="B743" t="s">
        <v>244</v>
      </c>
      <c r="C743" t="s">
        <v>12</v>
      </c>
      <c r="D743">
        <v>69</v>
      </c>
      <c r="E743" t="s">
        <v>27</v>
      </c>
      <c r="F743">
        <v>3</v>
      </c>
      <c r="G743">
        <v>15.69</v>
      </c>
      <c r="H743" t="s">
        <v>18</v>
      </c>
      <c r="I743" s="2">
        <v>44673</v>
      </c>
      <c r="J743" t="s">
        <v>33</v>
      </c>
      <c r="K743" s="4">
        <f>Table1[[#This Row],[Quantity]]*Table1[[#This Row],[Price]]</f>
        <v>47.07</v>
      </c>
      <c r="L743" t="str">
        <f>IF(Table1[[#This Row],[Age]]&lt;25,"18-24",IF(Table1[[#This Row],[Age]]&lt;35,"25-34",IF(Table1[[#This Row],[Age]]&lt;45,"35-44",IF(Table1[[#This Row],[Age]]&lt;55,"45-54","55+"))))</f>
        <v>55+</v>
      </c>
      <c r="M743" t="str">
        <f>TEXT(Table1[[#This Row],[Invoice_date]],"mmm")</f>
        <v>Apr</v>
      </c>
      <c r="N743">
        <f>YEAR(Table1[[#This Row],[Invoice_date]])</f>
        <v>2022</v>
      </c>
    </row>
    <row r="744" spans="1:14" x14ac:dyDescent="0.25">
      <c r="A744" t="s">
        <v>249</v>
      </c>
      <c r="B744" t="s">
        <v>250</v>
      </c>
      <c r="C744" t="s">
        <v>2</v>
      </c>
      <c r="D744">
        <v>62</v>
      </c>
      <c r="E744" t="s">
        <v>27</v>
      </c>
      <c r="F744">
        <v>2</v>
      </c>
      <c r="G744">
        <v>10.46</v>
      </c>
      <c r="H744" t="s">
        <v>4</v>
      </c>
      <c r="I744" s="2">
        <v>44741</v>
      </c>
      <c r="J744" t="s">
        <v>9</v>
      </c>
      <c r="K744" s="4">
        <f>Table1[[#This Row],[Quantity]]*Table1[[#This Row],[Price]]</f>
        <v>20.92</v>
      </c>
      <c r="L744" t="str">
        <f>IF(Table1[[#This Row],[Age]]&lt;25,"18-24",IF(Table1[[#This Row],[Age]]&lt;35,"25-34",IF(Table1[[#This Row],[Age]]&lt;45,"35-44",IF(Table1[[#This Row],[Age]]&lt;55,"45-54","55+"))))</f>
        <v>55+</v>
      </c>
      <c r="M744" t="str">
        <f>TEXT(Table1[[#This Row],[Invoice_date]],"mmm")</f>
        <v>Jun</v>
      </c>
      <c r="N744">
        <f>YEAR(Table1[[#This Row],[Invoice_date]])</f>
        <v>2022</v>
      </c>
    </row>
    <row r="745" spans="1:14" x14ac:dyDescent="0.25">
      <c r="A745" t="s">
        <v>253</v>
      </c>
      <c r="B745" t="s">
        <v>254</v>
      </c>
      <c r="C745" t="s">
        <v>12</v>
      </c>
      <c r="D745">
        <v>57</v>
      </c>
      <c r="E745" t="s">
        <v>3</v>
      </c>
      <c r="F745">
        <v>5</v>
      </c>
      <c r="G745">
        <v>1500.4</v>
      </c>
      <c r="H745" t="s">
        <v>4</v>
      </c>
      <c r="I745" s="2">
        <v>44859</v>
      </c>
      <c r="J745" t="s">
        <v>33</v>
      </c>
      <c r="K745" s="4">
        <f>Table1[[#This Row],[Quantity]]*Table1[[#This Row],[Price]]</f>
        <v>7502</v>
      </c>
      <c r="L745" t="str">
        <f>IF(Table1[[#This Row],[Age]]&lt;25,"18-24",IF(Table1[[#This Row],[Age]]&lt;35,"25-34",IF(Table1[[#This Row],[Age]]&lt;45,"35-44",IF(Table1[[#This Row],[Age]]&lt;55,"45-54","55+"))))</f>
        <v>55+</v>
      </c>
      <c r="M745" t="str">
        <f>TEXT(Table1[[#This Row],[Invoice_date]],"mmm")</f>
        <v>Oct</v>
      </c>
      <c r="N745">
        <f>YEAR(Table1[[#This Row],[Invoice_date]])</f>
        <v>2022</v>
      </c>
    </row>
    <row r="746" spans="1:14" x14ac:dyDescent="0.25">
      <c r="A746" t="s">
        <v>265</v>
      </c>
      <c r="B746" t="s">
        <v>266</v>
      </c>
      <c r="C746" t="s">
        <v>12</v>
      </c>
      <c r="D746">
        <v>69</v>
      </c>
      <c r="E746" t="s">
        <v>3</v>
      </c>
      <c r="F746">
        <v>1</v>
      </c>
      <c r="G746">
        <v>300.08</v>
      </c>
      <c r="H746" t="s">
        <v>13</v>
      </c>
      <c r="I746" s="2">
        <v>44382</v>
      </c>
      <c r="J746" t="s">
        <v>63</v>
      </c>
      <c r="K746" s="4">
        <f>Table1[[#This Row],[Quantity]]*Table1[[#This Row],[Price]]</f>
        <v>300.08</v>
      </c>
      <c r="L746" t="str">
        <f>IF(Table1[[#This Row],[Age]]&lt;25,"18-24",IF(Table1[[#This Row],[Age]]&lt;35,"25-34",IF(Table1[[#This Row],[Age]]&lt;45,"35-44",IF(Table1[[#This Row],[Age]]&lt;55,"45-54","55+"))))</f>
        <v>55+</v>
      </c>
      <c r="M746" t="str">
        <f>TEXT(Table1[[#This Row],[Invoice_date]],"mmm")</f>
        <v>Jul</v>
      </c>
      <c r="N746">
        <f>YEAR(Table1[[#This Row],[Invoice_date]])</f>
        <v>2021</v>
      </c>
    </row>
    <row r="747" spans="1:14" x14ac:dyDescent="0.25">
      <c r="A747" t="s">
        <v>267</v>
      </c>
      <c r="B747" t="s">
        <v>268</v>
      </c>
      <c r="C747" t="s">
        <v>2</v>
      </c>
      <c r="D747">
        <v>61</v>
      </c>
      <c r="E747" t="s">
        <v>27</v>
      </c>
      <c r="F747">
        <v>5</v>
      </c>
      <c r="G747">
        <v>26.15</v>
      </c>
      <c r="H747" t="s">
        <v>4</v>
      </c>
      <c r="I747" s="2">
        <v>44522</v>
      </c>
      <c r="J747" t="s">
        <v>33</v>
      </c>
      <c r="K747" s="4">
        <f>Table1[[#This Row],[Quantity]]*Table1[[#This Row],[Price]]</f>
        <v>130.75</v>
      </c>
      <c r="L747" t="str">
        <f>IF(Table1[[#This Row],[Age]]&lt;25,"18-24",IF(Table1[[#This Row],[Age]]&lt;35,"25-34",IF(Table1[[#This Row],[Age]]&lt;45,"35-44",IF(Table1[[#This Row],[Age]]&lt;55,"45-54","55+"))))</f>
        <v>55+</v>
      </c>
      <c r="M747" t="str">
        <f>TEXT(Table1[[#This Row],[Invoice_date]],"mmm")</f>
        <v>Nov</v>
      </c>
      <c r="N747">
        <f>YEAR(Table1[[#This Row],[Invoice_date]])</f>
        <v>2021</v>
      </c>
    </row>
    <row r="748" spans="1:14" x14ac:dyDescent="0.25">
      <c r="A748" t="s">
        <v>269</v>
      </c>
      <c r="B748" t="s">
        <v>270</v>
      </c>
      <c r="C748" t="s">
        <v>12</v>
      </c>
      <c r="D748">
        <v>63</v>
      </c>
      <c r="E748" t="s">
        <v>27</v>
      </c>
      <c r="F748">
        <v>1</v>
      </c>
      <c r="G748">
        <v>5.23</v>
      </c>
      <c r="H748" t="s">
        <v>18</v>
      </c>
      <c r="I748" s="2">
        <v>44578</v>
      </c>
      <c r="J748" t="s">
        <v>33</v>
      </c>
      <c r="K748" s="4">
        <f>Table1[[#This Row],[Quantity]]*Table1[[#This Row],[Price]]</f>
        <v>5.23</v>
      </c>
      <c r="L748" t="str">
        <f>IF(Table1[[#This Row],[Age]]&lt;25,"18-24",IF(Table1[[#This Row],[Age]]&lt;35,"25-34",IF(Table1[[#This Row],[Age]]&lt;45,"35-44",IF(Table1[[#This Row],[Age]]&lt;55,"45-54","55+"))))</f>
        <v>55+</v>
      </c>
      <c r="M748" t="str">
        <f>TEXT(Table1[[#This Row],[Invoice_date]],"mmm")</f>
        <v>Jan</v>
      </c>
      <c r="N748">
        <f>YEAR(Table1[[#This Row],[Invoice_date]])</f>
        <v>2022</v>
      </c>
    </row>
    <row r="749" spans="1:14" x14ac:dyDescent="0.25">
      <c r="A749" t="s">
        <v>271</v>
      </c>
      <c r="B749" t="s">
        <v>272</v>
      </c>
      <c r="C749" t="s">
        <v>12</v>
      </c>
      <c r="D749">
        <v>62</v>
      </c>
      <c r="E749" t="s">
        <v>49</v>
      </c>
      <c r="F749">
        <v>3</v>
      </c>
      <c r="G749">
        <v>107.52</v>
      </c>
      <c r="H749" t="s">
        <v>13</v>
      </c>
      <c r="I749" s="2">
        <v>44553</v>
      </c>
      <c r="J749" t="s">
        <v>24</v>
      </c>
      <c r="K749" s="4">
        <f>Table1[[#This Row],[Quantity]]*Table1[[#This Row],[Price]]</f>
        <v>322.56</v>
      </c>
      <c r="L749" t="str">
        <f>IF(Table1[[#This Row],[Age]]&lt;25,"18-24",IF(Table1[[#This Row],[Age]]&lt;35,"25-34",IF(Table1[[#This Row],[Age]]&lt;45,"35-44",IF(Table1[[#This Row],[Age]]&lt;55,"45-54","55+"))))</f>
        <v>55+</v>
      </c>
      <c r="M749" t="str">
        <f>TEXT(Table1[[#This Row],[Invoice_date]],"mmm")</f>
        <v>Dec</v>
      </c>
      <c r="N749">
        <f>YEAR(Table1[[#This Row],[Invoice_date]])</f>
        <v>2021</v>
      </c>
    </row>
    <row r="750" spans="1:14" x14ac:dyDescent="0.25">
      <c r="A750" t="s">
        <v>281</v>
      </c>
      <c r="B750" t="s">
        <v>282</v>
      </c>
      <c r="C750" t="s">
        <v>12</v>
      </c>
      <c r="D750">
        <v>62</v>
      </c>
      <c r="E750" t="s">
        <v>38</v>
      </c>
      <c r="F750">
        <v>4</v>
      </c>
      <c r="G750">
        <v>2400.6799999999998</v>
      </c>
      <c r="H750" t="s">
        <v>18</v>
      </c>
      <c r="I750" s="2">
        <v>44212</v>
      </c>
      <c r="J750" t="s">
        <v>24</v>
      </c>
      <c r="K750" s="4">
        <f>Table1[[#This Row],[Quantity]]*Table1[[#This Row],[Price]]</f>
        <v>9602.7199999999993</v>
      </c>
      <c r="L750" t="str">
        <f>IF(Table1[[#This Row],[Age]]&lt;25,"18-24",IF(Table1[[#This Row],[Age]]&lt;35,"25-34",IF(Table1[[#This Row],[Age]]&lt;45,"35-44",IF(Table1[[#This Row],[Age]]&lt;55,"45-54","55+"))))</f>
        <v>55+</v>
      </c>
      <c r="M750" t="str">
        <f>TEXT(Table1[[#This Row],[Invoice_date]],"mmm")</f>
        <v>Jan</v>
      </c>
      <c r="N750">
        <f>YEAR(Table1[[#This Row],[Invoice_date]])</f>
        <v>2021</v>
      </c>
    </row>
    <row r="751" spans="1:14" x14ac:dyDescent="0.25">
      <c r="A751" t="s">
        <v>285</v>
      </c>
      <c r="B751" t="s">
        <v>286</v>
      </c>
      <c r="C751" t="s">
        <v>12</v>
      </c>
      <c r="D751">
        <v>64</v>
      </c>
      <c r="E751" t="s">
        <v>8</v>
      </c>
      <c r="F751">
        <v>1</v>
      </c>
      <c r="G751">
        <v>40.659999999999997</v>
      </c>
      <c r="H751" t="s">
        <v>18</v>
      </c>
      <c r="I751" s="2">
        <v>44503</v>
      </c>
      <c r="J751" t="s">
        <v>14</v>
      </c>
      <c r="K751" s="4">
        <f>Table1[[#This Row],[Quantity]]*Table1[[#This Row],[Price]]</f>
        <v>40.659999999999997</v>
      </c>
      <c r="L751" t="str">
        <f>IF(Table1[[#This Row],[Age]]&lt;25,"18-24",IF(Table1[[#This Row],[Age]]&lt;35,"25-34",IF(Table1[[#This Row],[Age]]&lt;45,"35-44",IF(Table1[[#This Row],[Age]]&lt;55,"45-54","55+"))))</f>
        <v>55+</v>
      </c>
      <c r="M751" t="str">
        <f>TEXT(Table1[[#This Row],[Invoice_date]],"mmm")</f>
        <v>Nov</v>
      </c>
      <c r="N751">
        <f>YEAR(Table1[[#This Row],[Invoice_date]])</f>
        <v>2021</v>
      </c>
    </row>
    <row r="752" spans="1:14" x14ac:dyDescent="0.25">
      <c r="A752" t="s">
        <v>287</v>
      </c>
      <c r="B752" t="s">
        <v>288</v>
      </c>
      <c r="C752" t="s">
        <v>2</v>
      </c>
      <c r="D752">
        <v>62</v>
      </c>
      <c r="E752" t="s">
        <v>8</v>
      </c>
      <c r="F752">
        <v>3</v>
      </c>
      <c r="G752">
        <v>121.98</v>
      </c>
      <c r="H752" t="s">
        <v>18</v>
      </c>
      <c r="I752" s="2">
        <v>44363</v>
      </c>
      <c r="J752" t="s">
        <v>33</v>
      </c>
      <c r="K752" s="4">
        <f>Table1[[#This Row],[Quantity]]*Table1[[#This Row],[Price]]</f>
        <v>365.94</v>
      </c>
      <c r="L752" t="str">
        <f>IF(Table1[[#This Row],[Age]]&lt;25,"18-24",IF(Table1[[#This Row],[Age]]&lt;35,"25-34",IF(Table1[[#This Row],[Age]]&lt;45,"35-44",IF(Table1[[#This Row],[Age]]&lt;55,"45-54","55+"))))</f>
        <v>55+</v>
      </c>
      <c r="M752" t="str">
        <f>TEXT(Table1[[#This Row],[Invoice_date]],"mmm")</f>
        <v>Jun</v>
      </c>
      <c r="N752">
        <f>YEAR(Table1[[#This Row],[Invoice_date]])</f>
        <v>2021</v>
      </c>
    </row>
    <row r="753" spans="1:14" x14ac:dyDescent="0.25">
      <c r="A753" t="s">
        <v>293</v>
      </c>
      <c r="B753" t="s">
        <v>294</v>
      </c>
      <c r="C753" t="s">
        <v>2</v>
      </c>
      <c r="D753">
        <v>56</v>
      </c>
      <c r="E753" t="s">
        <v>46</v>
      </c>
      <c r="F753">
        <v>2</v>
      </c>
      <c r="G753">
        <v>23.46</v>
      </c>
      <c r="H753" t="s">
        <v>13</v>
      </c>
      <c r="I753" s="2">
        <v>44936</v>
      </c>
      <c r="J753" t="s">
        <v>14</v>
      </c>
      <c r="K753" s="4">
        <f>Table1[[#This Row],[Quantity]]*Table1[[#This Row],[Price]]</f>
        <v>46.92</v>
      </c>
      <c r="L753" t="str">
        <f>IF(Table1[[#This Row],[Age]]&lt;25,"18-24",IF(Table1[[#This Row],[Age]]&lt;35,"25-34",IF(Table1[[#This Row],[Age]]&lt;45,"35-44",IF(Table1[[#This Row],[Age]]&lt;55,"45-54","55+"))))</f>
        <v>55+</v>
      </c>
      <c r="M753" t="str">
        <f>TEXT(Table1[[#This Row],[Invoice_date]],"mmm")</f>
        <v>Jan</v>
      </c>
      <c r="N753">
        <f>YEAR(Table1[[#This Row],[Invoice_date]])</f>
        <v>2023</v>
      </c>
    </row>
    <row r="754" spans="1:14" x14ac:dyDescent="0.25">
      <c r="A754" t="s">
        <v>299</v>
      </c>
      <c r="B754" t="s">
        <v>300</v>
      </c>
      <c r="C754" t="s">
        <v>12</v>
      </c>
      <c r="D754">
        <v>69</v>
      </c>
      <c r="E754" t="s">
        <v>8</v>
      </c>
      <c r="F754">
        <v>3</v>
      </c>
      <c r="G754">
        <v>121.98</v>
      </c>
      <c r="H754" t="s">
        <v>18</v>
      </c>
      <c r="I754" s="2">
        <v>44383</v>
      </c>
      <c r="J754" t="s">
        <v>9</v>
      </c>
      <c r="K754" s="4">
        <f>Table1[[#This Row],[Quantity]]*Table1[[#This Row],[Price]]</f>
        <v>365.94</v>
      </c>
      <c r="L754" t="str">
        <f>IF(Table1[[#This Row],[Age]]&lt;25,"18-24",IF(Table1[[#This Row],[Age]]&lt;35,"25-34",IF(Table1[[#This Row],[Age]]&lt;45,"35-44",IF(Table1[[#This Row],[Age]]&lt;55,"45-54","55+"))))</f>
        <v>55+</v>
      </c>
      <c r="M754" t="str">
        <f>TEXT(Table1[[#This Row],[Invoice_date]],"mmm")</f>
        <v>Jul</v>
      </c>
      <c r="N754">
        <f>YEAR(Table1[[#This Row],[Invoice_date]])</f>
        <v>2021</v>
      </c>
    </row>
    <row r="755" spans="1:14" x14ac:dyDescent="0.25">
      <c r="A755" t="s">
        <v>307</v>
      </c>
      <c r="B755" t="s">
        <v>308</v>
      </c>
      <c r="C755" t="s">
        <v>2</v>
      </c>
      <c r="D755">
        <v>61</v>
      </c>
      <c r="E755" t="s">
        <v>8</v>
      </c>
      <c r="F755">
        <v>4</v>
      </c>
      <c r="G755">
        <v>162.63999999999999</v>
      </c>
      <c r="H755" t="s">
        <v>4</v>
      </c>
      <c r="I755" s="2">
        <v>44391</v>
      </c>
      <c r="J755" t="s">
        <v>14</v>
      </c>
      <c r="K755" s="4">
        <f>Table1[[#This Row],[Quantity]]*Table1[[#This Row],[Price]]</f>
        <v>650.55999999999995</v>
      </c>
      <c r="L755" t="str">
        <f>IF(Table1[[#This Row],[Age]]&lt;25,"18-24",IF(Table1[[#This Row],[Age]]&lt;35,"25-34",IF(Table1[[#This Row],[Age]]&lt;45,"35-44",IF(Table1[[#This Row],[Age]]&lt;55,"45-54","55+"))))</f>
        <v>55+</v>
      </c>
      <c r="M755" t="str">
        <f>TEXT(Table1[[#This Row],[Invoice_date]],"mmm")</f>
        <v>Jul</v>
      </c>
      <c r="N755">
        <f>YEAR(Table1[[#This Row],[Invoice_date]])</f>
        <v>2021</v>
      </c>
    </row>
    <row r="756" spans="1:14" x14ac:dyDescent="0.25">
      <c r="A756" t="s">
        <v>319</v>
      </c>
      <c r="B756" t="s">
        <v>320</v>
      </c>
      <c r="C756" t="s">
        <v>12</v>
      </c>
      <c r="D756">
        <v>56</v>
      </c>
      <c r="E756" t="s">
        <v>46</v>
      </c>
      <c r="F756">
        <v>5</v>
      </c>
      <c r="G756">
        <v>58.65</v>
      </c>
      <c r="H756" t="s">
        <v>4</v>
      </c>
      <c r="I756" s="2">
        <v>44808</v>
      </c>
      <c r="J756" t="s">
        <v>50</v>
      </c>
      <c r="K756" s="4">
        <f>Table1[[#This Row],[Quantity]]*Table1[[#This Row],[Price]]</f>
        <v>293.25</v>
      </c>
      <c r="L756" t="str">
        <f>IF(Table1[[#This Row],[Age]]&lt;25,"18-24",IF(Table1[[#This Row],[Age]]&lt;35,"25-34",IF(Table1[[#This Row],[Age]]&lt;45,"35-44",IF(Table1[[#This Row],[Age]]&lt;55,"45-54","55+"))))</f>
        <v>55+</v>
      </c>
      <c r="M756" t="str">
        <f>TEXT(Table1[[#This Row],[Invoice_date]],"mmm")</f>
        <v>Sep</v>
      </c>
      <c r="N756">
        <f>YEAR(Table1[[#This Row],[Invoice_date]])</f>
        <v>2022</v>
      </c>
    </row>
    <row r="757" spans="1:14" x14ac:dyDescent="0.25">
      <c r="A757" t="s">
        <v>329</v>
      </c>
      <c r="B757" t="s">
        <v>330</v>
      </c>
      <c r="C757" t="s">
        <v>12</v>
      </c>
      <c r="D757">
        <v>57</v>
      </c>
      <c r="E757" t="s">
        <v>3</v>
      </c>
      <c r="F757">
        <v>1</v>
      </c>
      <c r="G757">
        <v>300.08</v>
      </c>
      <c r="H757" t="s">
        <v>4</v>
      </c>
      <c r="I757" s="2">
        <v>44575</v>
      </c>
      <c r="J757" t="s">
        <v>14</v>
      </c>
      <c r="K757" s="4">
        <f>Table1[[#This Row],[Quantity]]*Table1[[#This Row],[Price]]</f>
        <v>300.08</v>
      </c>
      <c r="L757" t="str">
        <f>IF(Table1[[#This Row],[Age]]&lt;25,"18-24",IF(Table1[[#This Row],[Age]]&lt;35,"25-34",IF(Table1[[#This Row],[Age]]&lt;45,"35-44",IF(Table1[[#This Row],[Age]]&lt;55,"45-54","55+"))))</f>
        <v>55+</v>
      </c>
      <c r="M757" t="str">
        <f>TEXT(Table1[[#This Row],[Invoice_date]],"mmm")</f>
        <v>Jan</v>
      </c>
      <c r="N757">
        <f>YEAR(Table1[[#This Row],[Invoice_date]])</f>
        <v>2022</v>
      </c>
    </row>
    <row r="758" spans="1:14" x14ac:dyDescent="0.25">
      <c r="A758" t="s">
        <v>343</v>
      </c>
      <c r="B758" t="s">
        <v>344</v>
      </c>
      <c r="C758" t="s">
        <v>2</v>
      </c>
      <c r="D758">
        <v>57</v>
      </c>
      <c r="E758" t="s">
        <v>38</v>
      </c>
      <c r="F758">
        <v>4</v>
      </c>
      <c r="G758">
        <v>2400.6799999999998</v>
      </c>
      <c r="H758" t="s">
        <v>18</v>
      </c>
      <c r="I758" s="2">
        <v>44284</v>
      </c>
      <c r="J758" t="s">
        <v>33</v>
      </c>
      <c r="K758" s="4">
        <f>Table1[[#This Row],[Quantity]]*Table1[[#This Row],[Price]]</f>
        <v>9602.7199999999993</v>
      </c>
      <c r="L758" t="str">
        <f>IF(Table1[[#This Row],[Age]]&lt;25,"18-24",IF(Table1[[#This Row],[Age]]&lt;35,"25-34",IF(Table1[[#This Row],[Age]]&lt;45,"35-44",IF(Table1[[#This Row],[Age]]&lt;55,"45-54","55+"))))</f>
        <v>55+</v>
      </c>
      <c r="M758" t="str">
        <f>TEXT(Table1[[#This Row],[Invoice_date]],"mmm")</f>
        <v>Mar</v>
      </c>
      <c r="N758">
        <f>YEAR(Table1[[#This Row],[Invoice_date]])</f>
        <v>2021</v>
      </c>
    </row>
    <row r="759" spans="1:14" x14ac:dyDescent="0.25">
      <c r="A759" t="s">
        <v>345</v>
      </c>
      <c r="B759" t="s">
        <v>346</v>
      </c>
      <c r="C759" t="s">
        <v>2</v>
      </c>
      <c r="D759">
        <v>56</v>
      </c>
      <c r="E759" t="s">
        <v>49</v>
      </c>
      <c r="F759">
        <v>3</v>
      </c>
      <c r="G759">
        <v>107.52</v>
      </c>
      <c r="H759" t="s">
        <v>13</v>
      </c>
      <c r="I759" s="2">
        <v>44549</v>
      </c>
      <c r="J759" t="s">
        <v>24</v>
      </c>
      <c r="K759" s="4">
        <f>Table1[[#This Row],[Quantity]]*Table1[[#This Row],[Price]]</f>
        <v>322.56</v>
      </c>
      <c r="L759" t="str">
        <f>IF(Table1[[#This Row],[Age]]&lt;25,"18-24",IF(Table1[[#This Row],[Age]]&lt;35,"25-34",IF(Table1[[#This Row],[Age]]&lt;45,"35-44",IF(Table1[[#This Row],[Age]]&lt;55,"45-54","55+"))))</f>
        <v>55+</v>
      </c>
      <c r="M759" t="str">
        <f>TEXT(Table1[[#This Row],[Invoice_date]],"mmm")</f>
        <v>Dec</v>
      </c>
      <c r="N759">
        <f>YEAR(Table1[[#This Row],[Invoice_date]])</f>
        <v>2021</v>
      </c>
    </row>
    <row r="760" spans="1:14" x14ac:dyDescent="0.25">
      <c r="A760" t="s">
        <v>349</v>
      </c>
      <c r="B760" t="s">
        <v>350</v>
      </c>
      <c r="C760" t="s">
        <v>12</v>
      </c>
      <c r="D760">
        <v>63</v>
      </c>
      <c r="E760" t="s">
        <v>21</v>
      </c>
      <c r="F760">
        <v>5</v>
      </c>
      <c r="G760">
        <v>5250</v>
      </c>
      <c r="H760" t="s">
        <v>4</v>
      </c>
      <c r="I760" s="2">
        <v>44960</v>
      </c>
      <c r="J760" t="s">
        <v>63</v>
      </c>
      <c r="K760" s="4">
        <f>Table1[[#This Row],[Quantity]]*Table1[[#This Row],[Price]]</f>
        <v>26250</v>
      </c>
      <c r="L760" t="str">
        <f>IF(Table1[[#This Row],[Age]]&lt;25,"18-24",IF(Table1[[#This Row],[Age]]&lt;35,"25-34",IF(Table1[[#This Row],[Age]]&lt;45,"35-44",IF(Table1[[#This Row],[Age]]&lt;55,"45-54","55+"))))</f>
        <v>55+</v>
      </c>
      <c r="M760" t="str">
        <f>TEXT(Table1[[#This Row],[Invoice_date]],"mmm")</f>
        <v>Feb</v>
      </c>
      <c r="N760">
        <f>YEAR(Table1[[#This Row],[Invoice_date]])</f>
        <v>2023</v>
      </c>
    </row>
    <row r="761" spans="1:14" x14ac:dyDescent="0.25">
      <c r="A761" t="s">
        <v>357</v>
      </c>
      <c r="B761" t="s">
        <v>358</v>
      </c>
      <c r="C761" t="s">
        <v>12</v>
      </c>
      <c r="D761">
        <v>59</v>
      </c>
      <c r="E761" t="s">
        <v>38</v>
      </c>
      <c r="F761">
        <v>2</v>
      </c>
      <c r="G761">
        <v>1200.3399999999999</v>
      </c>
      <c r="H761" t="s">
        <v>4</v>
      </c>
      <c r="I761" s="2">
        <v>44286</v>
      </c>
      <c r="J761" t="s">
        <v>14</v>
      </c>
      <c r="K761" s="4">
        <f>Table1[[#This Row],[Quantity]]*Table1[[#This Row],[Price]]</f>
        <v>2400.6799999999998</v>
      </c>
      <c r="L761" t="str">
        <f>IF(Table1[[#This Row],[Age]]&lt;25,"18-24",IF(Table1[[#This Row],[Age]]&lt;35,"25-34",IF(Table1[[#This Row],[Age]]&lt;45,"35-44",IF(Table1[[#This Row],[Age]]&lt;55,"45-54","55+"))))</f>
        <v>55+</v>
      </c>
      <c r="M761" t="str">
        <f>TEXT(Table1[[#This Row],[Invoice_date]],"mmm")</f>
        <v>Mar</v>
      </c>
      <c r="N761">
        <f>YEAR(Table1[[#This Row],[Invoice_date]])</f>
        <v>2021</v>
      </c>
    </row>
    <row r="762" spans="1:14" x14ac:dyDescent="0.25">
      <c r="A762" t="s">
        <v>371</v>
      </c>
      <c r="B762" t="s">
        <v>372</v>
      </c>
      <c r="C762" t="s">
        <v>12</v>
      </c>
      <c r="D762">
        <v>62</v>
      </c>
      <c r="E762" t="s">
        <v>46</v>
      </c>
      <c r="F762">
        <v>3</v>
      </c>
      <c r="G762">
        <v>35.19</v>
      </c>
      <c r="H762" t="s">
        <v>13</v>
      </c>
      <c r="I762" s="2">
        <v>44656</v>
      </c>
      <c r="J762" t="s">
        <v>33</v>
      </c>
      <c r="K762" s="4">
        <f>Table1[[#This Row],[Quantity]]*Table1[[#This Row],[Price]]</f>
        <v>105.57</v>
      </c>
      <c r="L762" t="str">
        <f>IF(Table1[[#This Row],[Age]]&lt;25,"18-24",IF(Table1[[#This Row],[Age]]&lt;35,"25-34",IF(Table1[[#This Row],[Age]]&lt;45,"35-44",IF(Table1[[#This Row],[Age]]&lt;55,"45-54","55+"))))</f>
        <v>55+</v>
      </c>
      <c r="M762" t="str">
        <f>TEXT(Table1[[#This Row],[Invoice_date]],"mmm")</f>
        <v>Apr</v>
      </c>
      <c r="N762">
        <f>YEAR(Table1[[#This Row],[Invoice_date]])</f>
        <v>2022</v>
      </c>
    </row>
    <row r="763" spans="1:14" x14ac:dyDescent="0.25">
      <c r="A763" t="s">
        <v>373</v>
      </c>
      <c r="B763" t="s">
        <v>374</v>
      </c>
      <c r="C763" t="s">
        <v>12</v>
      </c>
      <c r="D763">
        <v>65</v>
      </c>
      <c r="E763" t="s">
        <v>3</v>
      </c>
      <c r="F763">
        <v>3</v>
      </c>
      <c r="G763">
        <v>900.24</v>
      </c>
      <c r="H763" t="s">
        <v>4</v>
      </c>
      <c r="I763" s="2">
        <v>44580</v>
      </c>
      <c r="J763" t="s">
        <v>74</v>
      </c>
      <c r="K763" s="4">
        <f>Table1[[#This Row],[Quantity]]*Table1[[#This Row],[Price]]</f>
        <v>2700.7200000000003</v>
      </c>
      <c r="L763" t="str">
        <f>IF(Table1[[#This Row],[Age]]&lt;25,"18-24",IF(Table1[[#This Row],[Age]]&lt;35,"25-34",IF(Table1[[#This Row],[Age]]&lt;45,"35-44",IF(Table1[[#This Row],[Age]]&lt;55,"45-54","55+"))))</f>
        <v>55+</v>
      </c>
      <c r="M763" t="str">
        <f>TEXT(Table1[[#This Row],[Invoice_date]],"mmm")</f>
        <v>Jan</v>
      </c>
      <c r="N763">
        <f>YEAR(Table1[[#This Row],[Invoice_date]])</f>
        <v>2022</v>
      </c>
    </row>
    <row r="764" spans="1:14" x14ac:dyDescent="0.25">
      <c r="A764" t="s">
        <v>377</v>
      </c>
      <c r="B764" t="s">
        <v>378</v>
      </c>
      <c r="C764" t="s">
        <v>12</v>
      </c>
      <c r="D764">
        <v>65</v>
      </c>
      <c r="E764" t="s">
        <v>46</v>
      </c>
      <c r="F764">
        <v>2</v>
      </c>
      <c r="G764">
        <v>23.46</v>
      </c>
      <c r="H764" t="s">
        <v>4</v>
      </c>
      <c r="I764" s="2">
        <v>44326</v>
      </c>
      <c r="J764" t="s">
        <v>74</v>
      </c>
      <c r="K764" s="4">
        <f>Table1[[#This Row],[Quantity]]*Table1[[#This Row],[Price]]</f>
        <v>46.92</v>
      </c>
      <c r="L764" t="str">
        <f>IF(Table1[[#This Row],[Age]]&lt;25,"18-24",IF(Table1[[#This Row],[Age]]&lt;35,"25-34",IF(Table1[[#This Row],[Age]]&lt;45,"35-44",IF(Table1[[#This Row],[Age]]&lt;55,"45-54","55+"))))</f>
        <v>55+</v>
      </c>
      <c r="M764" t="str">
        <f>TEXT(Table1[[#This Row],[Invoice_date]],"mmm")</f>
        <v>May</v>
      </c>
      <c r="N764">
        <f>YEAR(Table1[[#This Row],[Invoice_date]])</f>
        <v>2021</v>
      </c>
    </row>
    <row r="765" spans="1:14" x14ac:dyDescent="0.25">
      <c r="A765" t="s">
        <v>401</v>
      </c>
      <c r="B765" t="s">
        <v>402</v>
      </c>
      <c r="C765" t="s">
        <v>2</v>
      </c>
      <c r="D765">
        <v>66</v>
      </c>
      <c r="E765" t="s">
        <v>3</v>
      </c>
      <c r="F765">
        <v>1</v>
      </c>
      <c r="G765">
        <v>300.08</v>
      </c>
      <c r="H765" t="s">
        <v>13</v>
      </c>
      <c r="I765" s="2">
        <v>44933</v>
      </c>
      <c r="J765" t="s">
        <v>30</v>
      </c>
      <c r="K765" s="4">
        <f>Table1[[#This Row],[Quantity]]*Table1[[#This Row],[Price]]</f>
        <v>300.08</v>
      </c>
      <c r="L765" t="str">
        <f>IF(Table1[[#This Row],[Age]]&lt;25,"18-24",IF(Table1[[#This Row],[Age]]&lt;35,"25-34",IF(Table1[[#This Row],[Age]]&lt;45,"35-44",IF(Table1[[#This Row],[Age]]&lt;55,"45-54","55+"))))</f>
        <v>55+</v>
      </c>
      <c r="M765" t="str">
        <f>TEXT(Table1[[#This Row],[Invoice_date]],"mmm")</f>
        <v>Jan</v>
      </c>
      <c r="N765">
        <f>YEAR(Table1[[#This Row],[Invoice_date]])</f>
        <v>2023</v>
      </c>
    </row>
    <row r="766" spans="1:14" x14ac:dyDescent="0.25">
      <c r="A766" t="s">
        <v>403</v>
      </c>
      <c r="B766" t="s">
        <v>404</v>
      </c>
      <c r="C766" t="s">
        <v>12</v>
      </c>
      <c r="D766">
        <v>67</v>
      </c>
      <c r="E766" t="s">
        <v>3</v>
      </c>
      <c r="F766">
        <v>1</v>
      </c>
      <c r="G766">
        <v>300.08</v>
      </c>
      <c r="H766" t="s">
        <v>4</v>
      </c>
      <c r="I766" s="2">
        <v>44407</v>
      </c>
      <c r="J766" t="s">
        <v>74</v>
      </c>
      <c r="K766" s="4">
        <f>Table1[[#This Row],[Quantity]]*Table1[[#This Row],[Price]]</f>
        <v>300.08</v>
      </c>
      <c r="L766" t="str">
        <f>IF(Table1[[#This Row],[Age]]&lt;25,"18-24",IF(Table1[[#This Row],[Age]]&lt;35,"25-34",IF(Table1[[#This Row],[Age]]&lt;45,"35-44",IF(Table1[[#This Row],[Age]]&lt;55,"45-54","55+"))))</f>
        <v>55+</v>
      </c>
      <c r="M766" t="str">
        <f>TEXT(Table1[[#This Row],[Invoice_date]],"mmm")</f>
        <v>Jul</v>
      </c>
      <c r="N766">
        <f>YEAR(Table1[[#This Row],[Invoice_date]])</f>
        <v>2021</v>
      </c>
    </row>
    <row r="767" spans="1:14" x14ac:dyDescent="0.25">
      <c r="A767" t="s">
        <v>405</v>
      </c>
      <c r="B767" t="s">
        <v>406</v>
      </c>
      <c r="C767" t="s">
        <v>12</v>
      </c>
      <c r="D767">
        <v>67</v>
      </c>
      <c r="E767" t="s">
        <v>38</v>
      </c>
      <c r="F767">
        <v>4</v>
      </c>
      <c r="G767">
        <v>2400.6799999999998</v>
      </c>
      <c r="H767" t="s">
        <v>4</v>
      </c>
      <c r="I767" s="2">
        <v>44985</v>
      </c>
      <c r="J767" t="s">
        <v>30</v>
      </c>
      <c r="K767" s="4">
        <f>Table1[[#This Row],[Quantity]]*Table1[[#This Row],[Price]]</f>
        <v>9602.7199999999993</v>
      </c>
      <c r="L767" t="str">
        <f>IF(Table1[[#This Row],[Age]]&lt;25,"18-24",IF(Table1[[#This Row],[Age]]&lt;35,"25-34",IF(Table1[[#This Row],[Age]]&lt;45,"35-44",IF(Table1[[#This Row],[Age]]&lt;55,"45-54","55+"))))</f>
        <v>55+</v>
      </c>
      <c r="M767" t="str">
        <f>TEXT(Table1[[#This Row],[Invoice_date]],"mmm")</f>
        <v>Feb</v>
      </c>
      <c r="N767">
        <f>YEAR(Table1[[#This Row],[Invoice_date]])</f>
        <v>2023</v>
      </c>
    </row>
    <row r="768" spans="1:14" x14ac:dyDescent="0.25">
      <c r="A768" t="s">
        <v>409</v>
      </c>
      <c r="B768" t="s">
        <v>410</v>
      </c>
      <c r="C768" t="s">
        <v>12</v>
      </c>
      <c r="D768">
        <v>68</v>
      </c>
      <c r="E768" t="s">
        <v>49</v>
      </c>
      <c r="F768">
        <v>3</v>
      </c>
      <c r="G768">
        <v>107.52</v>
      </c>
      <c r="H768" t="s">
        <v>4</v>
      </c>
      <c r="I768" s="2">
        <v>44818</v>
      </c>
      <c r="J768" t="s">
        <v>63</v>
      </c>
      <c r="K768" s="4">
        <f>Table1[[#This Row],[Quantity]]*Table1[[#This Row],[Price]]</f>
        <v>322.56</v>
      </c>
      <c r="L768" t="str">
        <f>IF(Table1[[#This Row],[Age]]&lt;25,"18-24",IF(Table1[[#This Row],[Age]]&lt;35,"25-34",IF(Table1[[#This Row],[Age]]&lt;45,"35-44",IF(Table1[[#This Row],[Age]]&lt;55,"45-54","55+"))))</f>
        <v>55+</v>
      </c>
      <c r="M768" t="str">
        <f>TEXT(Table1[[#This Row],[Invoice_date]],"mmm")</f>
        <v>Sep</v>
      </c>
      <c r="N768">
        <f>YEAR(Table1[[#This Row],[Invoice_date]])</f>
        <v>2022</v>
      </c>
    </row>
    <row r="769" spans="1:14" x14ac:dyDescent="0.25">
      <c r="A769" t="s">
        <v>411</v>
      </c>
      <c r="B769" t="s">
        <v>412</v>
      </c>
      <c r="C769" t="s">
        <v>12</v>
      </c>
      <c r="D769">
        <v>66</v>
      </c>
      <c r="E769" t="s">
        <v>3</v>
      </c>
      <c r="F769">
        <v>2</v>
      </c>
      <c r="G769">
        <v>600.16</v>
      </c>
      <c r="H769" t="s">
        <v>4</v>
      </c>
      <c r="I769" s="2">
        <v>44502</v>
      </c>
      <c r="J769" t="s">
        <v>74</v>
      </c>
      <c r="K769" s="4">
        <f>Table1[[#This Row],[Quantity]]*Table1[[#This Row],[Price]]</f>
        <v>1200.32</v>
      </c>
      <c r="L769" t="str">
        <f>IF(Table1[[#This Row],[Age]]&lt;25,"18-24",IF(Table1[[#This Row],[Age]]&lt;35,"25-34",IF(Table1[[#This Row],[Age]]&lt;45,"35-44",IF(Table1[[#This Row],[Age]]&lt;55,"45-54","55+"))))</f>
        <v>55+</v>
      </c>
      <c r="M769" t="str">
        <f>TEXT(Table1[[#This Row],[Invoice_date]],"mmm")</f>
        <v>Nov</v>
      </c>
      <c r="N769">
        <f>YEAR(Table1[[#This Row],[Invoice_date]])</f>
        <v>2021</v>
      </c>
    </row>
    <row r="770" spans="1:14" x14ac:dyDescent="0.25">
      <c r="A770" t="s">
        <v>413</v>
      </c>
      <c r="B770" t="s">
        <v>414</v>
      </c>
      <c r="C770" t="s">
        <v>12</v>
      </c>
      <c r="D770">
        <v>62</v>
      </c>
      <c r="E770" t="s">
        <v>3</v>
      </c>
      <c r="F770">
        <v>2</v>
      </c>
      <c r="G770">
        <v>600.16</v>
      </c>
      <c r="H770" t="s">
        <v>18</v>
      </c>
      <c r="I770" s="2">
        <v>44638</v>
      </c>
      <c r="J770" t="s">
        <v>74</v>
      </c>
      <c r="K770" s="4">
        <f>Table1[[#This Row],[Quantity]]*Table1[[#This Row],[Price]]</f>
        <v>1200.32</v>
      </c>
      <c r="L770" t="str">
        <f>IF(Table1[[#This Row],[Age]]&lt;25,"18-24",IF(Table1[[#This Row],[Age]]&lt;35,"25-34",IF(Table1[[#This Row],[Age]]&lt;45,"35-44",IF(Table1[[#This Row],[Age]]&lt;55,"45-54","55+"))))</f>
        <v>55+</v>
      </c>
      <c r="M770" t="str">
        <f>TEXT(Table1[[#This Row],[Invoice_date]],"mmm")</f>
        <v>Mar</v>
      </c>
      <c r="N770">
        <f>YEAR(Table1[[#This Row],[Invoice_date]])</f>
        <v>2022</v>
      </c>
    </row>
    <row r="771" spans="1:14" x14ac:dyDescent="0.25">
      <c r="A771" t="s">
        <v>423</v>
      </c>
      <c r="B771" t="s">
        <v>424</v>
      </c>
      <c r="C771" t="s">
        <v>2</v>
      </c>
      <c r="D771">
        <v>60</v>
      </c>
      <c r="E771" t="s">
        <v>3</v>
      </c>
      <c r="F771">
        <v>5</v>
      </c>
      <c r="G771">
        <v>1500.4</v>
      </c>
      <c r="H771" t="s">
        <v>13</v>
      </c>
      <c r="I771" s="2">
        <v>44527</v>
      </c>
      <c r="J771" t="s">
        <v>33</v>
      </c>
      <c r="K771" s="4">
        <f>Table1[[#This Row],[Quantity]]*Table1[[#This Row],[Price]]</f>
        <v>7502</v>
      </c>
      <c r="L771" t="str">
        <f>IF(Table1[[#This Row],[Age]]&lt;25,"18-24",IF(Table1[[#This Row],[Age]]&lt;35,"25-34",IF(Table1[[#This Row],[Age]]&lt;45,"35-44",IF(Table1[[#This Row],[Age]]&lt;55,"45-54","55+"))))</f>
        <v>55+</v>
      </c>
      <c r="M771" t="str">
        <f>TEXT(Table1[[#This Row],[Invoice_date]],"mmm")</f>
        <v>Nov</v>
      </c>
      <c r="N771">
        <f>YEAR(Table1[[#This Row],[Invoice_date]])</f>
        <v>2021</v>
      </c>
    </row>
    <row r="772" spans="1:14" x14ac:dyDescent="0.25">
      <c r="A772" t="s">
        <v>425</v>
      </c>
      <c r="B772" t="s">
        <v>426</v>
      </c>
      <c r="C772" t="s">
        <v>2</v>
      </c>
      <c r="D772">
        <v>64</v>
      </c>
      <c r="E772" t="s">
        <v>17</v>
      </c>
      <c r="F772">
        <v>5</v>
      </c>
      <c r="G772">
        <v>75.75</v>
      </c>
      <c r="H772" t="s">
        <v>13</v>
      </c>
      <c r="I772" s="2">
        <v>44657</v>
      </c>
      <c r="J772" t="s">
        <v>14</v>
      </c>
      <c r="K772" s="4">
        <f>Table1[[#This Row],[Quantity]]*Table1[[#This Row],[Price]]</f>
        <v>378.75</v>
      </c>
      <c r="L772" t="str">
        <f>IF(Table1[[#This Row],[Age]]&lt;25,"18-24",IF(Table1[[#This Row],[Age]]&lt;35,"25-34",IF(Table1[[#This Row],[Age]]&lt;45,"35-44",IF(Table1[[#This Row],[Age]]&lt;55,"45-54","55+"))))</f>
        <v>55+</v>
      </c>
      <c r="M772" t="str">
        <f>TEXT(Table1[[#This Row],[Invoice_date]],"mmm")</f>
        <v>Apr</v>
      </c>
      <c r="N772">
        <f>YEAR(Table1[[#This Row],[Invoice_date]])</f>
        <v>2022</v>
      </c>
    </row>
    <row r="773" spans="1:14" x14ac:dyDescent="0.25">
      <c r="A773" t="s">
        <v>427</v>
      </c>
      <c r="B773" t="s">
        <v>428</v>
      </c>
      <c r="C773" t="s">
        <v>2</v>
      </c>
      <c r="D773">
        <v>55</v>
      </c>
      <c r="E773" t="s">
        <v>49</v>
      </c>
      <c r="F773">
        <v>3</v>
      </c>
      <c r="G773">
        <v>107.52</v>
      </c>
      <c r="H773" t="s">
        <v>4</v>
      </c>
      <c r="I773" s="2">
        <v>44641</v>
      </c>
      <c r="J773" t="s">
        <v>50</v>
      </c>
      <c r="K773" s="4">
        <f>Table1[[#This Row],[Quantity]]*Table1[[#This Row],[Price]]</f>
        <v>322.56</v>
      </c>
      <c r="L773" t="str">
        <f>IF(Table1[[#This Row],[Age]]&lt;25,"18-24",IF(Table1[[#This Row],[Age]]&lt;35,"25-34",IF(Table1[[#This Row],[Age]]&lt;45,"35-44",IF(Table1[[#This Row],[Age]]&lt;55,"45-54","55+"))))</f>
        <v>55+</v>
      </c>
      <c r="M773" t="str">
        <f>TEXT(Table1[[#This Row],[Invoice_date]],"mmm")</f>
        <v>Mar</v>
      </c>
      <c r="N773">
        <f>YEAR(Table1[[#This Row],[Invoice_date]])</f>
        <v>2022</v>
      </c>
    </row>
    <row r="774" spans="1:14" x14ac:dyDescent="0.25">
      <c r="A774" t="s">
        <v>431</v>
      </c>
      <c r="B774" t="s">
        <v>432</v>
      </c>
      <c r="C774" t="s">
        <v>12</v>
      </c>
      <c r="D774">
        <v>57</v>
      </c>
      <c r="E774" t="s">
        <v>3</v>
      </c>
      <c r="F774">
        <v>5</v>
      </c>
      <c r="G774">
        <v>1500.4</v>
      </c>
      <c r="H774" t="s">
        <v>4</v>
      </c>
      <c r="I774" s="2">
        <v>44693</v>
      </c>
      <c r="J774" t="s">
        <v>14</v>
      </c>
      <c r="K774" s="4">
        <f>Table1[[#This Row],[Quantity]]*Table1[[#This Row],[Price]]</f>
        <v>7502</v>
      </c>
      <c r="L774" t="str">
        <f>IF(Table1[[#This Row],[Age]]&lt;25,"18-24",IF(Table1[[#This Row],[Age]]&lt;35,"25-34",IF(Table1[[#This Row],[Age]]&lt;45,"35-44",IF(Table1[[#This Row],[Age]]&lt;55,"45-54","55+"))))</f>
        <v>55+</v>
      </c>
      <c r="M774" t="str">
        <f>TEXT(Table1[[#This Row],[Invoice_date]],"mmm")</f>
        <v>May</v>
      </c>
      <c r="N774">
        <f>YEAR(Table1[[#This Row],[Invoice_date]])</f>
        <v>2022</v>
      </c>
    </row>
    <row r="775" spans="1:14" x14ac:dyDescent="0.25">
      <c r="A775" t="s">
        <v>433</v>
      </c>
      <c r="B775" t="s">
        <v>434</v>
      </c>
      <c r="C775" t="s">
        <v>2</v>
      </c>
      <c r="D775">
        <v>56</v>
      </c>
      <c r="E775" t="s">
        <v>17</v>
      </c>
      <c r="F775">
        <v>5</v>
      </c>
      <c r="G775">
        <v>75.75</v>
      </c>
      <c r="H775" t="s">
        <v>4</v>
      </c>
      <c r="I775" s="2">
        <v>44748</v>
      </c>
      <c r="J775" t="s">
        <v>30</v>
      </c>
      <c r="K775" s="4">
        <f>Table1[[#This Row],[Quantity]]*Table1[[#This Row],[Price]]</f>
        <v>378.75</v>
      </c>
      <c r="L775" t="str">
        <f>IF(Table1[[#This Row],[Age]]&lt;25,"18-24",IF(Table1[[#This Row],[Age]]&lt;35,"25-34",IF(Table1[[#This Row],[Age]]&lt;45,"35-44",IF(Table1[[#This Row],[Age]]&lt;55,"45-54","55+"))))</f>
        <v>55+</v>
      </c>
      <c r="M775" t="str">
        <f>TEXT(Table1[[#This Row],[Invoice_date]],"mmm")</f>
        <v>Jul</v>
      </c>
      <c r="N775">
        <f>YEAR(Table1[[#This Row],[Invoice_date]])</f>
        <v>2022</v>
      </c>
    </row>
    <row r="776" spans="1:14" x14ac:dyDescent="0.25">
      <c r="A776" t="s">
        <v>445</v>
      </c>
      <c r="B776" t="s">
        <v>446</v>
      </c>
      <c r="C776" t="s">
        <v>12</v>
      </c>
      <c r="D776">
        <v>66</v>
      </c>
      <c r="E776" t="s">
        <v>27</v>
      </c>
      <c r="F776">
        <v>4</v>
      </c>
      <c r="G776">
        <v>20.92</v>
      </c>
      <c r="H776" t="s">
        <v>13</v>
      </c>
      <c r="I776" s="2">
        <v>44653</v>
      </c>
      <c r="J776" t="s">
        <v>33</v>
      </c>
      <c r="K776" s="4">
        <f>Table1[[#This Row],[Quantity]]*Table1[[#This Row],[Price]]</f>
        <v>83.68</v>
      </c>
      <c r="L776" t="str">
        <f>IF(Table1[[#This Row],[Age]]&lt;25,"18-24",IF(Table1[[#This Row],[Age]]&lt;35,"25-34",IF(Table1[[#This Row],[Age]]&lt;45,"35-44",IF(Table1[[#This Row],[Age]]&lt;55,"45-54","55+"))))</f>
        <v>55+</v>
      </c>
      <c r="M776" t="str">
        <f>TEXT(Table1[[#This Row],[Invoice_date]],"mmm")</f>
        <v>Apr</v>
      </c>
      <c r="N776">
        <f>YEAR(Table1[[#This Row],[Invoice_date]])</f>
        <v>2022</v>
      </c>
    </row>
    <row r="777" spans="1:14" x14ac:dyDescent="0.25">
      <c r="A777" t="s">
        <v>449</v>
      </c>
      <c r="B777" t="s">
        <v>450</v>
      </c>
      <c r="C777" t="s">
        <v>12</v>
      </c>
      <c r="D777">
        <v>69</v>
      </c>
      <c r="E777" t="s">
        <v>3</v>
      </c>
      <c r="F777">
        <v>4</v>
      </c>
      <c r="G777">
        <v>1200.32</v>
      </c>
      <c r="H777" t="s">
        <v>13</v>
      </c>
      <c r="I777" s="2">
        <v>44350</v>
      </c>
      <c r="J777" t="s">
        <v>50</v>
      </c>
      <c r="K777" s="4">
        <f>Table1[[#This Row],[Quantity]]*Table1[[#This Row],[Price]]</f>
        <v>4801.28</v>
      </c>
      <c r="L777" t="str">
        <f>IF(Table1[[#This Row],[Age]]&lt;25,"18-24",IF(Table1[[#This Row],[Age]]&lt;35,"25-34",IF(Table1[[#This Row],[Age]]&lt;45,"35-44",IF(Table1[[#This Row],[Age]]&lt;55,"45-54","55+"))))</f>
        <v>55+</v>
      </c>
      <c r="M777" t="str">
        <f>TEXT(Table1[[#This Row],[Invoice_date]],"mmm")</f>
        <v>Jun</v>
      </c>
      <c r="N777">
        <f>YEAR(Table1[[#This Row],[Invoice_date]])</f>
        <v>2021</v>
      </c>
    </row>
    <row r="778" spans="1:14" x14ac:dyDescent="0.25">
      <c r="A778" t="s">
        <v>451</v>
      </c>
      <c r="B778" t="s">
        <v>452</v>
      </c>
      <c r="C778" t="s">
        <v>2</v>
      </c>
      <c r="D778">
        <v>65</v>
      </c>
      <c r="E778" t="s">
        <v>21</v>
      </c>
      <c r="F778">
        <v>4</v>
      </c>
      <c r="G778">
        <v>4200</v>
      </c>
      <c r="H778" t="s">
        <v>18</v>
      </c>
      <c r="I778" s="2">
        <v>44683</v>
      </c>
      <c r="J778" t="s">
        <v>24</v>
      </c>
      <c r="K778" s="4">
        <f>Table1[[#This Row],[Quantity]]*Table1[[#This Row],[Price]]</f>
        <v>16800</v>
      </c>
      <c r="L778" t="str">
        <f>IF(Table1[[#This Row],[Age]]&lt;25,"18-24",IF(Table1[[#This Row],[Age]]&lt;35,"25-34",IF(Table1[[#This Row],[Age]]&lt;45,"35-44",IF(Table1[[#This Row],[Age]]&lt;55,"45-54","55+"))))</f>
        <v>55+</v>
      </c>
      <c r="M778" t="str">
        <f>TEXT(Table1[[#This Row],[Invoice_date]],"mmm")</f>
        <v>May</v>
      </c>
      <c r="N778">
        <f>YEAR(Table1[[#This Row],[Invoice_date]])</f>
        <v>2022</v>
      </c>
    </row>
    <row r="779" spans="1:14" x14ac:dyDescent="0.25">
      <c r="A779" t="s">
        <v>455</v>
      </c>
      <c r="B779" t="s">
        <v>456</v>
      </c>
      <c r="C779" t="s">
        <v>12</v>
      </c>
      <c r="D779">
        <v>67</v>
      </c>
      <c r="E779" t="s">
        <v>3</v>
      </c>
      <c r="F779">
        <v>2</v>
      </c>
      <c r="G779">
        <v>600.16</v>
      </c>
      <c r="H779" t="s">
        <v>18</v>
      </c>
      <c r="I779" s="2">
        <v>44943</v>
      </c>
      <c r="J779" t="s">
        <v>63</v>
      </c>
      <c r="K779" s="4">
        <f>Table1[[#This Row],[Quantity]]*Table1[[#This Row],[Price]]</f>
        <v>1200.32</v>
      </c>
      <c r="L779" t="str">
        <f>IF(Table1[[#This Row],[Age]]&lt;25,"18-24",IF(Table1[[#This Row],[Age]]&lt;35,"25-34",IF(Table1[[#This Row],[Age]]&lt;45,"35-44",IF(Table1[[#This Row],[Age]]&lt;55,"45-54","55+"))))</f>
        <v>55+</v>
      </c>
      <c r="M779" t="str">
        <f>TEXT(Table1[[#This Row],[Invoice_date]],"mmm")</f>
        <v>Jan</v>
      </c>
      <c r="N779">
        <f>YEAR(Table1[[#This Row],[Invoice_date]])</f>
        <v>2023</v>
      </c>
    </row>
    <row r="780" spans="1:14" x14ac:dyDescent="0.25">
      <c r="A780" t="s">
        <v>463</v>
      </c>
      <c r="B780" t="s">
        <v>464</v>
      </c>
      <c r="C780" t="s">
        <v>2</v>
      </c>
      <c r="D780">
        <v>62</v>
      </c>
      <c r="E780" t="s">
        <v>3</v>
      </c>
      <c r="F780">
        <v>2</v>
      </c>
      <c r="G780">
        <v>600.16</v>
      </c>
      <c r="H780" t="s">
        <v>13</v>
      </c>
      <c r="I780" s="2">
        <v>44488</v>
      </c>
      <c r="J780" t="s">
        <v>14</v>
      </c>
      <c r="K780" s="4">
        <f>Table1[[#This Row],[Quantity]]*Table1[[#This Row],[Price]]</f>
        <v>1200.32</v>
      </c>
      <c r="L780" t="str">
        <f>IF(Table1[[#This Row],[Age]]&lt;25,"18-24",IF(Table1[[#This Row],[Age]]&lt;35,"25-34",IF(Table1[[#This Row],[Age]]&lt;45,"35-44",IF(Table1[[#This Row],[Age]]&lt;55,"45-54","55+"))))</f>
        <v>55+</v>
      </c>
      <c r="M780" t="str">
        <f>TEXT(Table1[[#This Row],[Invoice_date]],"mmm")</f>
        <v>Oct</v>
      </c>
      <c r="N780">
        <f>YEAR(Table1[[#This Row],[Invoice_date]])</f>
        <v>2021</v>
      </c>
    </row>
    <row r="781" spans="1:14" x14ac:dyDescent="0.25">
      <c r="A781" t="s">
        <v>465</v>
      </c>
      <c r="B781" t="s">
        <v>466</v>
      </c>
      <c r="C781" t="s">
        <v>12</v>
      </c>
      <c r="D781">
        <v>62</v>
      </c>
      <c r="E781" t="s">
        <v>17</v>
      </c>
      <c r="F781">
        <v>2</v>
      </c>
      <c r="G781">
        <v>30.3</v>
      </c>
      <c r="H781" t="s">
        <v>4</v>
      </c>
      <c r="I781" s="2">
        <v>44653</v>
      </c>
      <c r="J781" t="s">
        <v>24</v>
      </c>
      <c r="K781" s="4">
        <f>Table1[[#This Row],[Quantity]]*Table1[[#This Row],[Price]]</f>
        <v>60.6</v>
      </c>
      <c r="L781" t="str">
        <f>IF(Table1[[#This Row],[Age]]&lt;25,"18-24",IF(Table1[[#This Row],[Age]]&lt;35,"25-34",IF(Table1[[#This Row],[Age]]&lt;45,"35-44",IF(Table1[[#This Row],[Age]]&lt;55,"45-54","55+"))))</f>
        <v>55+</v>
      </c>
      <c r="M781" t="str">
        <f>TEXT(Table1[[#This Row],[Invoice_date]],"mmm")</f>
        <v>Apr</v>
      </c>
      <c r="N781">
        <f>YEAR(Table1[[#This Row],[Invoice_date]])</f>
        <v>2022</v>
      </c>
    </row>
    <row r="782" spans="1:14" x14ac:dyDescent="0.25">
      <c r="A782" t="s">
        <v>469</v>
      </c>
      <c r="B782" t="s">
        <v>470</v>
      </c>
      <c r="C782" t="s">
        <v>2</v>
      </c>
      <c r="D782">
        <v>58</v>
      </c>
      <c r="E782" t="s">
        <v>49</v>
      </c>
      <c r="F782">
        <v>4</v>
      </c>
      <c r="G782">
        <v>143.36000000000001</v>
      </c>
      <c r="H782" t="s">
        <v>4</v>
      </c>
      <c r="I782" s="2">
        <v>44277</v>
      </c>
      <c r="J782" t="s">
        <v>74</v>
      </c>
      <c r="K782" s="4">
        <f>Table1[[#This Row],[Quantity]]*Table1[[#This Row],[Price]]</f>
        <v>573.44000000000005</v>
      </c>
      <c r="L782" t="str">
        <f>IF(Table1[[#This Row],[Age]]&lt;25,"18-24",IF(Table1[[#This Row],[Age]]&lt;35,"25-34",IF(Table1[[#This Row],[Age]]&lt;45,"35-44",IF(Table1[[#This Row],[Age]]&lt;55,"45-54","55+"))))</f>
        <v>55+</v>
      </c>
      <c r="M782" t="str">
        <f>TEXT(Table1[[#This Row],[Invoice_date]],"mmm")</f>
        <v>Mar</v>
      </c>
      <c r="N782">
        <f>YEAR(Table1[[#This Row],[Invoice_date]])</f>
        <v>2021</v>
      </c>
    </row>
    <row r="783" spans="1:14" x14ac:dyDescent="0.25">
      <c r="A783" t="s">
        <v>473</v>
      </c>
      <c r="B783" t="s">
        <v>474</v>
      </c>
      <c r="C783" t="s">
        <v>2</v>
      </c>
      <c r="D783">
        <v>60</v>
      </c>
      <c r="E783" t="s">
        <v>46</v>
      </c>
      <c r="F783">
        <v>2</v>
      </c>
      <c r="G783">
        <v>23.46</v>
      </c>
      <c r="H783" t="s">
        <v>13</v>
      </c>
      <c r="I783" s="2">
        <v>44340</v>
      </c>
      <c r="J783" t="s">
        <v>43</v>
      </c>
      <c r="K783" s="4">
        <f>Table1[[#This Row],[Quantity]]*Table1[[#This Row],[Price]]</f>
        <v>46.92</v>
      </c>
      <c r="L783" t="str">
        <f>IF(Table1[[#This Row],[Age]]&lt;25,"18-24",IF(Table1[[#This Row],[Age]]&lt;35,"25-34",IF(Table1[[#This Row],[Age]]&lt;45,"35-44",IF(Table1[[#This Row],[Age]]&lt;55,"45-54","55+"))))</f>
        <v>55+</v>
      </c>
      <c r="M783" t="str">
        <f>TEXT(Table1[[#This Row],[Invoice_date]],"mmm")</f>
        <v>May</v>
      </c>
      <c r="N783">
        <f>YEAR(Table1[[#This Row],[Invoice_date]])</f>
        <v>2021</v>
      </c>
    </row>
    <row r="784" spans="1:14" x14ac:dyDescent="0.25">
      <c r="A784" t="s">
        <v>477</v>
      </c>
      <c r="B784" t="s">
        <v>478</v>
      </c>
      <c r="C784" t="s">
        <v>12</v>
      </c>
      <c r="D784">
        <v>62</v>
      </c>
      <c r="E784" t="s">
        <v>27</v>
      </c>
      <c r="F784">
        <v>4</v>
      </c>
      <c r="G784">
        <v>20.92</v>
      </c>
      <c r="H784" t="s">
        <v>4</v>
      </c>
      <c r="I784" s="2">
        <v>44892</v>
      </c>
      <c r="J784" t="s">
        <v>33</v>
      </c>
      <c r="K784" s="4">
        <f>Table1[[#This Row],[Quantity]]*Table1[[#This Row],[Price]]</f>
        <v>83.68</v>
      </c>
      <c r="L784" t="str">
        <f>IF(Table1[[#This Row],[Age]]&lt;25,"18-24",IF(Table1[[#This Row],[Age]]&lt;35,"25-34",IF(Table1[[#This Row],[Age]]&lt;45,"35-44",IF(Table1[[#This Row],[Age]]&lt;55,"45-54","55+"))))</f>
        <v>55+</v>
      </c>
      <c r="M784" t="str">
        <f>TEXT(Table1[[#This Row],[Invoice_date]],"mmm")</f>
        <v>Nov</v>
      </c>
      <c r="N784">
        <f>YEAR(Table1[[#This Row],[Invoice_date]])</f>
        <v>2022</v>
      </c>
    </row>
    <row r="785" spans="1:14" x14ac:dyDescent="0.25">
      <c r="A785" t="s">
        <v>485</v>
      </c>
      <c r="B785" t="s">
        <v>486</v>
      </c>
      <c r="C785" t="s">
        <v>12</v>
      </c>
      <c r="D785">
        <v>60</v>
      </c>
      <c r="E785" t="s">
        <v>3</v>
      </c>
      <c r="F785">
        <v>4</v>
      </c>
      <c r="G785">
        <v>1200.32</v>
      </c>
      <c r="H785" t="s">
        <v>18</v>
      </c>
      <c r="I785" s="2">
        <v>44493</v>
      </c>
      <c r="J785" t="s">
        <v>9</v>
      </c>
      <c r="K785" s="4">
        <f>Table1[[#This Row],[Quantity]]*Table1[[#This Row],[Price]]</f>
        <v>4801.28</v>
      </c>
      <c r="L785" t="str">
        <f>IF(Table1[[#This Row],[Age]]&lt;25,"18-24",IF(Table1[[#This Row],[Age]]&lt;35,"25-34",IF(Table1[[#This Row],[Age]]&lt;45,"35-44",IF(Table1[[#This Row],[Age]]&lt;55,"45-54","55+"))))</f>
        <v>55+</v>
      </c>
      <c r="M785" t="str">
        <f>TEXT(Table1[[#This Row],[Invoice_date]],"mmm")</f>
        <v>Oct</v>
      </c>
      <c r="N785">
        <f>YEAR(Table1[[#This Row],[Invoice_date]])</f>
        <v>2021</v>
      </c>
    </row>
    <row r="786" spans="1:14" x14ac:dyDescent="0.25">
      <c r="A786" t="s">
        <v>493</v>
      </c>
      <c r="B786" t="s">
        <v>494</v>
      </c>
      <c r="C786" t="s">
        <v>2</v>
      </c>
      <c r="D786">
        <v>69</v>
      </c>
      <c r="E786" t="s">
        <v>49</v>
      </c>
      <c r="F786">
        <v>2</v>
      </c>
      <c r="G786">
        <v>71.680000000000007</v>
      </c>
      <c r="H786" t="s">
        <v>4</v>
      </c>
      <c r="I786" s="2">
        <v>44759</v>
      </c>
      <c r="J786" t="s">
        <v>30</v>
      </c>
      <c r="K786" s="4">
        <f>Table1[[#This Row],[Quantity]]*Table1[[#This Row],[Price]]</f>
        <v>143.36000000000001</v>
      </c>
      <c r="L786" t="str">
        <f>IF(Table1[[#This Row],[Age]]&lt;25,"18-24",IF(Table1[[#This Row],[Age]]&lt;35,"25-34",IF(Table1[[#This Row],[Age]]&lt;45,"35-44",IF(Table1[[#This Row],[Age]]&lt;55,"45-54","55+"))))</f>
        <v>55+</v>
      </c>
      <c r="M786" t="str">
        <f>TEXT(Table1[[#This Row],[Invoice_date]],"mmm")</f>
        <v>Jul</v>
      </c>
      <c r="N786">
        <f>YEAR(Table1[[#This Row],[Invoice_date]])</f>
        <v>2022</v>
      </c>
    </row>
    <row r="787" spans="1:14" x14ac:dyDescent="0.25">
      <c r="A787" t="s">
        <v>509</v>
      </c>
      <c r="B787" t="s">
        <v>510</v>
      </c>
      <c r="C787" t="s">
        <v>12</v>
      </c>
      <c r="D787">
        <v>58</v>
      </c>
      <c r="E787" t="s">
        <v>27</v>
      </c>
      <c r="F787">
        <v>3</v>
      </c>
      <c r="G787">
        <v>15.69</v>
      </c>
      <c r="H787" t="s">
        <v>18</v>
      </c>
      <c r="I787" s="2">
        <v>44656</v>
      </c>
      <c r="J787" t="s">
        <v>50</v>
      </c>
      <c r="K787" s="4">
        <f>Table1[[#This Row],[Quantity]]*Table1[[#This Row],[Price]]</f>
        <v>47.07</v>
      </c>
      <c r="L787" t="str">
        <f>IF(Table1[[#This Row],[Age]]&lt;25,"18-24",IF(Table1[[#This Row],[Age]]&lt;35,"25-34",IF(Table1[[#This Row],[Age]]&lt;45,"35-44",IF(Table1[[#This Row],[Age]]&lt;55,"45-54","55+"))))</f>
        <v>55+</v>
      </c>
      <c r="M787" t="str">
        <f>TEXT(Table1[[#This Row],[Invoice_date]],"mmm")</f>
        <v>Apr</v>
      </c>
      <c r="N787">
        <f>YEAR(Table1[[#This Row],[Invoice_date]])</f>
        <v>2022</v>
      </c>
    </row>
    <row r="788" spans="1:14" x14ac:dyDescent="0.25">
      <c r="A788" t="s">
        <v>527</v>
      </c>
      <c r="B788" t="s">
        <v>528</v>
      </c>
      <c r="C788" t="s">
        <v>12</v>
      </c>
      <c r="D788">
        <v>61</v>
      </c>
      <c r="E788" t="s">
        <v>49</v>
      </c>
      <c r="F788">
        <v>5</v>
      </c>
      <c r="G788">
        <v>179.2</v>
      </c>
      <c r="H788" t="s">
        <v>18</v>
      </c>
      <c r="I788" s="2">
        <v>44296</v>
      </c>
      <c r="J788" t="s">
        <v>50</v>
      </c>
      <c r="K788" s="4">
        <f>Table1[[#This Row],[Quantity]]*Table1[[#This Row],[Price]]</f>
        <v>896</v>
      </c>
      <c r="L788" t="str">
        <f>IF(Table1[[#This Row],[Age]]&lt;25,"18-24",IF(Table1[[#This Row],[Age]]&lt;35,"25-34",IF(Table1[[#This Row],[Age]]&lt;45,"35-44",IF(Table1[[#This Row],[Age]]&lt;55,"45-54","55+"))))</f>
        <v>55+</v>
      </c>
      <c r="M788" t="str">
        <f>TEXT(Table1[[#This Row],[Invoice_date]],"mmm")</f>
        <v>Apr</v>
      </c>
      <c r="N788">
        <f>YEAR(Table1[[#This Row],[Invoice_date]])</f>
        <v>2021</v>
      </c>
    </row>
    <row r="789" spans="1:14" x14ac:dyDescent="0.25">
      <c r="A789" t="s">
        <v>535</v>
      </c>
      <c r="B789" t="s">
        <v>536</v>
      </c>
      <c r="C789" t="s">
        <v>12</v>
      </c>
      <c r="D789">
        <v>62</v>
      </c>
      <c r="E789" t="s">
        <v>17</v>
      </c>
      <c r="F789">
        <v>3</v>
      </c>
      <c r="G789">
        <v>45.45</v>
      </c>
      <c r="H789" t="s">
        <v>18</v>
      </c>
      <c r="I789" s="2">
        <v>44292</v>
      </c>
      <c r="J789" t="s">
        <v>14</v>
      </c>
      <c r="K789" s="4">
        <f>Table1[[#This Row],[Quantity]]*Table1[[#This Row],[Price]]</f>
        <v>136.35000000000002</v>
      </c>
      <c r="L789" t="str">
        <f>IF(Table1[[#This Row],[Age]]&lt;25,"18-24",IF(Table1[[#This Row],[Age]]&lt;35,"25-34",IF(Table1[[#This Row],[Age]]&lt;45,"35-44",IF(Table1[[#This Row],[Age]]&lt;55,"45-54","55+"))))</f>
        <v>55+</v>
      </c>
      <c r="M789" t="str">
        <f>TEXT(Table1[[#This Row],[Invoice_date]],"mmm")</f>
        <v>Apr</v>
      </c>
      <c r="N789">
        <f>YEAR(Table1[[#This Row],[Invoice_date]])</f>
        <v>2021</v>
      </c>
    </row>
    <row r="790" spans="1:14" x14ac:dyDescent="0.25">
      <c r="A790" t="s">
        <v>537</v>
      </c>
      <c r="B790" t="s">
        <v>538</v>
      </c>
      <c r="C790" t="s">
        <v>2</v>
      </c>
      <c r="D790">
        <v>55</v>
      </c>
      <c r="E790" t="s">
        <v>27</v>
      </c>
      <c r="F790">
        <v>3</v>
      </c>
      <c r="G790">
        <v>15.69</v>
      </c>
      <c r="H790" t="s">
        <v>13</v>
      </c>
      <c r="I790" s="2">
        <v>44631</v>
      </c>
      <c r="J790" t="s">
        <v>30</v>
      </c>
      <c r="K790" s="4">
        <f>Table1[[#This Row],[Quantity]]*Table1[[#This Row],[Price]]</f>
        <v>47.07</v>
      </c>
      <c r="L790" t="str">
        <f>IF(Table1[[#This Row],[Age]]&lt;25,"18-24",IF(Table1[[#This Row],[Age]]&lt;35,"25-34",IF(Table1[[#This Row],[Age]]&lt;45,"35-44",IF(Table1[[#This Row],[Age]]&lt;55,"45-54","55+"))))</f>
        <v>55+</v>
      </c>
      <c r="M790" t="str">
        <f>TEXT(Table1[[#This Row],[Invoice_date]],"mmm")</f>
        <v>Mar</v>
      </c>
      <c r="N790">
        <f>YEAR(Table1[[#This Row],[Invoice_date]])</f>
        <v>2022</v>
      </c>
    </row>
    <row r="791" spans="1:14" x14ac:dyDescent="0.25">
      <c r="A791" t="s">
        <v>543</v>
      </c>
      <c r="B791" t="s">
        <v>544</v>
      </c>
      <c r="C791" t="s">
        <v>2</v>
      </c>
      <c r="D791">
        <v>62</v>
      </c>
      <c r="E791" t="s">
        <v>17</v>
      </c>
      <c r="F791">
        <v>2</v>
      </c>
      <c r="G791">
        <v>30.3</v>
      </c>
      <c r="H791" t="s">
        <v>13</v>
      </c>
      <c r="I791" s="2">
        <v>44748</v>
      </c>
      <c r="J791" t="s">
        <v>33</v>
      </c>
      <c r="K791" s="4">
        <f>Table1[[#This Row],[Quantity]]*Table1[[#This Row],[Price]]</f>
        <v>60.6</v>
      </c>
      <c r="L791" t="str">
        <f>IF(Table1[[#This Row],[Age]]&lt;25,"18-24",IF(Table1[[#This Row],[Age]]&lt;35,"25-34",IF(Table1[[#This Row],[Age]]&lt;45,"35-44",IF(Table1[[#This Row],[Age]]&lt;55,"45-54","55+"))))</f>
        <v>55+</v>
      </c>
      <c r="M791" t="str">
        <f>TEXT(Table1[[#This Row],[Invoice_date]],"mmm")</f>
        <v>Jul</v>
      </c>
      <c r="N791">
        <f>YEAR(Table1[[#This Row],[Invoice_date]])</f>
        <v>2022</v>
      </c>
    </row>
    <row r="792" spans="1:14" x14ac:dyDescent="0.25">
      <c r="A792" t="s">
        <v>549</v>
      </c>
      <c r="B792" t="s">
        <v>550</v>
      </c>
      <c r="C792" t="s">
        <v>12</v>
      </c>
      <c r="D792">
        <v>66</v>
      </c>
      <c r="E792" t="s">
        <v>3</v>
      </c>
      <c r="F792">
        <v>5</v>
      </c>
      <c r="G792">
        <v>1500.4</v>
      </c>
      <c r="H792" t="s">
        <v>18</v>
      </c>
      <c r="I792" s="2">
        <v>44644</v>
      </c>
      <c r="J792" t="s">
        <v>50</v>
      </c>
      <c r="K792" s="4">
        <f>Table1[[#This Row],[Quantity]]*Table1[[#This Row],[Price]]</f>
        <v>7502</v>
      </c>
      <c r="L792" t="str">
        <f>IF(Table1[[#This Row],[Age]]&lt;25,"18-24",IF(Table1[[#This Row],[Age]]&lt;35,"25-34",IF(Table1[[#This Row],[Age]]&lt;45,"35-44",IF(Table1[[#This Row],[Age]]&lt;55,"45-54","55+"))))</f>
        <v>55+</v>
      </c>
      <c r="M792" t="str">
        <f>TEXT(Table1[[#This Row],[Invoice_date]],"mmm")</f>
        <v>Mar</v>
      </c>
      <c r="N792">
        <f>YEAR(Table1[[#This Row],[Invoice_date]])</f>
        <v>2022</v>
      </c>
    </row>
    <row r="793" spans="1:14" x14ac:dyDescent="0.25">
      <c r="A793" t="s">
        <v>551</v>
      </c>
      <c r="B793" t="s">
        <v>552</v>
      </c>
      <c r="C793" t="s">
        <v>2</v>
      </c>
      <c r="D793">
        <v>63</v>
      </c>
      <c r="E793" t="s">
        <v>3</v>
      </c>
      <c r="F793">
        <v>2</v>
      </c>
      <c r="G793">
        <v>600.16</v>
      </c>
      <c r="H793" t="s">
        <v>4</v>
      </c>
      <c r="I793" s="2">
        <v>44638</v>
      </c>
      <c r="J793" t="s">
        <v>5</v>
      </c>
      <c r="K793" s="4">
        <f>Table1[[#This Row],[Quantity]]*Table1[[#This Row],[Price]]</f>
        <v>1200.32</v>
      </c>
      <c r="L793" t="str">
        <f>IF(Table1[[#This Row],[Age]]&lt;25,"18-24",IF(Table1[[#This Row],[Age]]&lt;35,"25-34",IF(Table1[[#This Row],[Age]]&lt;45,"35-44",IF(Table1[[#This Row],[Age]]&lt;55,"45-54","55+"))))</f>
        <v>55+</v>
      </c>
      <c r="M793" t="str">
        <f>TEXT(Table1[[#This Row],[Invoice_date]],"mmm")</f>
        <v>Mar</v>
      </c>
      <c r="N793">
        <f>YEAR(Table1[[#This Row],[Invoice_date]])</f>
        <v>2022</v>
      </c>
    </row>
    <row r="794" spans="1:14" x14ac:dyDescent="0.25">
      <c r="A794" t="s">
        <v>561</v>
      </c>
      <c r="B794" t="s">
        <v>562</v>
      </c>
      <c r="C794" t="s">
        <v>2</v>
      </c>
      <c r="D794">
        <v>55</v>
      </c>
      <c r="E794" t="s">
        <v>8</v>
      </c>
      <c r="F794">
        <v>1</v>
      </c>
      <c r="G794">
        <v>40.659999999999997</v>
      </c>
      <c r="H794" t="s">
        <v>4</v>
      </c>
      <c r="I794" s="2">
        <v>44515</v>
      </c>
      <c r="J794" t="s">
        <v>30</v>
      </c>
      <c r="K794" s="4">
        <f>Table1[[#This Row],[Quantity]]*Table1[[#This Row],[Price]]</f>
        <v>40.659999999999997</v>
      </c>
      <c r="L794" t="str">
        <f>IF(Table1[[#This Row],[Age]]&lt;25,"18-24",IF(Table1[[#This Row],[Age]]&lt;35,"25-34",IF(Table1[[#This Row],[Age]]&lt;45,"35-44",IF(Table1[[#This Row],[Age]]&lt;55,"45-54","55+"))))</f>
        <v>55+</v>
      </c>
      <c r="M794" t="str">
        <f>TEXT(Table1[[#This Row],[Invoice_date]],"mmm")</f>
        <v>Nov</v>
      </c>
      <c r="N794">
        <f>YEAR(Table1[[#This Row],[Invoice_date]])</f>
        <v>2021</v>
      </c>
    </row>
    <row r="795" spans="1:14" x14ac:dyDescent="0.25">
      <c r="A795" t="s">
        <v>567</v>
      </c>
      <c r="B795" t="s">
        <v>568</v>
      </c>
      <c r="C795" t="s">
        <v>2</v>
      </c>
      <c r="D795">
        <v>65</v>
      </c>
      <c r="E795" t="s">
        <v>3</v>
      </c>
      <c r="F795">
        <v>1</v>
      </c>
      <c r="G795">
        <v>300.08</v>
      </c>
      <c r="H795" t="s">
        <v>4</v>
      </c>
      <c r="I795" s="2">
        <v>44938</v>
      </c>
      <c r="J795" t="s">
        <v>63</v>
      </c>
      <c r="K795" s="4">
        <f>Table1[[#This Row],[Quantity]]*Table1[[#This Row],[Price]]</f>
        <v>300.08</v>
      </c>
      <c r="L795" t="str">
        <f>IF(Table1[[#This Row],[Age]]&lt;25,"18-24",IF(Table1[[#This Row],[Age]]&lt;35,"25-34",IF(Table1[[#This Row],[Age]]&lt;45,"35-44",IF(Table1[[#This Row],[Age]]&lt;55,"45-54","55+"))))</f>
        <v>55+</v>
      </c>
      <c r="M795" t="str">
        <f>TEXT(Table1[[#This Row],[Invoice_date]],"mmm")</f>
        <v>Jan</v>
      </c>
      <c r="N795">
        <f>YEAR(Table1[[#This Row],[Invoice_date]])</f>
        <v>2023</v>
      </c>
    </row>
    <row r="796" spans="1:14" x14ac:dyDescent="0.25">
      <c r="A796" t="s">
        <v>575</v>
      </c>
      <c r="B796" t="s">
        <v>576</v>
      </c>
      <c r="C796" t="s">
        <v>12</v>
      </c>
      <c r="D796">
        <v>63</v>
      </c>
      <c r="E796" t="s">
        <v>3</v>
      </c>
      <c r="F796">
        <v>3</v>
      </c>
      <c r="G796">
        <v>900.24</v>
      </c>
      <c r="H796" t="s">
        <v>18</v>
      </c>
      <c r="I796" s="2">
        <v>44372</v>
      </c>
      <c r="J796" t="s">
        <v>5</v>
      </c>
      <c r="K796" s="4">
        <f>Table1[[#This Row],[Quantity]]*Table1[[#This Row],[Price]]</f>
        <v>2700.7200000000003</v>
      </c>
      <c r="L796" t="str">
        <f>IF(Table1[[#This Row],[Age]]&lt;25,"18-24",IF(Table1[[#This Row],[Age]]&lt;35,"25-34",IF(Table1[[#This Row],[Age]]&lt;45,"35-44",IF(Table1[[#This Row],[Age]]&lt;55,"45-54","55+"))))</f>
        <v>55+</v>
      </c>
      <c r="M796" t="str">
        <f>TEXT(Table1[[#This Row],[Invoice_date]],"mmm")</f>
        <v>Jun</v>
      </c>
      <c r="N796">
        <f>YEAR(Table1[[#This Row],[Invoice_date]])</f>
        <v>2021</v>
      </c>
    </row>
    <row r="797" spans="1:14" x14ac:dyDescent="0.25">
      <c r="A797" t="s">
        <v>601</v>
      </c>
      <c r="B797" t="s">
        <v>602</v>
      </c>
      <c r="C797" t="s">
        <v>2</v>
      </c>
      <c r="D797">
        <v>61</v>
      </c>
      <c r="E797" t="s">
        <v>38</v>
      </c>
      <c r="F797">
        <v>4</v>
      </c>
      <c r="G797">
        <v>2400.6799999999998</v>
      </c>
      <c r="H797" t="s">
        <v>18</v>
      </c>
      <c r="I797" s="2">
        <v>44839</v>
      </c>
      <c r="J797" t="s">
        <v>33</v>
      </c>
      <c r="K797" s="4">
        <f>Table1[[#This Row],[Quantity]]*Table1[[#This Row],[Price]]</f>
        <v>9602.7199999999993</v>
      </c>
      <c r="L797" t="str">
        <f>IF(Table1[[#This Row],[Age]]&lt;25,"18-24",IF(Table1[[#This Row],[Age]]&lt;35,"25-34",IF(Table1[[#This Row],[Age]]&lt;45,"35-44",IF(Table1[[#This Row],[Age]]&lt;55,"45-54","55+"))))</f>
        <v>55+</v>
      </c>
      <c r="M797" t="str">
        <f>TEXT(Table1[[#This Row],[Invoice_date]],"mmm")</f>
        <v>Oct</v>
      </c>
      <c r="N797">
        <f>YEAR(Table1[[#This Row],[Invoice_date]])</f>
        <v>2022</v>
      </c>
    </row>
    <row r="798" spans="1:14" x14ac:dyDescent="0.25">
      <c r="A798" t="s">
        <v>627</v>
      </c>
      <c r="B798" t="s">
        <v>628</v>
      </c>
      <c r="C798" t="s">
        <v>2</v>
      </c>
      <c r="D798">
        <v>59</v>
      </c>
      <c r="E798" t="s">
        <v>8</v>
      </c>
      <c r="F798">
        <v>1</v>
      </c>
      <c r="G798">
        <v>40.659999999999997</v>
      </c>
      <c r="H798" t="s">
        <v>18</v>
      </c>
      <c r="I798" s="2">
        <v>44239</v>
      </c>
      <c r="J798" t="s">
        <v>14</v>
      </c>
      <c r="K798" s="4">
        <f>Table1[[#This Row],[Quantity]]*Table1[[#This Row],[Price]]</f>
        <v>40.659999999999997</v>
      </c>
      <c r="L798" t="str">
        <f>IF(Table1[[#This Row],[Age]]&lt;25,"18-24",IF(Table1[[#This Row],[Age]]&lt;35,"25-34",IF(Table1[[#This Row],[Age]]&lt;45,"35-44",IF(Table1[[#This Row],[Age]]&lt;55,"45-54","55+"))))</f>
        <v>55+</v>
      </c>
      <c r="M798" t="str">
        <f>TEXT(Table1[[#This Row],[Invoice_date]],"mmm")</f>
        <v>Feb</v>
      </c>
      <c r="N798">
        <f>YEAR(Table1[[#This Row],[Invoice_date]])</f>
        <v>2021</v>
      </c>
    </row>
    <row r="799" spans="1:14" x14ac:dyDescent="0.25">
      <c r="A799" t="s">
        <v>635</v>
      </c>
      <c r="B799" t="s">
        <v>636</v>
      </c>
      <c r="C799" t="s">
        <v>12</v>
      </c>
      <c r="D799">
        <v>57</v>
      </c>
      <c r="E799" t="s">
        <v>17</v>
      </c>
      <c r="F799">
        <v>3</v>
      </c>
      <c r="G799">
        <v>45.45</v>
      </c>
      <c r="H799" t="s">
        <v>4</v>
      </c>
      <c r="I799" s="2">
        <v>44957</v>
      </c>
      <c r="J799" t="s">
        <v>33</v>
      </c>
      <c r="K799" s="4">
        <f>Table1[[#This Row],[Quantity]]*Table1[[#This Row],[Price]]</f>
        <v>136.35000000000002</v>
      </c>
      <c r="L799" t="str">
        <f>IF(Table1[[#This Row],[Age]]&lt;25,"18-24",IF(Table1[[#This Row],[Age]]&lt;35,"25-34",IF(Table1[[#This Row],[Age]]&lt;45,"35-44",IF(Table1[[#This Row],[Age]]&lt;55,"45-54","55+"))))</f>
        <v>55+</v>
      </c>
      <c r="M799" t="str">
        <f>TEXT(Table1[[#This Row],[Invoice_date]],"mmm")</f>
        <v>Jan</v>
      </c>
      <c r="N799">
        <f>YEAR(Table1[[#This Row],[Invoice_date]])</f>
        <v>2023</v>
      </c>
    </row>
    <row r="800" spans="1:14" x14ac:dyDescent="0.25">
      <c r="A800" t="s">
        <v>643</v>
      </c>
      <c r="B800" t="s">
        <v>644</v>
      </c>
      <c r="C800" t="s">
        <v>12</v>
      </c>
      <c r="D800">
        <v>63</v>
      </c>
      <c r="E800" t="s">
        <v>38</v>
      </c>
      <c r="F800">
        <v>4</v>
      </c>
      <c r="G800">
        <v>2400.6799999999998</v>
      </c>
      <c r="H800" t="s">
        <v>4</v>
      </c>
      <c r="I800" s="2">
        <v>44372</v>
      </c>
      <c r="J800" t="s">
        <v>5</v>
      </c>
      <c r="K800" s="4">
        <f>Table1[[#This Row],[Quantity]]*Table1[[#This Row],[Price]]</f>
        <v>9602.7199999999993</v>
      </c>
      <c r="L800" t="str">
        <f>IF(Table1[[#This Row],[Age]]&lt;25,"18-24",IF(Table1[[#This Row],[Age]]&lt;35,"25-34",IF(Table1[[#This Row],[Age]]&lt;45,"35-44",IF(Table1[[#This Row],[Age]]&lt;55,"45-54","55+"))))</f>
        <v>55+</v>
      </c>
      <c r="M800" t="str">
        <f>TEXT(Table1[[#This Row],[Invoice_date]],"mmm")</f>
        <v>Jun</v>
      </c>
      <c r="N800">
        <f>YEAR(Table1[[#This Row],[Invoice_date]])</f>
        <v>2021</v>
      </c>
    </row>
    <row r="801" spans="1:14" x14ac:dyDescent="0.25">
      <c r="A801" t="s">
        <v>653</v>
      </c>
      <c r="B801" t="s">
        <v>654</v>
      </c>
      <c r="C801" t="s">
        <v>12</v>
      </c>
      <c r="D801">
        <v>67</v>
      </c>
      <c r="E801" t="s">
        <v>3</v>
      </c>
      <c r="F801">
        <v>1</v>
      </c>
      <c r="G801">
        <v>300.08</v>
      </c>
      <c r="H801" t="s">
        <v>18</v>
      </c>
      <c r="I801" s="2">
        <v>44710</v>
      </c>
      <c r="J801" t="s">
        <v>30</v>
      </c>
      <c r="K801" s="4">
        <f>Table1[[#This Row],[Quantity]]*Table1[[#This Row],[Price]]</f>
        <v>300.08</v>
      </c>
      <c r="L801" t="str">
        <f>IF(Table1[[#This Row],[Age]]&lt;25,"18-24",IF(Table1[[#This Row],[Age]]&lt;35,"25-34",IF(Table1[[#This Row],[Age]]&lt;45,"35-44",IF(Table1[[#This Row],[Age]]&lt;55,"45-54","55+"))))</f>
        <v>55+</v>
      </c>
      <c r="M801" t="str">
        <f>TEXT(Table1[[#This Row],[Invoice_date]],"mmm")</f>
        <v>May</v>
      </c>
      <c r="N801">
        <f>YEAR(Table1[[#This Row],[Invoice_date]])</f>
        <v>2022</v>
      </c>
    </row>
    <row r="802" spans="1:14" x14ac:dyDescent="0.25">
      <c r="A802" t="s">
        <v>661</v>
      </c>
      <c r="B802" t="s">
        <v>662</v>
      </c>
      <c r="C802" t="s">
        <v>2</v>
      </c>
      <c r="D802">
        <v>62</v>
      </c>
      <c r="E802" t="s">
        <v>38</v>
      </c>
      <c r="F802">
        <v>3</v>
      </c>
      <c r="G802">
        <v>1800.51</v>
      </c>
      <c r="H802" t="s">
        <v>4</v>
      </c>
      <c r="I802" s="2">
        <v>44660</v>
      </c>
      <c r="J802" t="s">
        <v>74</v>
      </c>
      <c r="K802" s="4">
        <f>Table1[[#This Row],[Quantity]]*Table1[[#This Row],[Price]]</f>
        <v>5401.53</v>
      </c>
      <c r="L802" t="str">
        <f>IF(Table1[[#This Row],[Age]]&lt;25,"18-24",IF(Table1[[#This Row],[Age]]&lt;35,"25-34",IF(Table1[[#This Row],[Age]]&lt;45,"35-44",IF(Table1[[#This Row],[Age]]&lt;55,"45-54","55+"))))</f>
        <v>55+</v>
      </c>
      <c r="M802" t="str">
        <f>TEXT(Table1[[#This Row],[Invoice_date]],"mmm")</f>
        <v>Apr</v>
      </c>
      <c r="N802">
        <f>YEAR(Table1[[#This Row],[Invoice_date]])</f>
        <v>2022</v>
      </c>
    </row>
    <row r="803" spans="1:14" x14ac:dyDescent="0.25">
      <c r="A803" t="s">
        <v>663</v>
      </c>
      <c r="B803" t="s">
        <v>664</v>
      </c>
      <c r="C803" t="s">
        <v>12</v>
      </c>
      <c r="D803">
        <v>56</v>
      </c>
      <c r="E803" t="s">
        <v>3</v>
      </c>
      <c r="F803">
        <v>2</v>
      </c>
      <c r="G803">
        <v>600.16</v>
      </c>
      <c r="H803" t="s">
        <v>13</v>
      </c>
      <c r="I803" s="2">
        <v>44627</v>
      </c>
      <c r="J803" t="s">
        <v>5</v>
      </c>
      <c r="K803" s="4">
        <f>Table1[[#This Row],[Quantity]]*Table1[[#This Row],[Price]]</f>
        <v>1200.32</v>
      </c>
      <c r="L803" t="str">
        <f>IF(Table1[[#This Row],[Age]]&lt;25,"18-24",IF(Table1[[#This Row],[Age]]&lt;35,"25-34",IF(Table1[[#This Row],[Age]]&lt;45,"35-44",IF(Table1[[#This Row],[Age]]&lt;55,"45-54","55+"))))</f>
        <v>55+</v>
      </c>
      <c r="M803" t="str">
        <f>TEXT(Table1[[#This Row],[Invoice_date]],"mmm")</f>
        <v>Mar</v>
      </c>
      <c r="N803">
        <f>YEAR(Table1[[#This Row],[Invoice_date]])</f>
        <v>2022</v>
      </c>
    </row>
    <row r="804" spans="1:14" x14ac:dyDescent="0.25">
      <c r="A804" t="s">
        <v>683</v>
      </c>
      <c r="B804" t="s">
        <v>684</v>
      </c>
      <c r="C804" t="s">
        <v>2</v>
      </c>
      <c r="D804">
        <v>59</v>
      </c>
      <c r="E804" t="s">
        <v>38</v>
      </c>
      <c r="F804">
        <v>3</v>
      </c>
      <c r="G804">
        <v>1800.51</v>
      </c>
      <c r="H804" t="s">
        <v>18</v>
      </c>
      <c r="I804" s="2">
        <v>44360</v>
      </c>
      <c r="J804" t="s">
        <v>14</v>
      </c>
      <c r="K804" s="4">
        <f>Table1[[#This Row],[Quantity]]*Table1[[#This Row],[Price]]</f>
        <v>5401.53</v>
      </c>
      <c r="L804" t="str">
        <f>IF(Table1[[#This Row],[Age]]&lt;25,"18-24",IF(Table1[[#This Row],[Age]]&lt;35,"25-34",IF(Table1[[#This Row],[Age]]&lt;45,"35-44",IF(Table1[[#This Row],[Age]]&lt;55,"45-54","55+"))))</f>
        <v>55+</v>
      </c>
      <c r="M804" t="str">
        <f>TEXT(Table1[[#This Row],[Invoice_date]],"mmm")</f>
        <v>Jun</v>
      </c>
      <c r="N804">
        <f>YEAR(Table1[[#This Row],[Invoice_date]])</f>
        <v>2021</v>
      </c>
    </row>
    <row r="805" spans="1:14" x14ac:dyDescent="0.25">
      <c r="A805" t="s">
        <v>685</v>
      </c>
      <c r="B805" t="s">
        <v>686</v>
      </c>
      <c r="C805" t="s">
        <v>2</v>
      </c>
      <c r="D805">
        <v>66</v>
      </c>
      <c r="E805" t="s">
        <v>21</v>
      </c>
      <c r="F805">
        <v>3</v>
      </c>
      <c r="G805">
        <v>3150</v>
      </c>
      <c r="H805" t="s">
        <v>13</v>
      </c>
      <c r="I805" s="2">
        <v>44737</v>
      </c>
      <c r="J805" t="s">
        <v>33</v>
      </c>
      <c r="K805" s="4">
        <f>Table1[[#This Row],[Quantity]]*Table1[[#This Row],[Price]]</f>
        <v>9450</v>
      </c>
      <c r="L805" t="str">
        <f>IF(Table1[[#This Row],[Age]]&lt;25,"18-24",IF(Table1[[#This Row],[Age]]&lt;35,"25-34",IF(Table1[[#This Row],[Age]]&lt;45,"35-44",IF(Table1[[#This Row],[Age]]&lt;55,"45-54","55+"))))</f>
        <v>55+</v>
      </c>
      <c r="M805" t="str">
        <f>TEXT(Table1[[#This Row],[Invoice_date]],"mmm")</f>
        <v>Jun</v>
      </c>
      <c r="N805">
        <f>YEAR(Table1[[#This Row],[Invoice_date]])</f>
        <v>2022</v>
      </c>
    </row>
    <row r="806" spans="1:14" x14ac:dyDescent="0.25">
      <c r="A806" t="s">
        <v>693</v>
      </c>
      <c r="B806" t="s">
        <v>694</v>
      </c>
      <c r="C806" t="s">
        <v>12</v>
      </c>
      <c r="D806">
        <v>57</v>
      </c>
      <c r="E806" t="s">
        <v>3</v>
      </c>
      <c r="F806">
        <v>3</v>
      </c>
      <c r="G806">
        <v>900.24</v>
      </c>
      <c r="H806" t="s">
        <v>13</v>
      </c>
      <c r="I806" s="2">
        <v>44231</v>
      </c>
      <c r="J806" t="s">
        <v>33</v>
      </c>
      <c r="K806" s="4">
        <f>Table1[[#This Row],[Quantity]]*Table1[[#This Row],[Price]]</f>
        <v>2700.7200000000003</v>
      </c>
      <c r="L806" t="str">
        <f>IF(Table1[[#This Row],[Age]]&lt;25,"18-24",IF(Table1[[#This Row],[Age]]&lt;35,"25-34",IF(Table1[[#This Row],[Age]]&lt;45,"35-44",IF(Table1[[#This Row],[Age]]&lt;55,"45-54","55+"))))</f>
        <v>55+</v>
      </c>
      <c r="M806" t="str">
        <f>TEXT(Table1[[#This Row],[Invoice_date]],"mmm")</f>
        <v>Feb</v>
      </c>
      <c r="N806">
        <f>YEAR(Table1[[#This Row],[Invoice_date]])</f>
        <v>2021</v>
      </c>
    </row>
    <row r="807" spans="1:14" x14ac:dyDescent="0.25">
      <c r="A807" t="s">
        <v>707</v>
      </c>
      <c r="B807" t="s">
        <v>708</v>
      </c>
      <c r="C807" t="s">
        <v>12</v>
      </c>
      <c r="D807">
        <v>64</v>
      </c>
      <c r="E807" t="s">
        <v>38</v>
      </c>
      <c r="F807">
        <v>3</v>
      </c>
      <c r="G807">
        <v>1800.51</v>
      </c>
      <c r="H807" t="s">
        <v>4</v>
      </c>
      <c r="I807" s="2">
        <v>44298</v>
      </c>
      <c r="J807" t="s">
        <v>43</v>
      </c>
      <c r="K807" s="4">
        <f>Table1[[#This Row],[Quantity]]*Table1[[#This Row],[Price]]</f>
        <v>5401.53</v>
      </c>
      <c r="L807" t="str">
        <f>IF(Table1[[#This Row],[Age]]&lt;25,"18-24",IF(Table1[[#This Row],[Age]]&lt;35,"25-34",IF(Table1[[#This Row],[Age]]&lt;45,"35-44",IF(Table1[[#This Row],[Age]]&lt;55,"45-54","55+"))))</f>
        <v>55+</v>
      </c>
      <c r="M807" t="str">
        <f>TEXT(Table1[[#This Row],[Invoice_date]],"mmm")</f>
        <v>Apr</v>
      </c>
      <c r="N807">
        <f>YEAR(Table1[[#This Row],[Invoice_date]])</f>
        <v>2021</v>
      </c>
    </row>
    <row r="808" spans="1:14" x14ac:dyDescent="0.25">
      <c r="A808" t="s">
        <v>715</v>
      </c>
      <c r="B808" t="s">
        <v>716</v>
      </c>
      <c r="C808" t="s">
        <v>12</v>
      </c>
      <c r="D808">
        <v>63</v>
      </c>
      <c r="E808" t="s">
        <v>3</v>
      </c>
      <c r="F808">
        <v>2</v>
      </c>
      <c r="G808">
        <v>600.16</v>
      </c>
      <c r="H808" t="s">
        <v>4</v>
      </c>
      <c r="I808" s="2">
        <v>44583</v>
      </c>
      <c r="J808" t="s">
        <v>33</v>
      </c>
      <c r="K808" s="4">
        <f>Table1[[#This Row],[Quantity]]*Table1[[#This Row],[Price]]</f>
        <v>1200.32</v>
      </c>
      <c r="L808" t="str">
        <f>IF(Table1[[#This Row],[Age]]&lt;25,"18-24",IF(Table1[[#This Row],[Age]]&lt;35,"25-34",IF(Table1[[#This Row],[Age]]&lt;45,"35-44",IF(Table1[[#This Row],[Age]]&lt;55,"45-54","55+"))))</f>
        <v>55+</v>
      </c>
      <c r="M808" t="str">
        <f>TEXT(Table1[[#This Row],[Invoice_date]],"mmm")</f>
        <v>Jan</v>
      </c>
      <c r="N808">
        <f>YEAR(Table1[[#This Row],[Invoice_date]])</f>
        <v>2022</v>
      </c>
    </row>
    <row r="809" spans="1:14" x14ac:dyDescent="0.25">
      <c r="A809" t="s">
        <v>729</v>
      </c>
      <c r="B809" t="s">
        <v>730</v>
      </c>
      <c r="C809" t="s">
        <v>2</v>
      </c>
      <c r="D809">
        <v>61</v>
      </c>
      <c r="E809" t="s">
        <v>3</v>
      </c>
      <c r="F809">
        <v>4</v>
      </c>
      <c r="G809">
        <v>1200.32</v>
      </c>
      <c r="H809" t="s">
        <v>18</v>
      </c>
      <c r="I809" s="2">
        <v>44382</v>
      </c>
      <c r="J809" t="s">
        <v>24</v>
      </c>
      <c r="K809" s="4">
        <f>Table1[[#This Row],[Quantity]]*Table1[[#This Row],[Price]]</f>
        <v>4801.28</v>
      </c>
      <c r="L809" t="str">
        <f>IF(Table1[[#This Row],[Age]]&lt;25,"18-24",IF(Table1[[#This Row],[Age]]&lt;35,"25-34",IF(Table1[[#This Row],[Age]]&lt;45,"35-44",IF(Table1[[#This Row],[Age]]&lt;55,"45-54","55+"))))</f>
        <v>55+</v>
      </c>
      <c r="M809" t="str">
        <f>TEXT(Table1[[#This Row],[Invoice_date]],"mmm")</f>
        <v>Jul</v>
      </c>
      <c r="N809">
        <f>YEAR(Table1[[#This Row],[Invoice_date]])</f>
        <v>2021</v>
      </c>
    </row>
    <row r="810" spans="1:14" x14ac:dyDescent="0.25">
      <c r="A810" t="s">
        <v>731</v>
      </c>
      <c r="B810" t="s">
        <v>732</v>
      </c>
      <c r="C810" t="s">
        <v>12</v>
      </c>
      <c r="D810">
        <v>58</v>
      </c>
      <c r="E810" t="s">
        <v>3</v>
      </c>
      <c r="F810">
        <v>5</v>
      </c>
      <c r="G810">
        <v>1500.4</v>
      </c>
      <c r="H810" t="s">
        <v>4</v>
      </c>
      <c r="I810" s="2">
        <v>44720</v>
      </c>
      <c r="J810" t="s">
        <v>50</v>
      </c>
      <c r="K810" s="4">
        <f>Table1[[#This Row],[Quantity]]*Table1[[#This Row],[Price]]</f>
        <v>7502</v>
      </c>
      <c r="L810" t="str">
        <f>IF(Table1[[#This Row],[Age]]&lt;25,"18-24",IF(Table1[[#This Row],[Age]]&lt;35,"25-34",IF(Table1[[#This Row],[Age]]&lt;45,"35-44",IF(Table1[[#This Row],[Age]]&lt;55,"45-54","55+"))))</f>
        <v>55+</v>
      </c>
      <c r="M810" t="str">
        <f>TEXT(Table1[[#This Row],[Invoice_date]],"mmm")</f>
        <v>Jun</v>
      </c>
      <c r="N810">
        <f>YEAR(Table1[[#This Row],[Invoice_date]])</f>
        <v>2022</v>
      </c>
    </row>
    <row r="811" spans="1:14" x14ac:dyDescent="0.25">
      <c r="A811" t="s">
        <v>733</v>
      </c>
      <c r="B811" t="s">
        <v>734</v>
      </c>
      <c r="C811" t="s">
        <v>12</v>
      </c>
      <c r="D811">
        <v>63</v>
      </c>
      <c r="E811" t="s">
        <v>3</v>
      </c>
      <c r="F811">
        <v>2</v>
      </c>
      <c r="G811">
        <v>600.16</v>
      </c>
      <c r="H811" t="s">
        <v>4</v>
      </c>
      <c r="I811" s="2">
        <v>44537</v>
      </c>
      <c r="J811" t="s">
        <v>30</v>
      </c>
      <c r="K811" s="4">
        <f>Table1[[#This Row],[Quantity]]*Table1[[#This Row],[Price]]</f>
        <v>1200.32</v>
      </c>
      <c r="L811" t="str">
        <f>IF(Table1[[#This Row],[Age]]&lt;25,"18-24",IF(Table1[[#This Row],[Age]]&lt;35,"25-34",IF(Table1[[#This Row],[Age]]&lt;45,"35-44",IF(Table1[[#This Row],[Age]]&lt;55,"45-54","55+"))))</f>
        <v>55+</v>
      </c>
      <c r="M811" t="str">
        <f>TEXT(Table1[[#This Row],[Invoice_date]],"mmm")</f>
        <v>Dec</v>
      </c>
      <c r="N811">
        <f>YEAR(Table1[[#This Row],[Invoice_date]])</f>
        <v>2021</v>
      </c>
    </row>
    <row r="812" spans="1:14" x14ac:dyDescent="0.25">
      <c r="A812" t="s">
        <v>739</v>
      </c>
      <c r="B812" t="s">
        <v>740</v>
      </c>
      <c r="C812" t="s">
        <v>12</v>
      </c>
      <c r="D812">
        <v>64</v>
      </c>
      <c r="E812" t="s">
        <v>3</v>
      </c>
      <c r="F812">
        <v>3</v>
      </c>
      <c r="G812">
        <v>900.24</v>
      </c>
      <c r="H812" t="s">
        <v>4</v>
      </c>
      <c r="I812" s="2">
        <v>44462</v>
      </c>
      <c r="J812" t="s">
        <v>14</v>
      </c>
      <c r="K812" s="4">
        <f>Table1[[#This Row],[Quantity]]*Table1[[#This Row],[Price]]</f>
        <v>2700.7200000000003</v>
      </c>
      <c r="L812" t="str">
        <f>IF(Table1[[#This Row],[Age]]&lt;25,"18-24",IF(Table1[[#This Row],[Age]]&lt;35,"25-34",IF(Table1[[#This Row],[Age]]&lt;45,"35-44",IF(Table1[[#This Row],[Age]]&lt;55,"45-54","55+"))))</f>
        <v>55+</v>
      </c>
      <c r="M812" t="str">
        <f>TEXT(Table1[[#This Row],[Invoice_date]],"mmm")</f>
        <v>Sep</v>
      </c>
      <c r="N812">
        <f>YEAR(Table1[[#This Row],[Invoice_date]])</f>
        <v>2021</v>
      </c>
    </row>
    <row r="813" spans="1:14" x14ac:dyDescent="0.25">
      <c r="A813" t="s">
        <v>747</v>
      </c>
      <c r="B813" t="s">
        <v>748</v>
      </c>
      <c r="C813" t="s">
        <v>12</v>
      </c>
      <c r="D813">
        <v>60</v>
      </c>
      <c r="E813" t="s">
        <v>8</v>
      </c>
      <c r="F813">
        <v>3</v>
      </c>
      <c r="G813">
        <v>121.98</v>
      </c>
      <c r="H813" t="s">
        <v>18</v>
      </c>
      <c r="I813" s="2">
        <v>44701</v>
      </c>
      <c r="J813" t="s">
        <v>74</v>
      </c>
      <c r="K813" s="4">
        <f>Table1[[#This Row],[Quantity]]*Table1[[#This Row],[Price]]</f>
        <v>365.94</v>
      </c>
      <c r="L813" t="str">
        <f>IF(Table1[[#This Row],[Age]]&lt;25,"18-24",IF(Table1[[#This Row],[Age]]&lt;35,"25-34",IF(Table1[[#This Row],[Age]]&lt;45,"35-44",IF(Table1[[#This Row],[Age]]&lt;55,"45-54","55+"))))</f>
        <v>55+</v>
      </c>
      <c r="M813" t="str">
        <f>TEXT(Table1[[#This Row],[Invoice_date]],"mmm")</f>
        <v>May</v>
      </c>
      <c r="N813">
        <f>YEAR(Table1[[#This Row],[Invoice_date]])</f>
        <v>2022</v>
      </c>
    </row>
    <row r="814" spans="1:14" x14ac:dyDescent="0.25">
      <c r="A814" t="s">
        <v>749</v>
      </c>
      <c r="B814" t="s">
        <v>750</v>
      </c>
      <c r="C814" t="s">
        <v>2</v>
      </c>
      <c r="D814">
        <v>68</v>
      </c>
      <c r="E814" t="s">
        <v>46</v>
      </c>
      <c r="F814">
        <v>2</v>
      </c>
      <c r="G814">
        <v>23.46</v>
      </c>
      <c r="H814" t="s">
        <v>4</v>
      </c>
      <c r="I814" s="2">
        <v>44692</v>
      </c>
      <c r="J814" t="s">
        <v>24</v>
      </c>
      <c r="K814" s="4">
        <f>Table1[[#This Row],[Quantity]]*Table1[[#This Row],[Price]]</f>
        <v>46.92</v>
      </c>
      <c r="L814" t="str">
        <f>IF(Table1[[#This Row],[Age]]&lt;25,"18-24",IF(Table1[[#This Row],[Age]]&lt;35,"25-34",IF(Table1[[#This Row],[Age]]&lt;45,"35-44",IF(Table1[[#This Row],[Age]]&lt;55,"45-54","55+"))))</f>
        <v>55+</v>
      </c>
      <c r="M814" t="str">
        <f>TEXT(Table1[[#This Row],[Invoice_date]],"mmm")</f>
        <v>May</v>
      </c>
      <c r="N814">
        <f>YEAR(Table1[[#This Row],[Invoice_date]])</f>
        <v>2022</v>
      </c>
    </row>
    <row r="815" spans="1:14" x14ac:dyDescent="0.25">
      <c r="A815" t="s">
        <v>751</v>
      </c>
      <c r="B815" t="s">
        <v>752</v>
      </c>
      <c r="C815" t="s">
        <v>12</v>
      </c>
      <c r="D815">
        <v>66</v>
      </c>
      <c r="E815" t="s">
        <v>27</v>
      </c>
      <c r="F815">
        <v>1</v>
      </c>
      <c r="G815">
        <v>5.23</v>
      </c>
      <c r="H815" t="s">
        <v>18</v>
      </c>
      <c r="I815" s="2">
        <v>44288</v>
      </c>
      <c r="J815" t="s">
        <v>74</v>
      </c>
      <c r="K815" s="4">
        <f>Table1[[#This Row],[Quantity]]*Table1[[#This Row],[Price]]</f>
        <v>5.23</v>
      </c>
      <c r="L815" t="str">
        <f>IF(Table1[[#This Row],[Age]]&lt;25,"18-24",IF(Table1[[#This Row],[Age]]&lt;35,"25-34",IF(Table1[[#This Row],[Age]]&lt;45,"35-44",IF(Table1[[#This Row],[Age]]&lt;55,"45-54","55+"))))</f>
        <v>55+</v>
      </c>
      <c r="M815" t="str">
        <f>TEXT(Table1[[#This Row],[Invoice_date]],"mmm")</f>
        <v>Apr</v>
      </c>
      <c r="N815">
        <f>YEAR(Table1[[#This Row],[Invoice_date]])</f>
        <v>2021</v>
      </c>
    </row>
    <row r="816" spans="1:14" x14ac:dyDescent="0.25">
      <c r="A816" t="s">
        <v>753</v>
      </c>
      <c r="B816" t="s">
        <v>754</v>
      </c>
      <c r="C816" t="s">
        <v>2</v>
      </c>
      <c r="D816">
        <v>66</v>
      </c>
      <c r="E816" t="s">
        <v>49</v>
      </c>
      <c r="F816">
        <v>5</v>
      </c>
      <c r="G816">
        <v>179.2</v>
      </c>
      <c r="H816" t="s">
        <v>4</v>
      </c>
      <c r="I816" s="2">
        <v>44515</v>
      </c>
      <c r="J816" t="s">
        <v>43</v>
      </c>
      <c r="K816" s="4">
        <f>Table1[[#This Row],[Quantity]]*Table1[[#This Row],[Price]]</f>
        <v>896</v>
      </c>
      <c r="L816" t="str">
        <f>IF(Table1[[#This Row],[Age]]&lt;25,"18-24",IF(Table1[[#This Row],[Age]]&lt;35,"25-34",IF(Table1[[#This Row],[Age]]&lt;45,"35-44",IF(Table1[[#This Row],[Age]]&lt;55,"45-54","55+"))))</f>
        <v>55+</v>
      </c>
      <c r="M816" t="str">
        <f>TEXT(Table1[[#This Row],[Invoice_date]],"mmm")</f>
        <v>Nov</v>
      </c>
      <c r="N816">
        <f>YEAR(Table1[[#This Row],[Invoice_date]])</f>
        <v>2021</v>
      </c>
    </row>
    <row r="817" spans="1:14" x14ac:dyDescent="0.25">
      <c r="A817" t="s">
        <v>755</v>
      </c>
      <c r="B817" t="s">
        <v>756</v>
      </c>
      <c r="C817" t="s">
        <v>12</v>
      </c>
      <c r="D817">
        <v>69</v>
      </c>
      <c r="E817" t="s">
        <v>27</v>
      </c>
      <c r="F817">
        <v>5</v>
      </c>
      <c r="G817">
        <v>26.15</v>
      </c>
      <c r="H817" t="s">
        <v>18</v>
      </c>
      <c r="I817" s="2">
        <v>44320</v>
      </c>
      <c r="J817" t="s">
        <v>9</v>
      </c>
      <c r="K817" s="4">
        <f>Table1[[#This Row],[Quantity]]*Table1[[#This Row],[Price]]</f>
        <v>130.75</v>
      </c>
      <c r="L817" t="str">
        <f>IF(Table1[[#This Row],[Age]]&lt;25,"18-24",IF(Table1[[#This Row],[Age]]&lt;35,"25-34",IF(Table1[[#This Row],[Age]]&lt;45,"35-44",IF(Table1[[#This Row],[Age]]&lt;55,"45-54","55+"))))</f>
        <v>55+</v>
      </c>
      <c r="M817" t="str">
        <f>TEXT(Table1[[#This Row],[Invoice_date]],"mmm")</f>
        <v>May</v>
      </c>
      <c r="N817">
        <f>YEAR(Table1[[#This Row],[Invoice_date]])</f>
        <v>2021</v>
      </c>
    </row>
    <row r="818" spans="1:14" x14ac:dyDescent="0.25">
      <c r="A818" t="s">
        <v>767</v>
      </c>
      <c r="B818" t="s">
        <v>768</v>
      </c>
      <c r="C818" t="s">
        <v>2</v>
      </c>
      <c r="D818">
        <v>67</v>
      </c>
      <c r="E818" t="s">
        <v>46</v>
      </c>
      <c r="F818">
        <v>4</v>
      </c>
      <c r="G818">
        <v>46.92</v>
      </c>
      <c r="H818" t="s">
        <v>4</v>
      </c>
      <c r="I818" s="2">
        <v>44840</v>
      </c>
      <c r="J818" t="s">
        <v>50</v>
      </c>
      <c r="K818" s="4">
        <f>Table1[[#This Row],[Quantity]]*Table1[[#This Row],[Price]]</f>
        <v>187.68</v>
      </c>
      <c r="L818" t="str">
        <f>IF(Table1[[#This Row],[Age]]&lt;25,"18-24",IF(Table1[[#This Row],[Age]]&lt;35,"25-34",IF(Table1[[#This Row],[Age]]&lt;45,"35-44",IF(Table1[[#This Row],[Age]]&lt;55,"45-54","55+"))))</f>
        <v>55+</v>
      </c>
      <c r="M818" t="str">
        <f>TEXT(Table1[[#This Row],[Invoice_date]],"mmm")</f>
        <v>Oct</v>
      </c>
      <c r="N818">
        <f>YEAR(Table1[[#This Row],[Invoice_date]])</f>
        <v>2022</v>
      </c>
    </row>
    <row r="819" spans="1:14" x14ac:dyDescent="0.25">
      <c r="A819" t="s">
        <v>771</v>
      </c>
      <c r="B819" t="s">
        <v>772</v>
      </c>
      <c r="C819" t="s">
        <v>12</v>
      </c>
      <c r="D819">
        <v>65</v>
      </c>
      <c r="E819" t="s">
        <v>3</v>
      </c>
      <c r="F819">
        <v>3</v>
      </c>
      <c r="G819">
        <v>900.24</v>
      </c>
      <c r="H819" t="s">
        <v>18</v>
      </c>
      <c r="I819" s="2">
        <v>44237</v>
      </c>
      <c r="J819" t="s">
        <v>14</v>
      </c>
      <c r="K819" s="4">
        <f>Table1[[#This Row],[Quantity]]*Table1[[#This Row],[Price]]</f>
        <v>2700.7200000000003</v>
      </c>
      <c r="L819" t="str">
        <f>IF(Table1[[#This Row],[Age]]&lt;25,"18-24",IF(Table1[[#This Row],[Age]]&lt;35,"25-34",IF(Table1[[#This Row],[Age]]&lt;45,"35-44",IF(Table1[[#This Row],[Age]]&lt;55,"45-54","55+"))))</f>
        <v>55+</v>
      </c>
      <c r="M819" t="str">
        <f>TEXT(Table1[[#This Row],[Invoice_date]],"mmm")</f>
        <v>Feb</v>
      </c>
      <c r="N819">
        <f>YEAR(Table1[[#This Row],[Invoice_date]])</f>
        <v>2021</v>
      </c>
    </row>
    <row r="820" spans="1:14" x14ac:dyDescent="0.25">
      <c r="A820" t="s">
        <v>779</v>
      </c>
      <c r="B820" t="s">
        <v>780</v>
      </c>
      <c r="C820" t="s">
        <v>12</v>
      </c>
      <c r="D820">
        <v>66</v>
      </c>
      <c r="E820" t="s">
        <v>27</v>
      </c>
      <c r="F820">
        <v>2</v>
      </c>
      <c r="G820">
        <v>10.46</v>
      </c>
      <c r="H820" t="s">
        <v>4</v>
      </c>
      <c r="I820" s="2">
        <v>44541</v>
      </c>
      <c r="J820" t="s">
        <v>63</v>
      </c>
      <c r="K820" s="4">
        <f>Table1[[#This Row],[Quantity]]*Table1[[#This Row],[Price]]</f>
        <v>20.92</v>
      </c>
      <c r="L820" t="str">
        <f>IF(Table1[[#This Row],[Age]]&lt;25,"18-24",IF(Table1[[#This Row],[Age]]&lt;35,"25-34",IF(Table1[[#This Row],[Age]]&lt;45,"35-44",IF(Table1[[#This Row],[Age]]&lt;55,"45-54","55+"))))</f>
        <v>55+</v>
      </c>
      <c r="M820" t="str">
        <f>TEXT(Table1[[#This Row],[Invoice_date]],"mmm")</f>
        <v>Dec</v>
      </c>
      <c r="N820">
        <f>YEAR(Table1[[#This Row],[Invoice_date]])</f>
        <v>2021</v>
      </c>
    </row>
    <row r="821" spans="1:14" x14ac:dyDescent="0.25">
      <c r="A821" t="s">
        <v>783</v>
      </c>
      <c r="B821" t="s">
        <v>784</v>
      </c>
      <c r="C821" t="s">
        <v>2</v>
      </c>
      <c r="D821">
        <v>69</v>
      </c>
      <c r="E821" t="s">
        <v>27</v>
      </c>
      <c r="F821">
        <v>4</v>
      </c>
      <c r="G821">
        <v>20.92</v>
      </c>
      <c r="H821" t="s">
        <v>18</v>
      </c>
      <c r="I821" s="2">
        <v>44907</v>
      </c>
      <c r="J821" t="s">
        <v>14</v>
      </c>
      <c r="K821" s="4">
        <f>Table1[[#This Row],[Quantity]]*Table1[[#This Row],[Price]]</f>
        <v>83.68</v>
      </c>
      <c r="L821" t="str">
        <f>IF(Table1[[#This Row],[Age]]&lt;25,"18-24",IF(Table1[[#This Row],[Age]]&lt;35,"25-34",IF(Table1[[#This Row],[Age]]&lt;45,"35-44",IF(Table1[[#This Row],[Age]]&lt;55,"45-54","55+"))))</f>
        <v>55+</v>
      </c>
      <c r="M821" t="str">
        <f>TEXT(Table1[[#This Row],[Invoice_date]],"mmm")</f>
        <v>Dec</v>
      </c>
      <c r="N821">
        <f>YEAR(Table1[[#This Row],[Invoice_date]])</f>
        <v>2022</v>
      </c>
    </row>
    <row r="822" spans="1:14" x14ac:dyDescent="0.25">
      <c r="A822" t="s">
        <v>803</v>
      </c>
      <c r="B822" t="s">
        <v>804</v>
      </c>
      <c r="C822" t="s">
        <v>12</v>
      </c>
      <c r="D822">
        <v>66</v>
      </c>
      <c r="E822" t="s">
        <v>49</v>
      </c>
      <c r="F822">
        <v>3</v>
      </c>
      <c r="G822">
        <v>107.52</v>
      </c>
      <c r="H822" t="s">
        <v>4</v>
      </c>
      <c r="I822" s="2">
        <v>44627</v>
      </c>
      <c r="J822" t="s">
        <v>43</v>
      </c>
      <c r="K822" s="4">
        <f>Table1[[#This Row],[Quantity]]*Table1[[#This Row],[Price]]</f>
        <v>322.56</v>
      </c>
      <c r="L822" t="str">
        <f>IF(Table1[[#This Row],[Age]]&lt;25,"18-24",IF(Table1[[#This Row],[Age]]&lt;35,"25-34",IF(Table1[[#This Row],[Age]]&lt;45,"35-44",IF(Table1[[#This Row],[Age]]&lt;55,"45-54","55+"))))</f>
        <v>55+</v>
      </c>
      <c r="M822" t="str">
        <f>TEXT(Table1[[#This Row],[Invoice_date]],"mmm")</f>
        <v>Mar</v>
      </c>
      <c r="N822">
        <f>YEAR(Table1[[#This Row],[Invoice_date]])</f>
        <v>2022</v>
      </c>
    </row>
    <row r="823" spans="1:14" x14ac:dyDescent="0.25">
      <c r="A823" t="s">
        <v>811</v>
      </c>
      <c r="B823" t="s">
        <v>812</v>
      </c>
      <c r="C823" t="s">
        <v>12</v>
      </c>
      <c r="D823">
        <v>62</v>
      </c>
      <c r="E823" t="s">
        <v>46</v>
      </c>
      <c r="F823">
        <v>1</v>
      </c>
      <c r="G823">
        <v>11.73</v>
      </c>
      <c r="H823" t="s">
        <v>18</v>
      </c>
      <c r="I823" s="2">
        <v>44236</v>
      </c>
      <c r="J823" t="s">
        <v>33</v>
      </c>
      <c r="K823" s="4">
        <f>Table1[[#This Row],[Quantity]]*Table1[[#This Row],[Price]]</f>
        <v>11.73</v>
      </c>
      <c r="L823" t="str">
        <f>IF(Table1[[#This Row],[Age]]&lt;25,"18-24",IF(Table1[[#This Row],[Age]]&lt;35,"25-34",IF(Table1[[#This Row],[Age]]&lt;45,"35-44",IF(Table1[[#This Row],[Age]]&lt;55,"45-54","55+"))))</f>
        <v>55+</v>
      </c>
      <c r="M823" t="str">
        <f>TEXT(Table1[[#This Row],[Invoice_date]],"mmm")</f>
        <v>Feb</v>
      </c>
      <c r="N823">
        <f>YEAR(Table1[[#This Row],[Invoice_date]])</f>
        <v>2021</v>
      </c>
    </row>
    <row r="824" spans="1:14" x14ac:dyDescent="0.25">
      <c r="A824" t="s">
        <v>831</v>
      </c>
      <c r="B824" t="s">
        <v>832</v>
      </c>
      <c r="C824" t="s">
        <v>12</v>
      </c>
      <c r="D824">
        <v>58</v>
      </c>
      <c r="E824" t="s">
        <v>49</v>
      </c>
      <c r="F824">
        <v>2</v>
      </c>
      <c r="G824">
        <v>71.680000000000007</v>
      </c>
      <c r="H824" t="s">
        <v>18</v>
      </c>
      <c r="I824" s="2">
        <v>44465</v>
      </c>
      <c r="J824" t="s">
        <v>33</v>
      </c>
      <c r="K824" s="4">
        <f>Table1[[#This Row],[Quantity]]*Table1[[#This Row],[Price]]</f>
        <v>143.36000000000001</v>
      </c>
      <c r="L824" t="str">
        <f>IF(Table1[[#This Row],[Age]]&lt;25,"18-24",IF(Table1[[#This Row],[Age]]&lt;35,"25-34",IF(Table1[[#This Row],[Age]]&lt;45,"35-44",IF(Table1[[#This Row],[Age]]&lt;55,"45-54","55+"))))</f>
        <v>55+</v>
      </c>
      <c r="M824" t="str">
        <f>TEXT(Table1[[#This Row],[Invoice_date]],"mmm")</f>
        <v>Sep</v>
      </c>
      <c r="N824">
        <f>YEAR(Table1[[#This Row],[Invoice_date]])</f>
        <v>2021</v>
      </c>
    </row>
    <row r="825" spans="1:14" x14ac:dyDescent="0.25">
      <c r="A825" t="s">
        <v>833</v>
      </c>
      <c r="B825" t="s">
        <v>834</v>
      </c>
      <c r="C825" t="s">
        <v>12</v>
      </c>
      <c r="D825">
        <v>67</v>
      </c>
      <c r="E825" t="s">
        <v>3</v>
      </c>
      <c r="F825">
        <v>4</v>
      </c>
      <c r="G825">
        <v>1200.32</v>
      </c>
      <c r="H825" t="s">
        <v>18</v>
      </c>
      <c r="I825" s="2">
        <v>44804</v>
      </c>
      <c r="J825" t="s">
        <v>14</v>
      </c>
      <c r="K825" s="4">
        <f>Table1[[#This Row],[Quantity]]*Table1[[#This Row],[Price]]</f>
        <v>4801.28</v>
      </c>
      <c r="L825" t="str">
        <f>IF(Table1[[#This Row],[Age]]&lt;25,"18-24",IF(Table1[[#This Row],[Age]]&lt;35,"25-34",IF(Table1[[#This Row],[Age]]&lt;45,"35-44",IF(Table1[[#This Row],[Age]]&lt;55,"45-54","55+"))))</f>
        <v>55+</v>
      </c>
      <c r="M825" t="str">
        <f>TEXT(Table1[[#This Row],[Invoice_date]],"mmm")</f>
        <v>Aug</v>
      </c>
      <c r="N825">
        <f>YEAR(Table1[[#This Row],[Invoice_date]])</f>
        <v>2022</v>
      </c>
    </row>
    <row r="826" spans="1:14" x14ac:dyDescent="0.25">
      <c r="A826" t="s">
        <v>841</v>
      </c>
      <c r="B826" t="s">
        <v>842</v>
      </c>
      <c r="C826" t="s">
        <v>12</v>
      </c>
      <c r="D826">
        <v>65</v>
      </c>
      <c r="E826" t="s">
        <v>8</v>
      </c>
      <c r="F826">
        <v>2</v>
      </c>
      <c r="G826">
        <v>81.319999999999993</v>
      </c>
      <c r="H826" t="s">
        <v>13</v>
      </c>
      <c r="I826" s="2">
        <v>44816</v>
      </c>
      <c r="J826" t="s">
        <v>5</v>
      </c>
      <c r="K826" s="4">
        <f>Table1[[#This Row],[Quantity]]*Table1[[#This Row],[Price]]</f>
        <v>162.63999999999999</v>
      </c>
      <c r="L826" t="str">
        <f>IF(Table1[[#This Row],[Age]]&lt;25,"18-24",IF(Table1[[#This Row],[Age]]&lt;35,"25-34",IF(Table1[[#This Row],[Age]]&lt;45,"35-44",IF(Table1[[#This Row],[Age]]&lt;55,"45-54","55+"))))</f>
        <v>55+</v>
      </c>
      <c r="M826" t="str">
        <f>TEXT(Table1[[#This Row],[Invoice_date]],"mmm")</f>
        <v>Sep</v>
      </c>
      <c r="N826">
        <f>YEAR(Table1[[#This Row],[Invoice_date]])</f>
        <v>2022</v>
      </c>
    </row>
    <row r="827" spans="1:14" x14ac:dyDescent="0.25">
      <c r="A827" t="s">
        <v>855</v>
      </c>
      <c r="B827" t="s">
        <v>856</v>
      </c>
      <c r="C827" t="s">
        <v>2</v>
      </c>
      <c r="D827">
        <v>60</v>
      </c>
      <c r="E827" t="s">
        <v>17</v>
      </c>
      <c r="F827">
        <v>4</v>
      </c>
      <c r="G827">
        <v>60.6</v>
      </c>
      <c r="H827" t="s">
        <v>18</v>
      </c>
      <c r="I827" s="2">
        <v>44234</v>
      </c>
      <c r="J827" t="s">
        <v>74</v>
      </c>
      <c r="K827" s="4">
        <f>Table1[[#This Row],[Quantity]]*Table1[[#This Row],[Price]]</f>
        <v>242.4</v>
      </c>
      <c r="L827" t="str">
        <f>IF(Table1[[#This Row],[Age]]&lt;25,"18-24",IF(Table1[[#This Row],[Age]]&lt;35,"25-34",IF(Table1[[#This Row],[Age]]&lt;45,"35-44",IF(Table1[[#This Row],[Age]]&lt;55,"45-54","55+"))))</f>
        <v>55+</v>
      </c>
      <c r="M827" t="str">
        <f>TEXT(Table1[[#This Row],[Invoice_date]],"mmm")</f>
        <v>Feb</v>
      </c>
      <c r="N827">
        <f>YEAR(Table1[[#This Row],[Invoice_date]])</f>
        <v>2021</v>
      </c>
    </row>
    <row r="828" spans="1:14" x14ac:dyDescent="0.25">
      <c r="A828" t="s">
        <v>857</v>
      </c>
      <c r="B828" t="s">
        <v>858</v>
      </c>
      <c r="C828" t="s">
        <v>12</v>
      </c>
      <c r="D828">
        <v>59</v>
      </c>
      <c r="E828" t="s">
        <v>49</v>
      </c>
      <c r="F828">
        <v>5</v>
      </c>
      <c r="G828">
        <v>179.2</v>
      </c>
      <c r="H828" t="s">
        <v>18</v>
      </c>
      <c r="I828" s="2">
        <v>44491</v>
      </c>
      <c r="J828" t="s">
        <v>33</v>
      </c>
      <c r="K828" s="4">
        <f>Table1[[#This Row],[Quantity]]*Table1[[#This Row],[Price]]</f>
        <v>896</v>
      </c>
      <c r="L828" t="str">
        <f>IF(Table1[[#This Row],[Age]]&lt;25,"18-24",IF(Table1[[#This Row],[Age]]&lt;35,"25-34",IF(Table1[[#This Row],[Age]]&lt;45,"35-44",IF(Table1[[#This Row],[Age]]&lt;55,"45-54","55+"))))</f>
        <v>55+</v>
      </c>
      <c r="M828" t="str">
        <f>TEXT(Table1[[#This Row],[Invoice_date]],"mmm")</f>
        <v>Oct</v>
      </c>
      <c r="N828">
        <f>YEAR(Table1[[#This Row],[Invoice_date]])</f>
        <v>2021</v>
      </c>
    </row>
    <row r="829" spans="1:14" x14ac:dyDescent="0.25">
      <c r="A829" t="s">
        <v>863</v>
      </c>
      <c r="B829" t="s">
        <v>864</v>
      </c>
      <c r="C829" t="s">
        <v>12</v>
      </c>
      <c r="D829">
        <v>61</v>
      </c>
      <c r="E829" t="s">
        <v>3</v>
      </c>
      <c r="F829">
        <v>1</v>
      </c>
      <c r="G829">
        <v>300.08</v>
      </c>
      <c r="H829" t="s">
        <v>4</v>
      </c>
      <c r="I829" s="2">
        <v>44942</v>
      </c>
      <c r="J829" t="s">
        <v>33</v>
      </c>
      <c r="K829" s="4">
        <f>Table1[[#This Row],[Quantity]]*Table1[[#This Row],[Price]]</f>
        <v>300.08</v>
      </c>
      <c r="L829" t="str">
        <f>IF(Table1[[#This Row],[Age]]&lt;25,"18-24",IF(Table1[[#This Row],[Age]]&lt;35,"25-34",IF(Table1[[#This Row],[Age]]&lt;45,"35-44",IF(Table1[[#This Row],[Age]]&lt;55,"45-54","55+"))))</f>
        <v>55+</v>
      </c>
      <c r="M829" t="str">
        <f>TEXT(Table1[[#This Row],[Invoice_date]],"mmm")</f>
        <v>Jan</v>
      </c>
      <c r="N829">
        <f>YEAR(Table1[[#This Row],[Invoice_date]])</f>
        <v>2023</v>
      </c>
    </row>
    <row r="830" spans="1:14" x14ac:dyDescent="0.25">
      <c r="A830" t="s">
        <v>869</v>
      </c>
      <c r="B830" t="s">
        <v>870</v>
      </c>
      <c r="C830" t="s">
        <v>12</v>
      </c>
      <c r="D830">
        <v>55</v>
      </c>
      <c r="E830" t="s">
        <v>27</v>
      </c>
      <c r="F830">
        <v>3</v>
      </c>
      <c r="G830">
        <v>15.69</v>
      </c>
      <c r="H830" t="s">
        <v>13</v>
      </c>
      <c r="I830" s="2">
        <v>44773</v>
      </c>
      <c r="J830" t="s">
        <v>33</v>
      </c>
      <c r="K830" s="4">
        <f>Table1[[#This Row],[Quantity]]*Table1[[#This Row],[Price]]</f>
        <v>47.07</v>
      </c>
      <c r="L830" t="str">
        <f>IF(Table1[[#This Row],[Age]]&lt;25,"18-24",IF(Table1[[#This Row],[Age]]&lt;35,"25-34",IF(Table1[[#This Row],[Age]]&lt;45,"35-44",IF(Table1[[#This Row],[Age]]&lt;55,"45-54","55+"))))</f>
        <v>55+</v>
      </c>
      <c r="M830" t="str">
        <f>TEXT(Table1[[#This Row],[Invoice_date]],"mmm")</f>
        <v>Jul</v>
      </c>
      <c r="N830">
        <f>YEAR(Table1[[#This Row],[Invoice_date]])</f>
        <v>2022</v>
      </c>
    </row>
    <row r="831" spans="1:14" x14ac:dyDescent="0.25">
      <c r="A831" t="s">
        <v>879</v>
      </c>
      <c r="B831" t="s">
        <v>880</v>
      </c>
      <c r="C831" t="s">
        <v>12</v>
      </c>
      <c r="D831">
        <v>63</v>
      </c>
      <c r="E831" t="s">
        <v>3</v>
      </c>
      <c r="F831">
        <v>3</v>
      </c>
      <c r="G831">
        <v>900.24</v>
      </c>
      <c r="H831" t="s">
        <v>4</v>
      </c>
      <c r="I831" s="2">
        <v>44725</v>
      </c>
      <c r="J831" t="s">
        <v>74</v>
      </c>
      <c r="K831" s="4">
        <f>Table1[[#This Row],[Quantity]]*Table1[[#This Row],[Price]]</f>
        <v>2700.7200000000003</v>
      </c>
      <c r="L831" t="str">
        <f>IF(Table1[[#This Row],[Age]]&lt;25,"18-24",IF(Table1[[#This Row],[Age]]&lt;35,"25-34",IF(Table1[[#This Row],[Age]]&lt;45,"35-44",IF(Table1[[#This Row],[Age]]&lt;55,"45-54","55+"))))</f>
        <v>55+</v>
      </c>
      <c r="M831" t="str">
        <f>TEXT(Table1[[#This Row],[Invoice_date]],"mmm")</f>
        <v>Jun</v>
      </c>
      <c r="N831">
        <f>YEAR(Table1[[#This Row],[Invoice_date]])</f>
        <v>2022</v>
      </c>
    </row>
    <row r="832" spans="1:14" x14ac:dyDescent="0.25">
      <c r="A832" t="s">
        <v>889</v>
      </c>
      <c r="B832" t="s">
        <v>890</v>
      </c>
      <c r="C832" t="s">
        <v>12</v>
      </c>
      <c r="D832">
        <v>67</v>
      </c>
      <c r="E832" t="s">
        <v>8</v>
      </c>
      <c r="F832">
        <v>3</v>
      </c>
      <c r="G832">
        <v>121.98</v>
      </c>
      <c r="H832" t="s">
        <v>4</v>
      </c>
      <c r="I832" s="2">
        <v>44315</v>
      </c>
      <c r="J832" t="s">
        <v>33</v>
      </c>
      <c r="K832" s="4">
        <f>Table1[[#This Row],[Quantity]]*Table1[[#This Row],[Price]]</f>
        <v>365.94</v>
      </c>
      <c r="L832" t="str">
        <f>IF(Table1[[#This Row],[Age]]&lt;25,"18-24",IF(Table1[[#This Row],[Age]]&lt;35,"25-34",IF(Table1[[#This Row],[Age]]&lt;45,"35-44",IF(Table1[[#This Row],[Age]]&lt;55,"45-54","55+"))))</f>
        <v>55+</v>
      </c>
      <c r="M832" t="str">
        <f>TEXT(Table1[[#This Row],[Invoice_date]],"mmm")</f>
        <v>Apr</v>
      </c>
      <c r="N832">
        <f>YEAR(Table1[[#This Row],[Invoice_date]])</f>
        <v>2021</v>
      </c>
    </row>
    <row r="833" spans="1:14" x14ac:dyDescent="0.25">
      <c r="A833" t="s">
        <v>911</v>
      </c>
      <c r="B833" t="s">
        <v>912</v>
      </c>
      <c r="C833" t="s">
        <v>12</v>
      </c>
      <c r="D833">
        <v>65</v>
      </c>
      <c r="E833" t="s">
        <v>8</v>
      </c>
      <c r="F833">
        <v>1</v>
      </c>
      <c r="G833">
        <v>40.659999999999997</v>
      </c>
      <c r="H833" t="s">
        <v>13</v>
      </c>
      <c r="I833" s="2">
        <v>44295</v>
      </c>
      <c r="J833" t="s">
        <v>33</v>
      </c>
      <c r="K833" s="4">
        <f>Table1[[#This Row],[Quantity]]*Table1[[#This Row],[Price]]</f>
        <v>40.659999999999997</v>
      </c>
      <c r="L833" t="str">
        <f>IF(Table1[[#This Row],[Age]]&lt;25,"18-24",IF(Table1[[#This Row],[Age]]&lt;35,"25-34",IF(Table1[[#This Row],[Age]]&lt;45,"35-44",IF(Table1[[#This Row],[Age]]&lt;55,"45-54","55+"))))</f>
        <v>55+</v>
      </c>
      <c r="M833" t="str">
        <f>TEXT(Table1[[#This Row],[Invoice_date]],"mmm")</f>
        <v>Apr</v>
      </c>
      <c r="N833">
        <f>YEAR(Table1[[#This Row],[Invoice_date]])</f>
        <v>2021</v>
      </c>
    </row>
    <row r="834" spans="1:14" x14ac:dyDescent="0.25">
      <c r="A834" t="s">
        <v>915</v>
      </c>
      <c r="B834" t="s">
        <v>916</v>
      </c>
      <c r="C834" t="s">
        <v>2</v>
      </c>
      <c r="D834">
        <v>69</v>
      </c>
      <c r="E834" t="s">
        <v>21</v>
      </c>
      <c r="F834">
        <v>3</v>
      </c>
      <c r="G834">
        <v>3150</v>
      </c>
      <c r="H834" t="s">
        <v>4</v>
      </c>
      <c r="I834" s="2">
        <v>44620</v>
      </c>
      <c r="J834" t="s">
        <v>33</v>
      </c>
      <c r="K834" s="4">
        <f>Table1[[#This Row],[Quantity]]*Table1[[#This Row],[Price]]</f>
        <v>9450</v>
      </c>
      <c r="L834" t="str">
        <f>IF(Table1[[#This Row],[Age]]&lt;25,"18-24",IF(Table1[[#This Row],[Age]]&lt;35,"25-34",IF(Table1[[#This Row],[Age]]&lt;45,"35-44",IF(Table1[[#This Row],[Age]]&lt;55,"45-54","55+"))))</f>
        <v>55+</v>
      </c>
      <c r="M834" t="str">
        <f>TEXT(Table1[[#This Row],[Invoice_date]],"mmm")</f>
        <v>Feb</v>
      </c>
      <c r="N834">
        <f>YEAR(Table1[[#This Row],[Invoice_date]])</f>
        <v>2022</v>
      </c>
    </row>
    <row r="835" spans="1:14" x14ac:dyDescent="0.25">
      <c r="A835" t="s">
        <v>933</v>
      </c>
      <c r="B835" t="s">
        <v>934</v>
      </c>
      <c r="C835" t="s">
        <v>12</v>
      </c>
      <c r="D835">
        <v>59</v>
      </c>
      <c r="E835" t="s">
        <v>49</v>
      </c>
      <c r="F835">
        <v>2</v>
      </c>
      <c r="G835">
        <v>71.680000000000007</v>
      </c>
      <c r="H835" t="s">
        <v>4</v>
      </c>
      <c r="I835" s="2">
        <v>44687</v>
      </c>
      <c r="J835" t="s">
        <v>74</v>
      </c>
      <c r="K835" s="4">
        <f>Table1[[#This Row],[Quantity]]*Table1[[#This Row],[Price]]</f>
        <v>143.36000000000001</v>
      </c>
      <c r="L835" t="str">
        <f>IF(Table1[[#This Row],[Age]]&lt;25,"18-24",IF(Table1[[#This Row],[Age]]&lt;35,"25-34",IF(Table1[[#This Row],[Age]]&lt;45,"35-44",IF(Table1[[#This Row],[Age]]&lt;55,"45-54","55+"))))</f>
        <v>55+</v>
      </c>
      <c r="M835" t="str">
        <f>TEXT(Table1[[#This Row],[Invoice_date]],"mmm")</f>
        <v>May</v>
      </c>
      <c r="N835">
        <f>YEAR(Table1[[#This Row],[Invoice_date]])</f>
        <v>2022</v>
      </c>
    </row>
    <row r="836" spans="1:14" x14ac:dyDescent="0.25">
      <c r="A836" t="s">
        <v>939</v>
      </c>
      <c r="B836" t="s">
        <v>940</v>
      </c>
      <c r="C836" t="s">
        <v>2</v>
      </c>
      <c r="D836">
        <v>56</v>
      </c>
      <c r="E836" t="s">
        <v>49</v>
      </c>
      <c r="F836">
        <v>1</v>
      </c>
      <c r="G836">
        <v>35.840000000000003</v>
      </c>
      <c r="H836" t="s">
        <v>18</v>
      </c>
      <c r="I836" s="2">
        <v>44634</v>
      </c>
      <c r="J836" t="s">
        <v>30</v>
      </c>
      <c r="K836" s="4">
        <f>Table1[[#This Row],[Quantity]]*Table1[[#This Row],[Price]]</f>
        <v>35.840000000000003</v>
      </c>
      <c r="L836" t="str">
        <f>IF(Table1[[#This Row],[Age]]&lt;25,"18-24",IF(Table1[[#This Row],[Age]]&lt;35,"25-34",IF(Table1[[#This Row],[Age]]&lt;45,"35-44",IF(Table1[[#This Row],[Age]]&lt;55,"45-54","55+"))))</f>
        <v>55+</v>
      </c>
      <c r="M836" t="str">
        <f>TEXT(Table1[[#This Row],[Invoice_date]],"mmm")</f>
        <v>Mar</v>
      </c>
      <c r="N836">
        <f>YEAR(Table1[[#This Row],[Invoice_date]])</f>
        <v>2022</v>
      </c>
    </row>
    <row r="837" spans="1:14" x14ac:dyDescent="0.25">
      <c r="A837" t="s">
        <v>947</v>
      </c>
      <c r="B837" t="s">
        <v>948</v>
      </c>
      <c r="C837" t="s">
        <v>2</v>
      </c>
      <c r="D837">
        <v>58</v>
      </c>
      <c r="E837" t="s">
        <v>27</v>
      </c>
      <c r="F837">
        <v>4</v>
      </c>
      <c r="G837">
        <v>20.92</v>
      </c>
      <c r="H837" t="s">
        <v>18</v>
      </c>
      <c r="I837" s="2">
        <v>44475</v>
      </c>
      <c r="J837" t="s">
        <v>33</v>
      </c>
      <c r="K837" s="4">
        <f>Table1[[#This Row],[Quantity]]*Table1[[#This Row],[Price]]</f>
        <v>83.68</v>
      </c>
      <c r="L837" t="str">
        <f>IF(Table1[[#This Row],[Age]]&lt;25,"18-24",IF(Table1[[#This Row],[Age]]&lt;35,"25-34",IF(Table1[[#This Row],[Age]]&lt;45,"35-44",IF(Table1[[#This Row],[Age]]&lt;55,"45-54","55+"))))</f>
        <v>55+</v>
      </c>
      <c r="M837" t="str">
        <f>TEXT(Table1[[#This Row],[Invoice_date]],"mmm")</f>
        <v>Oct</v>
      </c>
      <c r="N837">
        <f>YEAR(Table1[[#This Row],[Invoice_date]])</f>
        <v>2021</v>
      </c>
    </row>
    <row r="838" spans="1:14" x14ac:dyDescent="0.25">
      <c r="A838" t="s">
        <v>957</v>
      </c>
      <c r="B838" t="s">
        <v>958</v>
      </c>
      <c r="C838" t="s">
        <v>12</v>
      </c>
      <c r="D838">
        <v>69</v>
      </c>
      <c r="E838" t="s">
        <v>3</v>
      </c>
      <c r="F838">
        <v>3</v>
      </c>
      <c r="G838">
        <v>900.24</v>
      </c>
      <c r="H838" t="s">
        <v>4</v>
      </c>
      <c r="I838" s="2">
        <v>44491</v>
      </c>
      <c r="J838" t="s">
        <v>30</v>
      </c>
      <c r="K838" s="4">
        <f>Table1[[#This Row],[Quantity]]*Table1[[#This Row],[Price]]</f>
        <v>2700.7200000000003</v>
      </c>
      <c r="L838" t="str">
        <f>IF(Table1[[#This Row],[Age]]&lt;25,"18-24",IF(Table1[[#This Row],[Age]]&lt;35,"25-34",IF(Table1[[#This Row],[Age]]&lt;45,"35-44",IF(Table1[[#This Row],[Age]]&lt;55,"45-54","55+"))))</f>
        <v>55+</v>
      </c>
      <c r="M838" t="str">
        <f>TEXT(Table1[[#This Row],[Invoice_date]],"mmm")</f>
        <v>Oct</v>
      </c>
      <c r="N838">
        <f>YEAR(Table1[[#This Row],[Invoice_date]])</f>
        <v>2021</v>
      </c>
    </row>
    <row r="839" spans="1:14" x14ac:dyDescent="0.25">
      <c r="A839" t="s">
        <v>961</v>
      </c>
      <c r="B839" t="s">
        <v>962</v>
      </c>
      <c r="C839" t="s">
        <v>12</v>
      </c>
      <c r="D839">
        <v>60</v>
      </c>
      <c r="E839" t="s">
        <v>21</v>
      </c>
      <c r="F839">
        <v>5</v>
      </c>
      <c r="G839">
        <v>5250</v>
      </c>
      <c r="H839" t="s">
        <v>4</v>
      </c>
      <c r="I839" s="2">
        <v>44700</v>
      </c>
      <c r="J839" t="s">
        <v>30</v>
      </c>
      <c r="K839" s="4">
        <f>Table1[[#This Row],[Quantity]]*Table1[[#This Row],[Price]]</f>
        <v>26250</v>
      </c>
      <c r="L839" t="str">
        <f>IF(Table1[[#This Row],[Age]]&lt;25,"18-24",IF(Table1[[#This Row],[Age]]&lt;35,"25-34",IF(Table1[[#This Row],[Age]]&lt;45,"35-44",IF(Table1[[#This Row],[Age]]&lt;55,"45-54","55+"))))</f>
        <v>55+</v>
      </c>
      <c r="M839" t="str">
        <f>TEXT(Table1[[#This Row],[Invoice_date]],"mmm")</f>
        <v>May</v>
      </c>
      <c r="N839">
        <f>YEAR(Table1[[#This Row],[Invoice_date]])</f>
        <v>2022</v>
      </c>
    </row>
    <row r="840" spans="1:14" x14ac:dyDescent="0.25">
      <c r="A840" t="s">
        <v>965</v>
      </c>
      <c r="B840" t="s">
        <v>966</v>
      </c>
      <c r="C840" t="s">
        <v>2</v>
      </c>
      <c r="D840">
        <v>56</v>
      </c>
      <c r="E840" t="s">
        <v>49</v>
      </c>
      <c r="F840">
        <v>3</v>
      </c>
      <c r="G840">
        <v>107.52</v>
      </c>
      <c r="H840" t="s">
        <v>4</v>
      </c>
      <c r="I840" s="2">
        <v>44743</v>
      </c>
      <c r="J840" t="s">
        <v>63</v>
      </c>
      <c r="K840" s="4">
        <f>Table1[[#This Row],[Quantity]]*Table1[[#This Row],[Price]]</f>
        <v>322.56</v>
      </c>
      <c r="L840" t="str">
        <f>IF(Table1[[#This Row],[Age]]&lt;25,"18-24",IF(Table1[[#This Row],[Age]]&lt;35,"25-34",IF(Table1[[#This Row],[Age]]&lt;45,"35-44",IF(Table1[[#This Row],[Age]]&lt;55,"45-54","55+"))))</f>
        <v>55+</v>
      </c>
      <c r="M840" t="str">
        <f>TEXT(Table1[[#This Row],[Invoice_date]],"mmm")</f>
        <v>Jul</v>
      </c>
      <c r="N840">
        <f>YEAR(Table1[[#This Row],[Invoice_date]])</f>
        <v>2022</v>
      </c>
    </row>
    <row r="841" spans="1:14" x14ac:dyDescent="0.25">
      <c r="A841" t="s">
        <v>969</v>
      </c>
      <c r="B841" t="s">
        <v>970</v>
      </c>
      <c r="C841" t="s">
        <v>12</v>
      </c>
      <c r="D841">
        <v>66</v>
      </c>
      <c r="E841" t="s">
        <v>49</v>
      </c>
      <c r="F841">
        <v>2</v>
      </c>
      <c r="G841">
        <v>71.680000000000007</v>
      </c>
      <c r="H841" t="s">
        <v>18</v>
      </c>
      <c r="I841" s="2">
        <v>44902</v>
      </c>
      <c r="J841" t="s">
        <v>5</v>
      </c>
      <c r="K841" s="4">
        <f>Table1[[#This Row],[Quantity]]*Table1[[#This Row],[Price]]</f>
        <v>143.36000000000001</v>
      </c>
      <c r="L841" t="str">
        <f>IF(Table1[[#This Row],[Age]]&lt;25,"18-24",IF(Table1[[#This Row],[Age]]&lt;35,"25-34",IF(Table1[[#This Row],[Age]]&lt;45,"35-44",IF(Table1[[#This Row],[Age]]&lt;55,"45-54","55+"))))</f>
        <v>55+</v>
      </c>
      <c r="M841" t="str">
        <f>TEXT(Table1[[#This Row],[Invoice_date]],"mmm")</f>
        <v>Dec</v>
      </c>
      <c r="N841">
        <f>YEAR(Table1[[#This Row],[Invoice_date]])</f>
        <v>2022</v>
      </c>
    </row>
    <row r="842" spans="1:14" x14ac:dyDescent="0.25">
      <c r="A842" t="s">
        <v>973</v>
      </c>
      <c r="B842" t="s">
        <v>974</v>
      </c>
      <c r="C842" t="s">
        <v>12</v>
      </c>
      <c r="D842">
        <v>58</v>
      </c>
      <c r="E842" t="s">
        <v>3</v>
      </c>
      <c r="F842">
        <v>3</v>
      </c>
      <c r="G842">
        <v>900.24</v>
      </c>
      <c r="H842" t="s">
        <v>13</v>
      </c>
      <c r="I842" s="2">
        <v>44543</v>
      </c>
      <c r="J842" t="s">
        <v>74</v>
      </c>
      <c r="K842" s="4">
        <f>Table1[[#This Row],[Quantity]]*Table1[[#This Row],[Price]]</f>
        <v>2700.7200000000003</v>
      </c>
      <c r="L842" t="str">
        <f>IF(Table1[[#This Row],[Age]]&lt;25,"18-24",IF(Table1[[#This Row],[Age]]&lt;35,"25-34",IF(Table1[[#This Row],[Age]]&lt;45,"35-44",IF(Table1[[#This Row],[Age]]&lt;55,"45-54","55+"))))</f>
        <v>55+</v>
      </c>
      <c r="M842" t="str">
        <f>TEXT(Table1[[#This Row],[Invoice_date]],"mmm")</f>
        <v>Dec</v>
      </c>
      <c r="N842">
        <f>YEAR(Table1[[#This Row],[Invoice_date]])</f>
        <v>2021</v>
      </c>
    </row>
    <row r="843" spans="1:14" x14ac:dyDescent="0.25">
      <c r="A843" t="s">
        <v>991</v>
      </c>
      <c r="B843" t="s">
        <v>992</v>
      </c>
      <c r="C843" t="s">
        <v>12</v>
      </c>
      <c r="D843">
        <v>57</v>
      </c>
      <c r="E843" t="s">
        <v>8</v>
      </c>
      <c r="F843">
        <v>4</v>
      </c>
      <c r="G843">
        <v>162.63999999999999</v>
      </c>
      <c r="H843" t="s">
        <v>4</v>
      </c>
      <c r="I843" s="2">
        <v>44770</v>
      </c>
      <c r="J843" t="s">
        <v>63</v>
      </c>
      <c r="K843" s="4">
        <f>Table1[[#This Row],[Quantity]]*Table1[[#This Row],[Price]]</f>
        <v>650.55999999999995</v>
      </c>
      <c r="L843" t="str">
        <f>IF(Table1[[#This Row],[Age]]&lt;25,"18-24",IF(Table1[[#This Row],[Age]]&lt;35,"25-34",IF(Table1[[#This Row],[Age]]&lt;45,"35-44",IF(Table1[[#This Row],[Age]]&lt;55,"45-54","55+"))))</f>
        <v>55+</v>
      </c>
      <c r="M843" t="str">
        <f>TEXT(Table1[[#This Row],[Invoice_date]],"mmm")</f>
        <v>Jul</v>
      </c>
      <c r="N843">
        <f>YEAR(Table1[[#This Row],[Invoice_date]])</f>
        <v>2022</v>
      </c>
    </row>
    <row r="844" spans="1:14" x14ac:dyDescent="0.25">
      <c r="A844" t="s">
        <v>995</v>
      </c>
      <c r="B844" t="s">
        <v>996</v>
      </c>
      <c r="C844" t="s">
        <v>2</v>
      </c>
      <c r="D844">
        <v>58</v>
      </c>
      <c r="E844" t="s">
        <v>3</v>
      </c>
      <c r="F844">
        <v>1</v>
      </c>
      <c r="G844">
        <v>300.08</v>
      </c>
      <c r="H844" t="s">
        <v>13</v>
      </c>
      <c r="I844" s="2">
        <v>44420</v>
      </c>
      <c r="J844" t="s">
        <v>33</v>
      </c>
      <c r="K844" s="4">
        <f>Table1[[#This Row],[Quantity]]*Table1[[#This Row],[Price]]</f>
        <v>300.08</v>
      </c>
      <c r="L844" t="str">
        <f>IF(Table1[[#This Row],[Age]]&lt;25,"18-24",IF(Table1[[#This Row],[Age]]&lt;35,"25-34",IF(Table1[[#This Row],[Age]]&lt;45,"35-44",IF(Table1[[#This Row],[Age]]&lt;55,"45-54","55+"))))</f>
        <v>55+</v>
      </c>
      <c r="M844" t="str">
        <f>TEXT(Table1[[#This Row],[Invoice_date]],"mmm")</f>
        <v>Aug</v>
      </c>
      <c r="N844">
        <f>YEAR(Table1[[#This Row],[Invoice_date]])</f>
        <v>2021</v>
      </c>
    </row>
    <row r="845" spans="1:14" x14ac:dyDescent="0.25">
      <c r="A845" t="s">
        <v>997</v>
      </c>
      <c r="B845" t="s">
        <v>998</v>
      </c>
      <c r="C845" t="s">
        <v>12</v>
      </c>
      <c r="D845">
        <v>61</v>
      </c>
      <c r="E845" t="s">
        <v>17</v>
      </c>
      <c r="F845">
        <v>3</v>
      </c>
      <c r="G845">
        <v>45.45</v>
      </c>
      <c r="H845" t="s">
        <v>4</v>
      </c>
      <c r="I845" s="2">
        <v>44989</v>
      </c>
      <c r="J845" t="s">
        <v>24</v>
      </c>
      <c r="K845" s="4">
        <f>Table1[[#This Row],[Quantity]]*Table1[[#This Row],[Price]]</f>
        <v>136.35000000000002</v>
      </c>
      <c r="L845" t="str">
        <f>IF(Table1[[#This Row],[Age]]&lt;25,"18-24",IF(Table1[[#This Row],[Age]]&lt;35,"25-34",IF(Table1[[#This Row],[Age]]&lt;45,"35-44",IF(Table1[[#This Row],[Age]]&lt;55,"45-54","55+"))))</f>
        <v>55+</v>
      </c>
      <c r="M845" t="str">
        <f>TEXT(Table1[[#This Row],[Invoice_date]],"mmm")</f>
        <v>Mar</v>
      </c>
      <c r="N845">
        <f>YEAR(Table1[[#This Row],[Invoice_date]])</f>
        <v>2023</v>
      </c>
    </row>
    <row r="846" spans="1:14" x14ac:dyDescent="0.25">
      <c r="A846" t="s">
        <v>1001</v>
      </c>
      <c r="B846" t="s">
        <v>1002</v>
      </c>
      <c r="C846" t="s">
        <v>12</v>
      </c>
      <c r="D846">
        <v>65</v>
      </c>
      <c r="E846" t="s">
        <v>17</v>
      </c>
      <c r="F846">
        <v>3</v>
      </c>
      <c r="G846">
        <v>45.45</v>
      </c>
      <c r="H846" t="s">
        <v>18</v>
      </c>
      <c r="I846" s="2">
        <v>44830</v>
      </c>
      <c r="J846" t="s">
        <v>14</v>
      </c>
      <c r="K846" s="4">
        <f>Table1[[#This Row],[Quantity]]*Table1[[#This Row],[Price]]</f>
        <v>136.35000000000002</v>
      </c>
      <c r="L846" t="str">
        <f>IF(Table1[[#This Row],[Age]]&lt;25,"18-24",IF(Table1[[#This Row],[Age]]&lt;35,"25-34",IF(Table1[[#This Row],[Age]]&lt;45,"35-44",IF(Table1[[#This Row],[Age]]&lt;55,"45-54","55+"))))</f>
        <v>55+</v>
      </c>
      <c r="M846" t="str">
        <f>TEXT(Table1[[#This Row],[Invoice_date]],"mmm")</f>
        <v>Sep</v>
      </c>
      <c r="N846">
        <f>YEAR(Table1[[#This Row],[Invoice_date]])</f>
        <v>2022</v>
      </c>
    </row>
    <row r="847" spans="1:14" x14ac:dyDescent="0.25">
      <c r="A847" t="s">
        <v>1005</v>
      </c>
      <c r="B847" t="s">
        <v>1006</v>
      </c>
      <c r="C847" t="s">
        <v>12</v>
      </c>
      <c r="D847">
        <v>63</v>
      </c>
      <c r="E847" t="s">
        <v>3</v>
      </c>
      <c r="F847">
        <v>3</v>
      </c>
      <c r="G847">
        <v>900.24</v>
      </c>
      <c r="H847" t="s">
        <v>4</v>
      </c>
      <c r="I847" s="2">
        <v>44333</v>
      </c>
      <c r="J847" t="s">
        <v>33</v>
      </c>
      <c r="K847" s="4">
        <f>Table1[[#This Row],[Quantity]]*Table1[[#This Row],[Price]]</f>
        <v>2700.7200000000003</v>
      </c>
      <c r="L847" t="str">
        <f>IF(Table1[[#This Row],[Age]]&lt;25,"18-24",IF(Table1[[#This Row],[Age]]&lt;35,"25-34",IF(Table1[[#This Row],[Age]]&lt;45,"35-44",IF(Table1[[#This Row],[Age]]&lt;55,"45-54","55+"))))</f>
        <v>55+</v>
      </c>
      <c r="M847" t="str">
        <f>TEXT(Table1[[#This Row],[Invoice_date]],"mmm")</f>
        <v>May</v>
      </c>
      <c r="N847">
        <f>YEAR(Table1[[#This Row],[Invoice_date]])</f>
        <v>2021</v>
      </c>
    </row>
    <row r="848" spans="1:14" x14ac:dyDescent="0.25">
      <c r="A848" t="s">
        <v>1013</v>
      </c>
      <c r="B848" t="s">
        <v>1014</v>
      </c>
      <c r="C848" t="s">
        <v>12</v>
      </c>
      <c r="D848">
        <v>59</v>
      </c>
      <c r="E848" t="s">
        <v>8</v>
      </c>
      <c r="F848">
        <v>2</v>
      </c>
      <c r="G848">
        <v>81.319999999999993</v>
      </c>
      <c r="H848" t="s">
        <v>18</v>
      </c>
      <c r="I848" s="2">
        <v>44407</v>
      </c>
      <c r="J848" t="s">
        <v>24</v>
      </c>
      <c r="K848" s="4">
        <f>Table1[[#This Row],[Quantity]]*Table1[[#This Row],[Price]]</f>
        <v>162.63999999999999</v>
      </c>
      <c r="L848" t="str">
        <f>IF(Table1[[#This Row],[Age]]&lt;25,"18-24",IF(Table1[[#This Row],[Age]]&lt;35,"25-34",IF(Table1[[#This Row],[Age]]&lt;45,"35-44",IF(Table1[[#This Row],[Age]]&lt;55,"45-54","55+"))))</f>
        <v>55+</v>
      </c>
      <c r="M848" t="str">
        <f>TEXT(Table1[[#This Row],[Invoice_date]],"mmm")</f>
        <v>Jul</v>
      </c>
      <c r="N848">
        <f>YEAR(Table1[[#This Row],[Invoice_date]])</f>
        <v>2021</v>
      </c>
    </row>
    <row r="849" spans="1:14" x14ac:dyDescent="0.25">
      <c r="A849" t="s">
        <v>1015</v>
      </c>
      <c r="B849" t="s">
        <v>1016</v>
      </c>
      <c r="C849" t="s">
        <v>2</v>
      </c>
      <c r="D849">
        <v>67</v>
      </c>
      <c r="E849" t="s">
        <v>49</v>
      </c>
      <c r="F849">
        <v>2</v>
      </c>
      <c r="G849">
        <v>71.680000000000007</v>
      </c>
      <c r="H849" t="s">
        <v>4</v>
      </c>
      <c r="I849" s="2">
        <v>44474</v>
      </c>
      <c r="J849" t="s">
        <v>33</v>
      </c>
      <c r="K849" s="4">
        <f>Table1[[#This Row],[Quantity]]*Table1[[#This Row],[Price]]</f>
        <v>143.36000000000001</v>
      </c>
      <c r="L849" t="str">
        <f>IF(Table1[[#This Row],[Age]]&lt;25,"18-24",IF(Table1[[#This Row],[Age]]&lt;35,"25-34",IF(Table1[[#This Row],[Age]]&lt;45,"35-44",IF(Table1[[#This Row],[Age]]&lt;55,"45-54","55+"))))</f>
        <v>55+</v>
      </c>
      <c r="M849" t="str">
        <f>TEXT(Table1[[#This Row],[Invoice_date]],"mmm")</f>
        <v>Oct</v>
      </c>
      <c r="N849">
        <f>YEAR(Table1[[#This Row],[Invoice_date]])</f>
        <v>2021</v>
      </c>
    </row>
    <row r="850" spans="1:14" x14ac:dyDescent="0.25">
      <c r="A850" t="s">
        <v>1025</v>
      </c>
      <c r="B850" t="s">
        <v>1026</v>
      </c>
      <c r="C850" t="s">
        <v>12</v>
      </c>
      <c r="D850">
        <v>69</v>
      </c>
      <c r="E850" t="s">
        <v>3</v>
      </c>
      <c r="F850">
        <v>4</v>
      </c>
      <c r="G850">
        <v>1200.32</v>
      </c>
      <c r="H850" t="s">
        <v>13</v>
      </c>
      <c r="I850" s="2">
        <v>44420</v>
      </c>
      <c r="J850" t="s">
        <v>33</v>
      </c>
      <c r="K850" s="4">
        <f>Table1[[#This Row],[Quantity]]*Table1[[#This Row],[Price]]</f>
        <v>4801.28</v>
      </c>
      <c r="L850" t="str">
        <f>IF(Table1[[#This Row],[Age]]&lt;25,"18-24",IF(Table1[[#This Row],[Age]]&lt;35,"25-34",IF(Table1[[#This Row],[Age]]&lt;45,"35-44",IF(Table1[[#This Row],[Age]]&lt;55,"45-54","55+"))))</f>
        <v>55+</v>
      </c>
      <c r="M850" t="str">
        <f>TEXT(Table1[[#This Row],[Invoice_date]],"mmm")</f>
        <v>Aug</v>
      </c>
      <c r="N850">
        <f>YEAR(Table1[[#This Row],[Invoice_date]])</f>
        <v>2021</v>
      </c>
    </row>
    <row r="851" spans="1:14" x14ac:dyDescent="0.25">
      <c r="A851" t="s">
        <v>1029</v>
      </c>
      <c r="B851" t="s">
        <v>1030</v>
      </c>
      <c r="C851" t="s">
        <v>2</v>
      </c>
      <c r="D851">
        <v>62</v>
      </c>
      <c r="E851" t="s">
        <v>8</v>
      </c>
      <c r="F851">
        <v>3</v>
      </c>
      <c r="G851">
        <v>121.98</v>
      </c>
      <c r="H851" t="s">
        <v>4</v>
      </c>
      <c r="I851" s="2">
        <v>44484</v>
      </c>
      <c r="J851" t="s">
        <v>33</v>
      </c>
      <c r="K851" s="4">
        <f>Table1[[#This Row],[Quantity]]*Table1[[#This Row],[Price]]</f>
        <v>365.94</v>
      </c>
      <c r="L851" t="str">
        <f>IF(Table1[[#This Row],[Age]]&lt;25,"18-24",IF(Table1[[#This Row],[Age]]&lt;35,"25-34",IF(Table1[[#This Row],[Age]]&lt;45,"35-44",IF(Table1[[#This Row],[Age]]&lt;55,"45-54","55+"))))</f>
        <v>55+</v>
      </c>
      <c r="M851" t="str">
        <f>TEXT(Table1[[#This Row],[Invoice_date]],"mmm")</f>
        <v>Oct</v>
      </c>
      <c r="N851">
        <f>YEAR(Table1[[#This Row],[Invoice_date]])</f>
        <v>2021</v>
      </c>
    </row>
    <row r="852" spans="1:14" x14ac:dyDescent="0.25">
      <c r="A852" t="s">
        <v>1031</v>
      </c>
      <c r="B852" t="s">
        <v>1032</v>
      </c>
      <c r="C852" t="s">
        <v>2</v>
      </c>
      <c r="D852">
        <v>59</v>
      </c>
      <c r="E852" t="s">
        <v>27</v>
      </c>
      <c r="F852">
        <v>2</v>
      </c>
      <c r="G852">
        <v>10.46</v>
      </c>
      <c r="H852" t="s">
        <v>13</v>
      </c>
      <c r="I852" s="2">
        <v>44799</v>
      </c>
      <c r="J852" t="s">
        <v>30</v>
      </c>
      <c r="K852" s="4">
        <f>Table1[[#This Row],[Quantity]]*Table1[[#This Row],[Price]]</f>
        <v>20.92</v>
      </c>
      <c r="L852" t="str">
        <f>IF(Table1[[#This Row],[Age]]&lt;25,"18-24",IF(Table1[[#This Row],[Age]]&lt;35,"25-34",IF(Table1[[#This Row],[Age]]&lt;45,"35-44",IF(Table1[[#This Row],[Age]]&lt;55,"45-54","55+"))))</f>
        <v>55+</v>
      </c>
      <c r="M852" t="str">
        <f>TEXT(Table1[[#This Row],[Invoice_date]],"mmm")</f>
        <v>Aug</v>
      </c>
      <c r="N852">
        <f>YEAR(Table1[[#This Row],[Invoice_date]])</f>
        <v>2022</v>
      </c>
    </row>
    <row r="853" spans="1:14" x14ac:dyDescent="0.25">
      <c r="A853" t="s">
        <v>1045</v>
      </c>
      <c r="B853" t="s">
        <v>1046</v>
      </c>
      <c r="C853" t="s">
        <v>12</v>
      </c>
      <c r="D853">
        <v>63</v>
      </c>
      <c r="E853" t="s">
        <v>3</v>
      </c>
      <c r="F853">
        <v>4</v>
      </c>
      <c r="G853">
        <v>1200.32</v>
      </c>
      <c r="H853" t="s">
        <v>18</v>
      </c>
      <c r="I853" s="2">
        <v>44875</v>
      </c>
      <c r="J853" t="s">
        <v>24</v>
      </c>
      <c r="K853" s="4">
        <f>Table1[[#This Row],[Quantity]]*Table1[[#This Row],[Price]]</f>
        <v>4801.28</v>
      </c>
      <c r="L853" t="str">
        <f>IF(Table1[[#This Row],[Age]]&lt;25,"18-24",IF(Table1[[#This Row],[Age]]&lt;35,"25-34",IF(Table1[[#This Row],[Age]]&lt;45,"35-44",IF(Table1[[#This Row],[Age]]&lt;55,"45-54","55+"))))</f>
        <v>55+</v>
      </c>
      <c r="M853" t="str">
        <f>TEXT(Table1[[#This Row],[Invoice_date]],"mmm")</f>
        <v>Nov</v>
      </c>
      <c r="N853">
        <f>YEAR(Table1[[#This Row],[Invoice_date]])</f>
        <v>2022</v>
      </c>
    </row>
    <row r="854" spans="1:14" x14ac:dyDescent="0.25">
      <c r="A854" t="s">
        <v>1049</v>
      </c>
      <c r="B854" t="s">
        <v>1050</v>
      </c>
      <c r="C854" t="s">
        <v>12</v>
      </c>
      <c r="D854">
        <v>68</v>
      </c>
      <c r="E854" t="s">
        <v>46</v>
      </c>
      <c r="F854">
        <v>2</v>
      </c>
      <c r="G854">
        <v>23.46</v>
      </c>
      <c r="H854" t="s">
        <v>4</v>
      </c>
      <c r="I854" s="2">
        <v>44296</v>
      </c>
      <c r="J854" t="s">
        <v>33</v>
      </c>
      <c r="K854" s="4">
        <f>Table1[[#This Row],[Quantity]]*Table1[[#This Row],[Price]]</f>
        <v>46.92</v>
      </c>
      <c r="L854" t="str">
        <f>IF(Table1[[#This Row],[Age]]&lt;25,"18-24",IF(Table1[[#This Row],[Age]]&lt;35,"25-34",IF(Table1[[#This Row],[Age]]&lt;45,"35-44",IF(Table1[[#This Row],[Age]]&lt;55,"45-54","55+"))))</f>
        <v>55+</v>
      </c>
      <c r="M854" t="str">
        <f>TEXT(Table1[[#This Row],[Invoice_date]],"mmm")</f>
        <v>Apr</v>
      </c>
      <c r="N854">
        <f>YEAR(Table1[[#This Row],[Invoice_date]])</f>
        <v>2021</v>
      </c>
    </row>
    <row r="855" spans="1:14" x14ac:dyDescent="0.25">
      <c r="A855" t="s">
        <v>1051</v>
      </c>
      <c r="B855" t="s">
        <v>1052</v>
      </c>
      <c r="C855" t="s">
        <v>12</v>
      </c>
      <c r="D855">
        <v>63</v>
      </c>
      <c r="E855" t="s">
        <v>8</v>
      </c>
      <c r="F855">
        <v>1</v>
      </c>
      <c r="G855">
        <v>40.659999999999997</v>
      </c>
      <c r="H855" t="s">
        <v>18</v>
      </c>
      <c r="I855" s="2">
        <v>44457</v>
      </c>
      <c r="J855" t="s">
        <v>14</v>
      </c>
      <c r="K855" s="4">
        <f>Table1[[#This Row],[Quantity]]*Table1[[#This Row],[Price]]</f>
        <v>40.659999999999997</v>
      </c>
      <c r="L855" t="str">
        <f>IF(Table1[[#This Row],[Age]]&lt;25,"18-24",IF(Table1[[#This Row],[Age]]&lt;35,"25-34",IF(Table1[[#This Row],[Age]]&lt;45,"35-44",IF(Table1[[#This Row],[Age]]&lt;55,"45-54","55+"))))</f>
        <v>55+</v>
      </c>
      <c r="M855" t="str">
        <f>TEXT(Table1[[#This Row],[Invoice_date]],"mmm")</f>
        <v>Sep</v>
      </c>
      <c r="N855">
        <f>YEAR(Table1[[#This Row],[Invoice_date]])</f>
        <v>2021</v>
      </c>
    </row>
    <row r="856" spans="1:14" x14ac:dyDescent="0.25">
      <c r="A856" t="s">
        <v>1053</v>
      </c>
      <c r="B856" t="s">
        <v>1054</v>
      </c>
      <c r="C856" t="s">
        <v>12</v>
      </c>
      <c r="D856">
        <v>67</v>
      </c>
      <c r="E856" t="s">
        <v>38</v>
      </c>
      <c r="F856">
        <v>5</v>
      </c>
      <c r="G856">
        <v>3000.85</v>
      </c>
      <c r="H856" t="s">
        <v>4</v>
      </c>
      <c r="I856" s="2">
        <v>44894</v>
      </c>
      <c r="J856" t="s">
        <v>9</v>
      </c>
      <c r="K856" s="4">
        <f>Table1[[#This Row],[Quantity]]*Table1[[#This Row],[Price]]</f>
        <v>15004.25</v>
      </c>
      <c r="L856" t="str">
        <f>IF(Table1[[#This Row],[Age]]&lt;25,"18-24",IF(Table1[[#This Row],[Age]]&lt;35,"25-34",IF(Table1[[#This Row],[Age]]&lt;45,"35-44",IF(Table1[[#This Row],[Age]]&lt;55,"45-54","55+"))))</f>
        <v>55+</v>
      </c>
      <c r="M856" t="str">
        <f>TEXT(Table1[[#This Row],[Invoice_date]],"mmm")</f>
        <v>Nov</v>
      </c>
      <c r="N856">
        <f>YEAR(Table1[[#This Row],[Invoice_date]])</f>
        <v>2022</v>
      </c>
    </row>
    <row r="857" spans="1:14" x14ac:dyDescent="0.25">
      <c r="A857" t="s">
        <v>1079</v>
      </c>
      <c r="B857" t="s">
        <v>1080</v>
      </c>
      <c r="C857" t="s">
        <v>2</v>
      </c>
      <c r="D857">
        <v>67</v>
      </c>
      <c r="E857" t="s">
        <v>46</v>
      </c>
      <c r="F857">
        <v>4</v>
      </c>
      <c r="G857">
        <v>46.92</v>
      </c>
      <c r="H857" t="s">
        <v>4</v>
      </c>
      <c r="I857" s="2">
        <v>44260</v>
      </c>
      <c r="J857" t="s">
        <v>14</v>
      </c>
      <c r="K857" s="4">
        <f>Table1[[#This Row],[Quantity]]*Table1[[#This Row],[Price]]</f>
        <v>187.68</v>
      </c>
      <c r="L857" t="str">
        <f>IF(Table1[[#This Row],[Age]]&lt;25,"18-24",IF(Table1[[#This Row],[Age]]&lt;35,"25-34",IF(Table1[[#This Row],[Age]]&lt;45,"35-44",IF(Table1[[#This Row],[Age]]&lt;55,"45-54","55+"))))</f>
        <v>55+</v>
      </c>
      <c r="M857" t="str">
        <f>TEXT(Table1[[#This Row],[Invoice_date]],"mmm")</f>
        <v>Mar</v>
      </c>
      <c r="N857">
        <f>YEAR(Table1[[#This Row],[Invoice_date]])</f>
        <v>2021</v>
      </c>
    </row>
    <row r="858" spans="1:14" x14ac:dyDescent="0.25">
      <c r="A858" t="s">
        <v>1081</v>
      </c>
      <c r="B858" t="s">
        <v>1082</v>
      </c>
      <c r="C858" t="s">
        <v>2</v>
      </c>
      <c r="D858">
        <v>56</v>
      </c>
      <c r="E858" t="s">
        <v>8</v>
      </c>
      <c r="F858">
        <v>2</v>
      </c>
      <c r="G858">
        <v>81.319999999999993</v>
      </c>
      <c r="H858" t="s">
        <v>18</v>
      </c>
      <c r="I858" s="2">
        <v>44624</v>
      </c>
      <c r="J858" t="s">
        <v>74</v>
      </c>
      <c r="K858" s="4">
        <f>Table1[[#This Row],[Quantity]]*Table1[[#This Row],[Price]]</f>
        <v>162.63999999999999</v>
      </c>
      <c r="L858" t="str">
        <f>IF(Table1[[#This Row],[Age]]&lt;25,"18-24",IF(Table1[[#This Row],[Age]]&lt;35,"25-34",IF(Table1[[#This Row],[Age]]&lt;45,"35-44",IF(Table1[[#This Row],[Age]]&lt;55,"45-54","55+"))))</f>
        <v>55+</v>
      </c>
      <c r="M858" t="str">
        <f>TEXT(Table1[[#This Row],[Invoice_date]],"mmm")</f>
        <v>Mar</v>
      </c>
      <c r="N858">
        <f>YEAR(Table1[[#This Row],[Invoice_date]])</f>
        <v>2022</v>
      </c>
    </row>
    <row r="859" spans="1:14" x14ac:dyDescent="0.25">
      <c r="A859" t="s">
        <v>1083</v>
      </c>
      <c r="B859" t="s">
        <v>1084</v>
      </c>
      <c r="C859" t="s">
        <v>12</v>
      </c>
      <c r="D859">
        <v>65</v>
      </c>
      <c r="E859" t="s">
        <v>8</v>
      </c>
      <c r="F859">
        <v>1</v>
      </c>
      <c r="G859">
        <v>40.659999999999997</v>
      </c>
      <c r="H859" t="s">
        <v>18</v>
      </c>
      <c r="I859" s="2">
        <v>44866</v>
      </c>
      <c r="J859" t="s">
        <v>14</v>
      </c>
      <c r="K859" s="4">
        <f>Table1[[#This Row],[Quantity]]*Table1[[#This Row],[Price]]</f>
        <v>40.659999999999997</v>
      </c>
      <c r="L859" t="str">
        <f>IF(Table1[[#This Row],[Age]]&lt;25,"18-24",IF(Table1[[#This Row],[Age]]&lt;35,"25-34",IF(Table1[[#This Row],[Age]]&lt;45,"35-44",IF(Table1[[#This Row],[Age]]&lt;55,"45-54","55+"))))</f>
        <v>55+</v>
      </c>
      <c r="M859" t="str">
        <f>TEXT(Table1[[#This Row],[Invoice_date]],"mmm")</f>
        <v>Nov</v>
      </c>
      <c r="N859">
        <f>YEAR(Table1[[#This Row],[Invoice_date]])</f>
        <v>2022</v>
      </c>
    </row>
    <row r="860" spans="1:14" x14ac:dyDescent="0.25">
      <c r="A860" t="s">
        <v>1087</v>
      </c>
      <c r="B860" t="s">
        <v>1088</v>
      </c>
      <c r="C860" t="s">
        <v>2</v>
      </c>
      <c r="D860">
        <v>55</v>
      </c>
      <c r="E860" t="s">
        <v>27</v>
      </c>
      <c r="F860">
        <v>1</v>
      </c>
      <c r="G860">
        <v>5.23</v>
      </c>
      <c r="H860" t="s">
        <v>4</v>
      </c>
      <c r="I860" s="2">
        <v>44341</v>
      </c>
      <c r="J860" t="s">
        <v>24</v>
      </c>
      <c r="K860" s="4">
        <f>Table1[[#This Row],[Quantity]]*Table1[[#This Row],[Price]]</f>
        <v>5.23</v>
      </c>
      <c r="L860" t="str">
        <f>IF(Table1[[#This Row],[Age]]&lt;25,"18-24",IF(Table1[[#This Row],[Age]]&lt;35,"25-34",IF(Table1[[#This Row],[Age]]&lt;45,"35-44",IF(Table1[[#This Row],[Age]]&lt;55,"45-54","55+"))))</f>
        <v>55+</v>
      </c>
      <c r="M860" t="str">
        <f>TEXT(Table1[[#This Row],[Invoice_date]],"mmm")</f>
        <v>May</v>
      </c>
      <c r="N860">
        <f>YEAR(Table1[[#This Row],[Invoice_date]])</f>
        <v>2021</v>
      </c>
    </row>
    <row r="861" spans="1:14" x14ac:dyDescent="0.25">
      <c r="A861" t="s">
        <v>1099</v>
      </c>
      <c r="B861" t="s">
        <v>1100</v>
      </c>
      <c r="C861" t="s">
        <v>2</v>
      </c>
      <c r="D861">
        <v>67</v>
      </c>
      <c r="E861" t="s">
        <v>8</v>
      </c>
      <c r="F861">
        <v>1</v>
      </c>
      <c r="G861">
        <v>40.659999999999997</v>
      </c>
      <c r="H861" t="s">
        <v>4</v>
      </c>
      <c r="I861" s="2">
        <v>44649</v>
      </c>
      <c r="J861" t="s">
        <v>24</v>
      </c>
      <c r="K861" s="4">
        <f>Table1[[#This Row],[Quantity]]*Table1[[#This Row],[Price]]</f>
        <v>40.659999999999997</v>
      </c>
      <c r="L861" t="str">
        <f>IF(Table1[[#This Row],[Age]]&lt;25,"18-24",IF(Table1[[#This Row],[Age]]&lt;35,"25-34",IF(Table1[[#This Row],[Age]]&lt;45,"35-44",IF(Table1[[#This Row],[Age]]&lt;55,"45-54","55+"))))</f>
        <v>55+</v>
      </c>
      <c r="M861" t="str">
        <f>TEXT(Table1[[#This Row],[Invoice_date]],"mmm")</f>
        <v>Mar</v>
      </c>
      <c r="N861">
        <f>YEAR(Table1[[#This Row],[Invoice_date]])</f>
        <v>2022</v>
      </c>
    </row>
    <row r="862" spans="1:14" x14ac:dyDescent="0.25">
      <c r="A862" t="s">
        <v>1101</v>
      </c>
      <c r="B862" t="s">
        <v>1102</v>
      </c>
      <c r="C862" t="s">
        <v>12</v>
      </c>
      <c r="D862">
        <v>60</v>
      </c>
      <c r="E862" t="s">
        <v>27</v>
      </c>
      <c r="F862">
        <v>5</v>
      </c>
      <c r="G862">
        <v>26.15</v>
      </c>
      <c r="H862" t="s">
        <v>4</v>
      </c>
      <c r="I862" s="2">
        <v>44636</v>
      </c>
      <c r="J862" t="s">
        <v>24</v>
      </c>
      <c r="K862" s="4">
        <f>Table1[[#This Row],[Quantity]]*Table1[[#This Row],[Price]]</f>
        <v>130.75</v>
      </c>
      <c r="L862" t="str">
        <f>IF(Table1[[#This Row],[Age]]&lt;25,"18-24",IF(Table1[[#This Row],[Age]]&lt;35,"25-34",IF(Table1[[#This Row],[Age]]&lt;45,"35-44",IF(Table1[[#This Row],[Age]]&lt;55,"45-54","55+"))))</f>
        <v>55+</v>
      </c>
      <c r="M862" t="str">
        <f>TEXT(Table1[[#This Row],[Invoice_date]],"mmm")</f>
        <v>Mar</v>
      </c>
      <c r="N862">
        <f>YEAR(Table1[[#This Row],[Invoice_date]])</f>
        <v>2022</v>
      </c>
    </row>
    <row r="863" spans="1:14" x14ac:dyDescent="0.25">
      <c r="A863" t="s">
        <v>1103</v>
      </c>
      <c r="B863" t="s">
        <v>1104</v>
      </c>
      <c r="C863" t="s">
        <v>2</v>
      </c>
      <c r="D863">
        <v>67</v>
      </c>
      <c r="E863" t="s">
        <v>3</v>
      </c>
      <c r="F863">
        <v>2</v>
      </c>
      <c r="G863">
        <v>600.16</v>
      </c>
      <c r="H863" t="s">
        <v>4</v>
      </c>
      <c r="I863" s="2">
        <v>44685</v>
      </c>
      <c r="J863" t="s">
        <v>63</v>
      </c>
      <c r="K863" s="4">
        <f>Table1[[#This Row],[Quantity]]*Table1[[#This Row],[Price]]</f>
        <v>1200.32</v>
      </c>
      <c r="L863" t="str">
        <f>IF(Table1[[#This Row],[Age]]&lt;25,"18-24",IF(Table1[[#This Row],[Age]]&lt;35,"25-34",IF(Table1[[#This Row],[Age]]&lt;45,"35-44",IF(Table1[[#This Row],[Age]]&lt;55,"45-54","55+"))))</f>
        <v>55+</v>
      </c>
      <c r="M863" t="str">
        <f>TEXT(Table1[[#This Row],[Invoice_date]],"mmm")</f>
        <v>May</v>
      </c>
      <c r="N863">
        <f>YEAR(Table1[[#This Row],[Invoice_date]])</f>
        <v>2022</v>
      </c>
    </row>
    <row r="864" spans="1:14" x14ac:dyDescent="0.25">
      <c r="A864" t="s">
        <v>1117</v>
      </c>
      <c r="B864" t="s">
        <v>1118</v>
      </c>
      <c r="C864" t="s">
        <v>2</v>
      </c>
      <c r="D864">
        <v>68</v>
      </c>
      <c r="E864" t="s">
        <v>38</v>
      </c>
      <c r="F864">
        <v>3</v>
      </c>
      <c r="G864">
        <v>1800.51</v>
      </c>
      <c r="H864" t="s">
        <v>18</v>
      </c>
      <c r="I864" s="2">
        <v>44398</v>
      </c>
      <c r="J864" t="s">
        <v>14</v>
      </c>
      <c r="K864" s="4">
        <f>Table1[[#This Row],[Quantity]]*Table1[[#This Row],[Price]]</f>
        <v>5401.53</v>
      </c>
      <c r="L864" t="str">
        <f>IF(Table1[[#This Row],[Age]]&lt;25,"18-24",IF(Table1[[#This Row],[Age]]&lt;35,"25-34",IF(Table1[[#This Row],[Age]]&lt;45,"35-44",IF(Table1[[#This Row],[Age]]&lt;55,"45-54","55+"))))</f>
        <v>55+</v>
      </c>
      <c r="M864" t="str">
        <f>TEXT(Table1[[#This Row],[Invoice_date]],"mmm")</f>
        <v>Jul</v>
      </c>
      <c r="N864">
        <f>YEAR(Table1[[#This Row],[Invoice_date]])</f>
        <v>2021</v>
      </c>
    </row>
    <row r="865" spans="1:14" x14ac:dyDescent="0.25">
      <c r="A865" t="s">
        <v>1137</v>
      </c>
      <c r="B865" t="s">
        <v>1138</v>
      </c>
      <c r="C865" t="s">
        <v>12</v>
      </c>
      <c r="D865">
        <v>56</v>
      </c>
      <c r="E865" t="s">
        <v>8</v>
      </c>
      <c r="F865">
        <v>3</v>
      </c>
      <c r="G865">
        <v>121.98</v>
      </c>
      <c r="H865" t="s">
        <v>18</v>
      </c>
      <c r="I865" s="2">
        <v>44585</v>
      </c>
      <c r="J865" t="s">
        <v>14</v>
      </c>
      <c r="K865" s="4">
        <f>Table1[[#This Row],[Quantity]]*Table1[[#This Row],[Price]]</f>
        <v>365.94</v>
      </c>
      <c r="L865" t="str">
        <f>IF(Table1[[#This Row],[Age]]&lt;25,"18-24",IF(Table1[[#This Row],[Age]]&lt;35,"25-34",IF(Table1[[#This Row],[Age]]&lt;45,"35-44",IF(Table1[[#This Row],[Age]]&lt;55,"45-54","55+"))))</f>
        <v>55+</v>
      </c>
      <c r="M865" t="str">
        <f>TEXT(Table1[[#This Row],[Invoice_date]],"mmm")</f>
        <v>Jan</v>
      </c>
      <c r="N865">
        <f>YEAR(Table1[[#This Row],[Invoice_date]])</f>
        <v>2022</v>
      </c>
    </row>
    <row r="866" spans="1:14" x14ac:dyDescent="0.25">
      <c r="A866" t="s">
        <v>1139</v>
      </c>
      <c r="B866" t="s">
        <v>1140</v>
      </c>
      <c r="C866" t="s">
        <v>2</v>
      </c>
      <c r="D866">
        <v>61</v>
      </c>
      <c r="E866" t="s">
        <v>27</v>
      </c>
      <c r="F866">
        <v>5</v>
      </c>
      <c r="G866">
        <v>26.15</v>
      </c>
      <c r="H866" t="s">
        <v>13</v>
      </c>
      <c r="I866" s="2">
        <v>44669</v>
      </c>
      <c r="J866" t="s">
        <v>9</v>
      </c>
      <c r="K866" s="4">
        <f>Table1[[#This Row],[Quantity]]*Table1[[#This Row],[Price]]</f>
        <v>130.75</v>
      </c>
      <c r="L866" t="str">
        <f>IF(Table1[[#This Row],[Age]]&lt;25,"18-24",IF(Table1[[#This Row],[Age]]&lt;35,"25-34",IF(Table1[[#This Row],[Age]]&lt;45,"35-44",IF(Table1[[#This Row],[Age]]&lt;55,"45-54","55+"))))</f>
        <v>55+</v>
      </c>
      <c r="M866" t="str">
        <f>TEXT(Table1[[#This Row],[Invoice_date]],"mmm")</f>
        <v>Apr</v>
      </c>
      <c r="N866">
        <f>YEAR(Table1[[#This Row],[Invoice_date]])</f>
        <v>2022</v>
      </c>
    </row>
    <row r="867" spans="1:14" x14ac:dyDescent="0.25">
      <c r="A867" t="s">
        <v>1141</v>
      </c>
      <c r="B867" t="s">
        <v>1142</v>
      </c>
      <c r="C867" t="s">
        <v>12</v>
      </c>
      <c r="D867">
        <v>64</v>
      </c>
      <c r="E867" t="s">
        <v>3</v>
      </c>
      <c r="F867">
        <v>2</v>
      </c>
      <c r="G867">
        <v>600.16</v>
      </c>
      <c r="H867" t="s">
        <v>18</v>
      </c>
      <c r="I867" s="2">
        <v>44971</v>
      </c>
      <c r="J867" t="s">
        <v>14</v>
      </c>
      <c r="K867" s="4">
        <f>Table1[[#This Row],[Quantity]]*Table1[[#This Row],[Price]]</f>
        <v>1200.32</v>
      </c>
      <c r="L867" t="str">
        <f>IF(Table1[[#This Row],[Age]]&lt;25,"18-24",IF(Table1[[#This Row],[Age]]&lt;35,"25-34",IF(Table1[[#This Row],[Age]]&lt;45,"35-44",IF(Table1[[#This Row],[Age]]&lt;55,"45-54","55+"))))</f>
        <v>55+</v>
      </c>
      <c r="M867" t="str">
        <f>TEXT(Table1[[#This Row],[Invoice_date]],"mmm")</f>
        <v>Feb</v>
      </c>
      <c r="N867">
        <f>YEAR(Table1[[#This Row],[Invoice_date]])</f>
        <v>2023</v>
      </c>
    </row>
    <row r="868" spans="1:14" x14ac:dyDescent="0.25">
      <c r="A868" t="s">
        <v>1143</v>
      </c>
      <c r="B868" t="s">
        <v>1144</v>
      </c>
      <c r="C868" t="s">
        <v>12</v>
      </c>
      <c r="D868">
        <v>62</v>
      </c>
      <c r="E868" t="s">
        <v>17</v>
      </c>
      <c r="F868">
        <v>3</v>
      </c>
      <c r="G868">
        <v>45.45</v>
      </c>
      <c r="H868" t="s">
        <v>13</v>
      </c>
      <c r="I868" s="2">
        <v>44634</v>
      </c>
      <c r="J868" t="s">
        <v>14</v>
      </c>
      <c r="K868" s="4">
        <f>Table1[[#This Row],[Quantity]]*Table1[[#This Row],[Price]]</f>
        <v>136.35000000000002</v>
      </c>
      <c r="L868" t="str">
        <f>IF(Table1[[#This Row],[Age]]&lt;25,"18-24",IF(Table1[[#This Row],[Age]]&lt;35,"25-34",IF(Table1[[#This Row],[Age]]&lt;45,"35-44",IF(Table1[[#This Row],[Age]]&lt;55,"45-54","55+"))))</f>
        <v>55+</v>
      </c>
      <c r="M868" t="str">
        <f>TEXT(Table1[[#This Row],[Invoice_date]],"mmm")</f>
        <v>Mar</v>
      </c>
      <c r="N868">
        <f>YEAR(Table1[[#This Row],[Invoice_date]])</f>
        <v>2022</v>
      </c>
    </row>
    <row r="869" spans="1:14" x14ac:dyDescent="0.25">
      <c r="A869" t="s">
        <v>1149</v>
      </c>
      <c r="B869" t="s">
        <v>1150</v>
      </c>
      <c r="C869" t="s">
        <v>12</v>
      </c>
      <c r="D869">
        <v>68</v>
      </c>
      <c r="E869" t="s">
        <v>17</v>
      </c>
      <c r="F869">
        <v>1</v>
      </c>
      <c r="G869">
        <v>15.15</v>
      </c>
      <c r="H869" t="s">
        <v>18</v>
      </c>
      <c r="I869" s="2">
        <v>44445</v>
      </c>
      <c r="J869" t="s">
        <v>33</v>
      </c>
      <c r="K869" s="4">
        <f>Table1[[#This Row],[Quantity]]*Table1[[#This Row],[Price]]</f>
        <v>15.15</v>
      </c>
      <c r="L869" t="str">
        <f>IF(Table1[[#This Row],[Age]]&lt;25,"18-24",IF(Table1[[#This Row],[Age]]&lt;35,"25-34",IF(Table1[[#This Row],[Age]]&lt;45,"35-44",IF(Table1[[#This Row],[Age]]&lt;55,"45-54","55+"))))</f>
        <v>55+</v>
      </c>
      <c r="M869" t="str">
        <f>TEXT(Table1[[#This Row],[Invoice_date]],"mmm")</f>
        <v>Sep</v>
      </c>
      <c r="N869">
        <f>YEAR(Table1[[#This Row],[Invoice_date]])</f>
        <v>2021</v>
      </c>
    </row>
    <row r="870" spans="1:14" x14ac:dyDescent="0.25">
      <c r="A870" t="s">
        <v>1153</v>
      </c>
      <c r="B870" t="s">
        <v>1154</v>
      </c>
      <c r="C870" t="s">
        <v>12</v>
      </c>
      <c r="D870">
        <v>59</v>
      </c>
      <c r="E870" t="s">
        <v>21</v>
      </c>
      <c r="F870">
        <v>3</v>
      </c>
      <c r="G870">
        <v>3150</v>
      </c>
      <c r="H870" t="s">
        <v>18</v>
      </c>
      <c r="I870" s="2">
        <v>44699</v>
      </c>
      <c r="J870" t="s">
        <v>9</v>
      </c>
      <c r="K870" s="4">
        <f>Table1[[#This Row],[Quantity]]*Table1[[#This Row],[Price]]</f>
        <v>9450</v>
      </c>
      <c r="L870" t="str">
        <f>IF(Table1[[#This Row],[Age]]&lt;25,"18-24",IF(Table1[[#This Row],[Age]]&lt;35,"25-34",IF(Table1[[#This Row],[Age]]&lt;45,"35-44",IF(Table1[[#This Row],[Age]]&lt;55,"45-54","55+"))))</f>
        <v>55+</v>
      </c>
      <c r="M870" t="str">
        <f>TEXT(Table1[[#This Row],[Invoice_date]],"mmm")</f>
        <v>May</v>
      </c>
      <c r="N870">
        <f>YEAR(Table1[[#This Row],[Invoice_date]])</f>
        <v>2022</v>
      </c>
    </row>
    <row r="871" spans="1:14" x14ac:dyDescent="0.25">
      <c r="A871" t="s">
        <v>1159</v>
      </c>
      <c r="B871" t="s">
        <v>1160</v>
      </c>
      <c r="C871" t="s">
        <v>12</v>
      </c>
      <c r="D871">
        <v>69</v>
      </c>
      <c r="E871" t="s">
        <v>49</v>
      </c>
      <c r="F871">
        <v>4</v>
      </c>
      <c r="G871">
        <v>143.36000000000001</v>
      </c>
      <c r="H871" t="s">
        <v>18</v>
      </c>
      <c r="I871" s="2">
        <v>44382</v>
      </c>
      <c r="J871" t="s">
        <v>5</v>
      </c>
      <c r="K871" s="4">
        <f>Table1[[#This Row],[Quantity]]*Table1[[#This Row],[Price]]</f>
        <v>573.44000000000005</v>
      </c>
      <c r="L871" t="str">
        <f>IF(Table1[[#This Row],[Age]]&lt;25,"18-24",IF(Table1[[#This Row],[Age]]&lt;35,"25-34",IF(Table1[[#This Row],[Age]]&lt;45,"35-44",IF(Table1[[#This Row],[Age]]&lt;55,"45-54","55+"))))</f>
        <v>55+</v>
      </c>
      <c r="M871" t="str">
        <f>TEXT(Table1[[#This Row],[Invoice_date]],"mmm")</f>
        <v>Jul</v>
      </c>
      <c r="N871">
        <f>YEAR(Table1[[#This Row],[Invoice_date]])</f>
        <v>2021</v>
      </c>
    </row>
    <row r="872" spans="1:14" x14ac:dyDescent="0.25">
      <c r="A872" t="s">
        <v>1161</v>
      </c>
      <c r="B872" t="s">
        <v>1162</v>
      </c>
      <c r="C872" t="s">
        <v>12</v>
      </c>
      <c r="D872">
        <v>59</v>
      </c>
      <c r="E872" t="s">
        <v>49</v>
      </c>
      <c r="F872">
        <v>3</v>
      </c>
      <c r="G872">
        <v>107.52</v>
      </c>
      <c r="H872" t="s">
        <v>4</v>
      </c>
      <c r="I872" s="2">
        <v>44729</v>
      </c>
      <c r="J872" t="s">
        <v>50</v>
      </c>
      <c r="K872" s="4">
        <f>Table1[[#This Row],[Quantity]]*Table1[[#This Row],[Price]]</f>
        <v>322.56</v>
      </c>
      <c r="L872" t="str">
        <f>IF(Table1[[#This Row],[Age]]&lt;25,"18-24",IF(Table1[[#This Row],[Age]]&lt;35,"25-34",IF(Table1[[#This Row],[Age]]&lt;45,"35-44",IF(Table1[[#This Row],[Age]]&lt;55,"45-54","55+"))))</f>
        <v>55+</v>
      </c>
      <c r="M872" t="str">
        <f>TEXT(Table1[[#This Row],[Invoice_date]],"mmm")</f>
        <v>Jun</v>
      </c>
      <c r="N872">
        <f>YEAR(Table1[[#This Row],[Invoice_date]])</f>
        <v>2022</v>
      </c>
    </row>
    <row r="873" spans="1:14" x14ac:dyDescent="0.25">
      <c r="A873" t="s">
        <v>1163</v>
      </c>
      <c r="B873" t="s">
        <v>1164</v>
      </c>
      <c r="C873" t="s">
        <v>2</v>
      </c>
      <c r="D873">
        <v>69</v>
      </c>
      <c r="E873" t="s">
        <v>3</v>
      </c>
      <c r="F873">
        <v>1</v>
      </c>
      <c r="G873">
        <v>300.08</v>
      </c>
      <c r="H873" t="s">
        <v>4</v>
      </c>
      <c r="I873" s="2">
        <v>44422</v>
      </c>
      <c r="J873" t="s">
        <v>5</v>
      </c>
      <c r="K873" s="4">
        <f>Table1[[#This Row],[Quantity]]*Table1[[#This Row],[Price]]</f>
        <v>300.08</v>
      </c>
      <c r="L873" t="str">
        <f>IF(Table1[[#This Row],[Age]]&lt;25,"18-24",IF(Table1[[#This Row],[Age]]&lt;35,"25-34",IF(Table1[[#This Row],[Age]]&lt;45,"35-44",IF(Table1[[#This Row],[Age]]&lt;55,"45-54","55+"))))</f>
        <v>55+</v>
      </c>
      <c r="M873" t="str">
        <f>TEXT(Table1[[#This Row],[Invoice_date]],"mmm")</f>
        <v>Aug</v>
      </c>
      <c r="N873">
        <f>YEAR(Table1[[#This Row],[Invoice_date]])</f>
        <v>2021</v>
      </c>
    </row>
    <row r="874" spans="1:14" x14ac:dyDescent="0.25">
      <c r="A874" t="s">
        <v>1167</v>
      </c>
      <c r="B874" t="s">
        <v>1168</v>
      </c>
      <c r="C874" t="s">
        <v>2</v>
      </c>
      <c r="D874">
        <v>64</v>
      </c>
      <c r="E874" t="s">
        <v>3</v>
      </c>
      <c r="F874">
        <v>4</v>
      </c>
      <c r="G874">
        <v>1200.32</v>
      </c>
      <c r="H874" t="s">
        <v>18</v>
      </c>
      <c r="I874" s="2">
        <v>44369</v>
      </c>
      <c r="J874" t="s">
        <v>5</v>
      </c>
      <c r="K874" s="4">
        <f>Table1[[#This Row],[Quantity]]*Table1[[#This Row],[Price]]</f>
        <v>4801.28</v>
      </c>
      <c r="L874" t="str">
        <f>IF(Table1[[#This Row],[Age]]&lt;25,"18-24",IF(Table1[[#This Row],[Age]]&lt;35,"25-34",IF(Table1[[#This Row],[Age]]&lt;45,"35-44",IF(Table1[[#This Row],[Age]]&lt;55,"45-54","55+"))))</f>
        <v>55+</v>
      </c>
      <c r="M874" t="str">
        <f>TEXT(Table1[[#This Row],[Invoice_date]],"mmm")</f>
        <v>Jun</v>
      </c>
      <c r="N874">
        <f>YEAR(Table1[[#This Row],[Invoice_date]])</f>
        <v>2021</v>
      </c>
    </row>
    <row r="875" spans="1:14" x14ac:dyDescent="0.25">
      <c r="A875" t="s">
        <v>1175</v>
      </c>
      <c r="B875" t="s">
        <v>1176</v>
      </c>
      <c r="C875" t="s">
        <v>12</v>
      </c>
      <c r="D875">
        <v>69</v>
      </c>
      <c r="E875" t="s">
        <v>49</v>
      </c>
      <c r="F875">
        <v>5</v>
      </c>
      <c r="G875">
        <v>179.2</v>
      </c>
      <c r="H875" t="s">
        <v>4</v>
      </c>
      <c r="I875" s="2">
        <v>44309</v>
      </c>
      <c r="J875" t="s">
        <v>74</v>
      </c>
      <c r="K875" s="4">
        <f>Table1[[#This Row],[Quantity]]*Table1[[#This Row],[Price]]</f>
        <v>896</v>
      </c>
      <c r="L875" t="str">
        <f>IF(Table1[[#This Row],[Age]]&lt;25,"18-24",IF(Table1[[#This Row],[Age]]&lt;35,"25-34",IF(Table1[[#This Row],[Age]]&lt;45,"35-44",IF(Table1[[#This Row],[Age]]&lt;55,"45-54","55+"))))</f>
        <v>55+</v>
      </c>
      <c r="M875" t="str">
        <f>TEXT(Table1[[#This Row],[Invoice_date]],"mmm")</f>
        <v>Apr</v>
      </c>
      <c r="N875">
        <f>YEAR(Table1[[#This Row],[Invoice_date]])</f>
        <v>2021</v>
      </c>
    </row>
    <row r="876" spans="1:14" x14ac:dyDescent="0.25">
      <c r="A876" t="s">
        <v>1179</v>
      </c>
      <c r="B876" t="s">
        <v>1180</v>
      </c>
      <c r="C876" t="s">
        <v>2</v>
      </c>
      <c r="D876">
        <v>61</v>
      </c>
      <c r="E876" t="s">
        <v>3</v>
      </c>
      <c r="F876">
        <v>3</v>
      </c>
      <c r="G876">
        <v>900.24</v>
      </c>
      <c r="H876" t="s">
        <v>18</v>
      </c>
      <c r="I876" s="2">
        <v>44648</v>
      </c>
      <c r="J876" t="s">
        <v>33</v>
      </c>
      <c r="K876" s="4">
        <f>Table1[[#This Row],[Quantity]]*Table1[[#This Row],[Price]]</f>
        <v>2700.7200000000003</v>
      </c>
      <c r="L876" t="str">
        <f>IF(Table1[[#This Row],[Age]]&lt;25,"18-24",IF(Table1[[#This Row],[Age]]&lt;35,"25-34",IF(Table1[[#This Row],[Age]]&lt;45,"35-44",IF(Table1[[#This Row],[Age]]&lt;55,"45-54","55+"))))</f>
        <v>55+</v>
      </c>
      <c r="M876" t="str">
        <f>TEXT(Table1[[#This Row],[Invoice_date]],"mmm")</f>
        <v>Mar</v>
      </c>
      <c r="N876">
        <f>YEAR(Table1[[#This Row],[Invoice_date]])</f>
        <v>2022</v>
      </c>
    </row>
    <row r="877" spans="1:14" x14ac:dyDescent="0.25">
      <c r="A877" t="s">
        <v>1181</v>
      </c>
      <c r="B877" t="s">
        <v>1182</v>
      </c>
      <c r="C877" t="s">
        <v>12</v>
      </c>
      <c r="D877">
        <v>62</v>
      </c>
      <c r="E877" t="s">
        <v>38</v>
      </c>
      <c r="F877">
        <v>1</v>
      </c>
      <c r="G877">
        <v>600.16999999999996</v>
      </c>
      <c r="H877" t="s">
        <v>18</v>
      </c>
      <c r="I877" s="2">
        <v>44313</v>
      </c>
      <c r="J877" t="s">
        <v>50</v>
      </c>
      <c r="K877" s="4">
        <f>Table1[[#This Row],[Quantity]]*Table1[[#This Row],[Price]]</f>
        <v>600.16999999999996</v>
      </c>
      <c r="L877" t="str">
        <f>IF(Table1[[#This Row],[Age]]&lt;25,"18-24",IF(Table1[[#This Row],[Age]]&lt;35,"25-34",IF(Table1[[#This Row],[Age]]&lt;45,"35-44",IF(Table1[[#This Row],[Age]]&lt;55,"45-54","55+"))))</f>
        <v>55+</v>
      </c>
      <c r="M877" t="str">
        <f>TEXT(Table1[[#This Row],[Invoice_date]],"mmm")</f>
        <v>Apr</v>
      </c>
      <c r="N877">
        <f>YEAR(Table1[[#This Row],[Invoice_date]])</f>
        <v>2021</v>
      </c>
    </row>
    <row r="878" spans="1:14" x14ac:dyDescent="0.25">
      <c r="A878" t="s">
        <v>1183</v>
      </c>
      <c r="B878" t="s">
        <v>1184</v>
      </c>
      <c r="C878" t="s">
        <v>12</v>
      </c>
      <c r="D878">
        <v>61</v>
      </c>
      <c r="E878" t="s">
        <v>3</v>
      </c>
      <c r="F878">
        <v>5</v>
      </c>
      <c r="G878">
        <v>1500.4</v>
      </c>
      <c r="H878" t="s">
        <v>4</v>
      </c>
      <c r="I878" s="2">
        <v>44944</v>
      </c>
      <c r="J878" t="s">
        <v>33</v>
      </c>
      <c r="K878" s="4">
        <f>Table1[[#This Row],[Quantity]]*Table1[[#This Row],[Price]]</f>
        <v>7502</v>
      </c>
      <c r="L878" t="str">
        <f>IF(Table1[[#This Row],[Age]]&lt;25,"18-24",IF(Table1[[#This Row],[Age]]&lt;35,"25-34",IF(Table1[[#This Row],[Age]]&lt;45,"35-44",IF(Table1[[#This Row],[Age]]&lt;55,"45-54","55+"))))</f>
        <v>55+</v>
      </c>
      <c r="M878" t="str">
        <f>TEXT(Table1[[#This Row],[Invoice_date]],"mmm")</f>
        <v>Jan</v>
      </c>
      <c r="N878">
        <f>YEAR(Table1[[#This Row],[Invoice_date]])</f>
        <v>2023</v>
      </c>
    </row>
    <row r="879" spans="1:14" x14ac:dyDescent="0.25">
      <c r="A879" t="s">
        <v>1199</v>
      </c>
      <c r="B879" t="s">
        <v>1200</v>
      </c>
      <c r="C879" t="s">
        <v>12</v>
      </c>
      <c r="D879">
        <v>68</v>
      </c>
      <c r="E879" t="s">
        <v>38</v>
      </c>
      <c r="F879">
        <v>3</v>
      </c>
      <c r="G879">
        <v>1800.51</v>
      </c>
      <c r="H879" t="s">
        <v>4</v>
      </c>
      <c r="I879" s="2">
        <v>44279</v>
      </c>
      <c r="J879" t="s">
        <v>50</v>
      </c>
      <c r="K879" s="4">
        <f>Table1[[#This Row],[Quantity]]*Table1[[#This Row],[Price]]</f>
        <v>5401.53</v>
      </c>
      <c r="L879" t="str">
        <f>IF(Table1[[#This Row],[Age]]&lt;25,"18-24",IF(Table1[[#This Row],[Age]]&lt;35,"25-34",IF(Table1[[#This Row],[Age]]&lt;45,"35-44",IF(Table1[[#This Row],[Age]]&lt;55,"45-54","55+"))))</f>
        <v>55+</v>
      </c>
      <c r="M879" t="str">
        <f>TEXT(Table1[[#This Row],[Invoice_date]],"mmm")</f>
        <v>Mar</v>
      </c>
      <c r="N879">
        <f>YEAR(Table1[[#This Row],[Invoice_date]])</f>
        <v>2021</v>
      </c>
    </row>
    <row r="880" spans="1:14" x14ac:dyDescent="0.25">
      <c r="A880" t="s">
        <v>1203</v>
      </c>
      <c r="B880" t="s">
        <v>1204</v>
      </c>
      <c r="C880" t="s">
        <v>12</v>
      </c>
      <c r="D880">
        <v>67</v>
      </c>
      <c r="E880" t="s">
        <v>3</v>
      </c>
      <c r="F880">
        <v>2</v>
      </c>
      <c r="G880">
        <v>600.16</v>
      </c>
      <c r="H880" t="s">
        <v>18</v>
      </c>
      <c r="I880" s="2">
        <v>44544</v>
      </c>
      <c r="J880" t="s">
        <v>5</v>
      </c>
      <c r="K880" s="4">
        <f>Table1[[#This Row],[Quantity]]*Table1[[#This Row],[Price]]</f>
        <v>1200.32</v>
      </c>
      <c r="L880" t="str">
        <f>IF(Table1[[#This Row],[Age]]&lt;25,"18-24",IF(Table1[[#This Row],[Age]]&lt;35,"25-34",IF(Table1[[#This Row],[Age]]&lt;45,"35-44",IF(Table1[[#This Row],[Age]]&lt;55,"45-54","55+"))))</f>
        <v>55+</v>
      </c>
      <c r="M880" t="str">
        <f>TEXT(Table1[[#This Row],[Invoice_date]],"mmm")</f>
        <v>Dec</v>
      </c>
      <c r="N880">
        <f>YEAR(Table1[[#This Row],[Invoice_date]])</f>
        <v>2021</v>
      </c>
    </row>
    <row r="881" spans="1:14" x14ac:dyDescent="0.25">
      <c r="A881" t="s">
        <v>1209</v>
      </c>
      <c r="B881" t="s">
        <v>1210</v>
      </c>
      <c r="C881" t="s">
        <v>2</v>
      </c>
      <c r="D881">
        <v>57</v>
      </c>
      <c r="E881" t="s">
        <v>17</v>
      </c>
      <c r="F881">
        <v>4</v>
      </c>
      <c r="G881">
        <v>60.6</v>
      </c>
      <c r="H881" t="s">
        <v>18</v>
      </c>
      <c r="I881" s="2">
        <v>44304</v>
      </c>
      <c r="J881" t="s">
        <v>43</v>
      </c>
      <c r="K881" s="4">
        <f>Table1[[#This Row],[Quantity]]*Table1[[#This Row],[Price]]</f>
        <v>242.4</v>
      </c>
      <c r="L881" t="str">
        <f>IF(Table1[[#This Row],[Age]]&lt;25,"18-24",IF(Table1[[#This Row],[Age]]&lt;35,"25-34",IF(Table1[[#This Row],[Age]]&lt;45,"35-44",IF(Table1[[#This Row],[Age]]&lt;55,"45-54","55+"))))</f>
        <v>55+</v>
      </c>
      <c r="M881" t="str">
        <f>TEXT(Table1[[#This Row],[Invoice_date]],"mmm")</f>
        <v>Apr</v>
      </c>
      <c r="N881">
        <f>YEAR(Table1[[#This Row],[Invoice_date]])</f>
        <v>2021</v>
      </c>
    </row>
    <row r="882" spans="1:14" x14ac:dyDescent="0.25">
      <c r="A882" t="s">
        <v>1213</v>
      </c>
      <c r="B882" t="s">
        <v>1214</v>
      </c>
      <c r="C882" t="s">
        <v>2</v>
      </c>
      <c r="D882">
        <v>69</v>
      </c>
      <c r="E882" t="s">
        <v>3</v>
      </c>
      <c r="F882">
        <v>5</v>
      </c>
      <c r="G882">
        <v>1500.4</v>
      </c>
      <c r="H882" t="s">
        <v>4</v>
      </c>
      <c r="I882" s="2">
        <v>44249</v>
      </c>
      <c r="J882" t="s">
        <v>50</v>
      </c>
      <c r="K882" s="4">
        <f>Table1[[#This Row],[Quantity]]*Table1[[#This Row],[Price]]</f>
        <v>7502</v>
      </c>
      <c r="L882" t="str">
        <f>IF(Table1[[#This Row],[Age]]&lt;25,"18-24",IF(Table1[[#This Row],[Age]]&lt;35,"25-34",IF(Table1[[#This Row],[Age]]&lt;45,"35-44",IF(Table1[[#This Row],[Age]]&lt;55,"45-54","55+"))))</f>
        <v>55+</v>
      </c>
      <c r="M882" t="str">
        <f>TEXT(Table1[[#This Row],[Invoice_date]],"mmm")</f>
        <v>Feb</v>
      </c>
      <c r="N882">
        <f>YEAR(Table1[[#This Row],[Invoice_date]])</f>
        <v>2021</v>
      </c>
    </row>
    <row r="883" spans="1:14" x14ac:dyDescent="0.25">
      <c r="A883" t="s">
        <v>1225</v>
      </c>
      <c r="B883" t="s">
        <v>1226</v>
      </c>
      <c r="C883" t="s">
        <v>12</v>
      </c>
      <c r="D883">
        <v>64</v>
      </c>
      <c r="E883" t="s">
        <v>3</v>
      </c>
      <c r="F883">
        <v>5</v>
      </c>
      <c r="G883">
        <v>1500.4</v>
      </c>
      <c r="H883" t="s">
        <v>18</v>
      </c>
      <c r="I883" s="2">
        <v>44291</v>
      </c>
      <c r="J883" t="s">
        <v>14</v>
      </c>
      <c r="K883" s="4">
        <f>Table1[[#This Row],[Quantity]]*Table1[[#This Row],[Price]]</f>
        <v>7502</v>
      </c>
      <c r="L883" t="str">
        <f>IF(Table1[[#This Row],[Age]]&lt;25,"18-24",IF(Table1[[#This Row],[Age]]&lt;35,"25-34",IF(Table1[[#This Row],[Age]]&lt;45,"35-44",IF(Table1[[#This Row],[Age]]&lt;55,"45-54","55+"))))</f>
        <v>55+</v>
      </c>
      <c r="M883" t="str">
        <f>TEXT(Table1[[#This Row],[Invoice_date]],"mmm")</f>
        <v>Apr</v>
      </c>
      <c r="N883">
        <f>YEAR(Table1[[#This Row],[Invoice_date]])</f>
        <v>2021</v>
      </c>
    </row>
    <row r="884" spans="1:14" x14ac:dyDescent="0.25">
      <c r="A884" t="s">
        <v>1231</v>
      </c>
      <c r="B884" t="s">
        <v>1232</v>
      </c>
      <c r="C884" t="s">
        <v>2</v>
      </c>
      <c r="D884">
        <v>65</v>
      </c>
      <c r="E884" t="s">
        <v>38</v>
      </c>
      <c r="F884">
        <v>2</v>
      </c>
      <c r="G884">
        <v>1200.3399999999999</v>
      </c>
      <c r="H884" t="s">
        <v>18</v>
      </c>
      <c r="I884" s="2">
        <v>44710</v>
      </c>
      <c r="J884" t="s">
        <v>24</v>
      </c>
      <c r="K884" s="4">
        <f>Table1[[#This Row],[Quantity]]*Table1[[#This Row],[Price]]</f>
        <v>2400.6799999999998</v>
      </c>
      <c r="L884" t="str">
        <f>IF(Table1[[#This Row],[Age]]&lt;25,"18-24",IF(Table1[[#This Row],[Age]]&lt;35,"25-34",IF(Table1[[#This Row],[Age]]&lt;45,"35-44",IF(Table1[[#This Row],[Age]]&lt;55,"45-54","55+"))))</f>
        <v>55+</v>
      </c>
      <c r="M884" t="str">
        <f>TEXT(Table1[[#This Row],[Invoice_date]],"mmm")</f>
        <v>May</v>
      </c>
      <c r="N884">
        <f>YEAR(Table1[[#This Row],[Invoice_date]])</f>
        <v>2022</v>
      </c>
    </row>
    <row r="885" spans="1:14" x14ac:dyDescent="0.25">
      <c r="A885" t="s">
        <v>1245</v>
      </c>
      <c r="B885" t="s">
        <v>1246</v>
      </c>
      <c r="C885" t="s">
        <v>2</v>
      </c>
      <c r="D885">
        <v>66</v>
      </c>
      <c r="E885" t="s">
        <v>21</v>
      </c>
      <c r="F885">
        <v>3</v>
      </c>
      <c r="G885">
        <v>3150</v>
      </c>
      <c r="H885" t="s">
        <v>13</v>
      </c>
      <c r="I885" s="2">
        <v>44960</v>
      </c>
      <c r="J885" t="s">
        <v>14</v>
      </c>
      <c r="K885" s="4">
        <f>Table1[[#This Row],[Quantity]]*Table1[[#This Row],[Price]]</f>
        <v>9450</v>
      </c>
      <c r="L885" t="str">
        <f>IF(Table1[[#This Row],[Age]]&lt;25,"18-24",IF(Table1[[#This Row],[Age]]&lt;35,"25-34",IF(Table1[[#This Row],[Age]]&lt;45,"35-44",IF(Table1[[#This Row],[Age]]&lt;55,"45-54","55+"))))</f>
        <v>55+</v>
      </c>
      <c r="M885" t="str">
        <f>TEXT(Table1[[#This Row],[Invoice_date]],"mmm")</f>
        <v>Feb</v>
      </c>
      <c r="N885">
        <f>YEAR(Table1[[#This Row],[Invoice_date]])</f>
        <v>2023</v>
      </c>
    </row>
    <row r="886" spans="1:14" x14ac:dyDescent="0.25">
      <c r="A886" t="s">
        <v>1257</v>
      </c>
      <c r="B886" t="s">
        <v>1258</v>
      </c>
      <c r="C886" t="s">
        <v>2</v>
      </c>
      <c r="D886">
        <v>56</v>
      </c>
      <c r="E886" t="s">
        <v>3</v>
      </c>
      <c r="F886">
        <v>3</v>
      </c>
      <c r="G886">
        <v>900.24</v>
      </c>
      <c r="H886" t="s">
        <v>18</v>
      </c>
      <c r="I886" s="2">
        <v>44950</v>
      </c>
      <c r="J886" t="s">
        <v>24</v>
      </c>
      <c r="K886" s="4">
        <f>Table1[[#This Row],[Quantity]]*Table1[[#This Row],[Price]]</f>
        <v>2700.7200000000003</v>
      </c>
      <c r="L886" t="str">
        <f>IF(Table1[[#This Row],[Age]]&lt;25,"18-24",IF(Table1[[#This Row],[Age]]&lt;35,"25-34",IF(Table1[[#This Row],[Age]]&lt;45,"35-44",IF(Table1[[#This Row],[Age]]&lt;55,"45-54","55+"))))</f>
        <v>55+</v>
      </c>
      <c r="M886" t="str">
        <f>TEXT(Table1[[#This Row],[Invoice_date]],"mmm")</f>
        <v>Jan</v>
      </c>
      <c r="N886">
        <f>YEAR(Table1[[#This Row],[Invoice_date]])</f>
        <v>2023</v>
      </c>
    </row>
    <row r="887" spans="1:14" x14ac:dyDescent="0.25">
      <c r="A887" t="s">
        <v>1259</v>
      </c>
      <c r="B887" t="s">
        <v>1260</v>
      </c>
      <c r="C887" t="s">
        <v>12</v>
      </c>
      <c r="D887">
        <v>57</v>
      </c>
      <c r="E887" t="s">
        <v>3</v>
      </c>
      <c r="F887">
        <v>5</v>
      </c>
      <c r="G887">
        <v>1500.4</v>
      </c>
      <c r="H887" t="s">
        <v>18</v>
      </c>
      <c r="I887" s="2">
        <v>44595</v>
      </c>
      <c r="J887" t="s">
        <v>24</v>
      </c>
      <c r="K887" s="4">
        <f>Table1[[#This Row],[Quantity]]*Table1[[#This Row],[Price]]</f>
        <v>7502</v>
      </c>
      <c r="L887" t="str">
        <f>IF(Table1[[#This Row],[Age]]&lt;25,"18-24",IF(Table1[[#This Row],[Age]]&lt;35,"25-34",IF(Table1[[#This Row],[Age]]&lt;45,"35-44",IF(Table1[[#This Row],[Age]]&lt;55,"45-54","55+"))))</f>
        <v>55+</v>
      </c>
      <c r="M887" t="str">
        <f>TEXT(Table1[[#This Row],[Invoice_date]],"mmm")</f>
        <v>Feb</v>
      </c>
      <c r="N887">
        <f>YEAR(Table1[[#This Row],[Invoice_date]])</f>
        <v>2022</v>
      </c>
    </row>
    <row r="888" spans="1:14" x14ac:dyDescent="0.25">
      <c r="A888" t="s">
        <v>1261</v>
      </c>
      <c r="B888" t="s">
        <v>1262</v>
      </c>
      <c r="C888" t="s">
        <v>2</v>
      </c>
      <c r="D888">
        <v>57</v>
      </c>
      <c r="E888" t="s">
        <v>49</v>
      </c>
      <c r="F888">
        <v>5</v>
      </c>
      <c r="G888">
        <v>179.2</v>
      </c>
      <c r="H888" t="s">
        <v>18</v>
      </c>
      <c r="I888" s="2">
        <v>44511</v>
      </c>
      <c r="J888" t="s">
        <v>14</v>
      </c>
      <c r="K888" s="4">
        <f>Table1[[#This Row],[Quantity]]*Table1[[#This Row],[Price]]</f>
        <v>896</v>
      </c>
      <c r="L888" t="str">
        <f>IF(Table1[[#This Row],[Age]]&lt;25,"18-24",IF(Table1[[#This Row],[Age]]&lt;35,"25-34",IF(Table1[[#This Row],[Age]]&lt;45,"35-44",IF(Table1[[#This Row],[Age]]&lt;55,"45-54","55+"))))</f>
        <v>55+</v>
      </c>
      <c r="M888" t="str">
        <f>TEXT(Table1[[#This Row],[Invoice_date]],"mmm")</f>
        <v>Nov</v>
      </c>
      <c r="N888">
        <f>YEAR(Table1[[#This Row],[Invoice_date]])</f>
        <v>2021</v>
      </c>
    </row>
    <row r="889" spans="1:14" x14ac:dyDescent="0.25">
      <c r="A889" t="s">
        <v>1271</v>
      </c>
      <c r="B889" t="s">
        <v>1272</v>
      </c>
      <c r="C889" t="s">
        <v>2</v>
      </c>
      <c r="D889">
        <v>57</v>
      </c>
      <c r="E889" t="s">
        <v>49</v>
      </c>
      <c r="F889">
        <v>1</v>
      </c>
      <c r="G889">
        <v>35.840000000000003</v>
      </c>
      <c r="H889" t="s">
        <v>18</v>
      </c>
      <c r="I889" s="2">
        <v>44455</v>
      </c>
      <c r="J889" t="s">
        <v>30</v>
      </c>
      <c r="K889" s="4">
        <f>Table1[[#This Row],[Quantity]]*Table1[[#This Row],[Price]]</f>
        <v>35.840000000000003</v>
      </c>
      <c r="L889" t="str">
        <f>IF(Table1[[#This Row],[Age]]&lt;25,"18-24",IF(Table1[[#This Row],[Age]]&lt;35,"25-34",IF(Table1[[#This Row],[Age]]&lt;45,"35-44",IF(Table1[[#This Row],[Age]]&lt;55,"45-54","55+"))))</f>
        <v>55+</v>
      </c>
      <c r="M889" t="str">
        <f>TEXT(Table1[[#This Row],[Invoice_date]],"mmm")</f>
        <v>Sep</v>
      </c>
      <c r="N889">
        <f>YEAR(Table1[[#This Row],[Invoice_date]])</f>
        <v>2021</v>
      </c>
    </row>
    <row r="890" spans="1:14" x14ac:dyDescent="0.25">
      <c r="A890" t="s">
        <v>1275</v>
      </c>
      <c r="B890" t="s">
        <v>1276</v>
      </c>
      <c r="C890" t="s">
        <v>2</v>
      </c>
      <c r="D890">
        <v>66</v>
      </c>
      <c r="E890" t="s">
        <v>3</v>
      </c>
      <c r="F890">
        <v>4</v>
      </c>
      <c r="G890">
        <v>1200.32</v>
      </c>
      <c r="H890" t="s">
        <v>18</v>
      </c>
      <c r="I890" s="2">
        <v>44283</v>
      </c>
      <c r="J890" t="s">
        <v>30</v>
      </c>
      <c r="K890" s="4">
        <f>Table1[[#This Row],[Quantity]]*Table1[[#This Row],[Price]]</f>
        <v>4801.28</v>
      </c>
      <c r="L890" t="str">
        <f>IF(Table1[[#This Row],[Age]]&lt;25,"18-24",IF(Table1[[#This Row],[Age]]&lt;35,"25-34",IF(Table1[[#This Row],[Age]]&lt;45,"35-44",IF(Table1[[#This Row],[Age]]&lt;55,"45-54","55+"))))</f>
        <v>55+</v>
      </c>
      <c r="M890" t="str">
        <f>TEXT(Table1[[#This Row],[Invoice_date]],"mmm")</f>
        <v>Mar</v>
      </c>
      <c r="N890">
        <f>YEAR(Table1[[#This Row],[Invoice_date]])</f>
        <v>2021</v>
      </c>
    </row>
    <row r="891" spans="1:14" x14ac:dyDescent="0.25">
      <c r="A891" t="s">
        <v>1283</v>
      </c>
      <c r="B891" t="s">
        <v>1284</v>
      </c>
      <c r="C891" t="s">
        <v>12</v>
      </c>
      <c r="D891">
        <v>64</v>
      </c>
      <c r="E891" t="s">
        <v>3</v>
      </c>
      <c r="F891">
        <v>2</v>
      </c>
      <c r="G891">
        <v>600.16</v>
      </c>
      <c r="H891" t="s">
        <v>13</v>
      </c>
      <c r="I891" s="2">
        <v>44203</v>
      </c>
      <c r="J891" t="s">
        <v>33</v>
      </c>
      <c r="K891" s="4">
        <f>Table1[[#This Row],[Quantity]]*Table1[[#This Row],[Price]]</f>
        <v>1200.32</v>
      </c>
      <c r="L891" t="str">
        <f>IF(Table1[[#This Row],[Age]]&lt;25,"18-24",IF(Table1[[#This Row],[Age]]&lt;35,"25-34",IF(Table1[[#This Row],[Age]]&lt;45,"35-44",IF(Table1[[#This Row],[Age]]&lt;55,"45-54","55+"))))</f>
        <v>55+</v>
      </c>
      <c r="M891" t="str">
        <f>TEXT(Table1[[#This Row],[Invoice_date]],"mmm")</f>
        <v>Jan</v>
      </c>
      <c r="N891">
        <f>YEAR(Table1[[#This Row],[Invoice_date]])</f>
        <v>2021</v>
      </c>
    </row>
    <row r="892" spans="1:14" x14ac:dyDescent="0.25">
      <c r="A892" t="s">
        <v>1303</v>
      </c>
      <c r="B892" t="s">
        <v>1304</v>
      </c>
      <c r="C892" t="s">
        <v>12</v>
      </c>
      <c r="D892">
        <v>58</v>
      </c>
      <c r="E892" t="s">
        <v>49</v>
      </c>
      <c r="F892">
        <v>1</v>
      </c>
      <c r="G892">
        <v>35.840000000000003</v>
      </c>
      <c r="H892" t="s">
        <v>4</v>
      </c>
      <c r="I892" s="2">
        <v>44855</v>
      </c>
      <c r="J892" t="s">
        <v>24</v>
      </c>
      <c r="K892" s="4">
        <f>Table1[[#This Row],[Quantity]]*Table1[[#This Row],[Price]]</f>
        <v>35.840000000000003</v>
      </c>
      <c r="L892" t="str">
        <f>IF(Table1[[#This Row],[Age]]&lt;25,"18-24",IF(Table1[[#This Row],[Age]]&lt;35,"25-34",IF(Table1[[#This Row],[Age]]&lt;45,"35-44",IF(Table1[[#This Row],[Age]]&lt;55,"45-54","55+"))))</f>
        <v>55+</v>
      </c>
      <c r="M892" t="str">
        <f>TEXT(Table1[[#This Row],[Invoice_date]],"mmm")</f>
        <v>Oct</v>
      </c>
      <c r="N892">
        <f>YEAR(Table1[[#This Row],[Invoice_date]])</f>
        <v>2022</v>
      </c>
    </row>
    <row r="893" spans="1:14" x14ac:dyDescent="0.25">
      <c r="A893" t="s">
        <v>1305</v>
      </c>
      <c r="B893" t="s">
        <v>1306</v>
      </c>
      <c r="C893" t="s">
        <v>2</v>
      </c>
      <c r="D893">
        <v>58</v>
      </c>
      <c r="E893" t="s">
        <v>27</v>
      </c>
      <c r="F893">
        <v>1</v>
      </c>
      <c r="G893">
        <v>5.23</v>
      </c>
      <c r="H893" t="s">
        <v>4</v>
      </c>
      <c r="I893" s="2">
        <v>44335</v>
      </c>
      <c r="J893" t="s">
        <v>63</v>
      </c>
      <c r="K893" s="4">
        <f>Table1[[#This Row],[Quantity]]*Table1[[#This Row],[Price]]</f>
        <v>5.23</v>
      </c>
      <c r="L893" t="str">
        <f>IF(Table1[[#This Row],[Age]]&lt;25,"18-24",IF(Table1[[#This Row],[Age]]&lt;35,"25-34",IF(Table1[[#This Row],[Age]]&lt;45,"35-44",IF(Table1[[#This Row],[Age]]&lt;55,"45-54","55+"))))</f>
        <v>55+</v>
      </c>
      <c r="M893" t="str">
        <f>TEXT(Table1[[#This Row],[Invoice_date]],"mmm")</f>
        <v>May</v>
      </c>
      <c r="N893">
        <f>YEAR(Table1[[#This Row],[Invoice_date]])</f>
        <v>2021</v>
      </c>
    </row>
    <row r="894" spans="1:14" x14ac:dyDescent="0.25">
      <c r="A894" t="s">
        <v>1315</v>
      </c>
      <c r="B894" t="s">
        <v>1316</v>
      </c>
      <c r="C894" t="s">
        <v>2</v>
      </c>
      <c r="D894">
        <v>65</v>
      </c>
      <c r="E894" t="s">
        <v>49</v>
      </c>
      <c r="F894">
        <v>3</v>
      </c>
      <c r="G894">
        <v>107.52</v>
      </c>
      <c r="H894" t="s">
        <v>18</v>
      </c>
      <c r="I894" s="2">
        <v>44348</v>
      </c>
      <c r="J894" t="s">
        <v>50</v>
      </c>
      <c r="K894" s="4">
        <f>Table1[[#This Row],[Quantity]]*Table1[[#This Row],[Price]]</f>
        <v>322.56</v>
      </c>
      <c r="L894" t="str">
        <f>IF(Table1[[#This Row],[Age]]&lt;25,"18-24",IF(Table1[[#This Row],[Age]]&lt;35,"25-34",IF(Table1[[#This Row],[Age]]&lt;45,"35-44",IF(Table1[[#This Row],[Age]]&lt;55,"45-54","55+"))))</f>
        <v>55+</v>
      </c>
      <c r="M894" t="str">
        <f>TEXT(Table1[[#This Row],[Invoice_date]],"mmm")</f>
        <v>Jun</v>
      </c>
      <c r="N894">
        <f>YEAR(Table1[[#This Row],[Invoice_date]])</f>
        <v>2021</v>
      </c>
    </row>
    <row r="895" spans="1:14" x14ac:dyDescent="0.25">
      <c r="A895" t="s">
        <v>1319</v>
      </c>
      <c r="B895" t="s">
        <v>1320</v>
      </c>
      <c r="C895" t="s">
        <v>12</v>
      </c>
      <c r="D895">
        <v>58</v>
      </c>
      <c r="E895" t="s">
        <v>8</v>
      </c>
      <c r="F895">
        <v>4</v>
      </c>
      <c r="G895">
        <v>162.63999999999999</v>
      </c>
      <c r="H895" t="s">
        <v>4</v>
      </c>
      <c r="I895" s="2">
        <v>44609</v>
      </c>
      <c r="J895" t="s">
        <v>50</v>
      </c>
      <c r="K895" s="4">
        <f>Table1[[#This Row],[Quantity]]*Table1[[#This Row],[Price]]</f>
        <v>650.55999999999995</v>
      </c>
      <c r="L895" t="str">
        <f>IF(Table1[[#This Row],[Age]]&lt;25,"18-24",IF(Table1[[#This Row],[Age]]&lt;35,"25-34",IF(Table1[[#This Row],[Age]]&lt;45,"35-44",IF(Table1[[#This Row],[Age]]&lt;55,"45-54","55+"))))</f>
        <v>55+</v>
      </c>
      <c r="M895" t="str">
        <f>TEXT(Table1[[#This Row],[Invoice_date]],"mmm")</f>
        <v>Feb</v>
      </c>
      <c r="N895">
        <f>YEAR(Table1[[#This Row],[Invoice_date]])</f>
        <v>2022</v>
      </c>
    </row>
    <row r="896" spans="1:14" x14ac:dyDescent="0.25">
      <c r="A896" t="s">
        <v>1323</v>
      </c>
      <c r="B896" t="s">
        <v>1324</v>
      </c>
      <c r="C896" t="s">
        <v>12</v>
      </c>
      <c r="D896">
        <v>56</v>
      </c>
      <c r="E896" t="s">
        <v>3</v>
      </c>
      <c r="F896">
        <v>2</v>
      </c>
      <c r="G896">
        <v>600.16</v>
      </c>
      <c r="H896" t="s">
        <v>4</v>
      </c>
      <c r="I896" s="2">
        <v>44329</v>
      </c>
      <c r="J896" t="s">
        <v>14</v>
      </c>
      <c r="K896" s="4">
        <f>Table1[[#This Row],[Quantity]]*Table1[[#This Row],[Price]]</f>
        <v>1200.32</v>
      </c>
      <c r="L896" t="str">
        <f>IF(Table1[[#This Row],[Age]]&lt;25,"18-24",IF(Table1[[#This Row],[Age]]&lt;35,"25-34",IF(Table1[[#This Row],[Age]]&lt;45,"35-44",IF(Table1[[#This Row],[Age]]&lt;55,"45-54","55+"))))</f>
        <v>55+</v>
      </c>
      <c r="M896" t="str">
        <f>TEXT(Table1[[#This Row],[Invoice_date]],"mmm")</f>
        <v>May</v>
      </c>
      <c r="N896">
        <f>YEAR(Table1[[#This Row],[Invoice_date]])</f>
        <v>2021</v>
      </c>
    </row>
    <row r="897" spans="1:14" x14ac:dyDescent="0.25">
      <c r="A897" t="s">
        <v>1337</v>
      </c>
      <c r="B897" t="s">
        <v>1338</v>
      </c>
      <c r="C897" t="s">
        <v>12</v>
      </c>
      <c r="D897">
        <v>65</v>
      </c>
      <c r="E897" t="s">
        <v>27</v>
      </c>
      <c r="F897">
        <v>2</v>
      </c>
      <c r="G897">
        <v>10.46</v>
      </c>
      <c r="H897" t="s">
        <v>4</v>
      </c>
      <c r="I897" s="2">
        <v>44586</v>
      </c>
      <c r="J897" t="s">
        <v>9</v>
      </c>
      <c r="K897" s="4">
        <f>Table1[[#This Row],[Quantity]]*Table1[[#This Row],[Price]]</f>
        <v>20.92</v>
      </c>
      <c r="L897" t="str">
        <f>IF(Table1[[#This Row],[Age]]&lt;25,"18-24",IF(Table1[[#This Row],[Age]]&lt;35,"25-34",IF(Table1[[#This Row],[Age]]&lt;45,"35-44",IF(Table1[[#This Row],[Age]]&lt;55,"45-54","55+"))))</f>
        <v>55+</v>
      </c>
      <c r="M897" t="str">
        <f>TEXT(Table1[[#This Row],[Invoice_date]],"mmm")</f>
        <v>Jan</v>
      </c>
      <c r="N897">
        <f>YEAR(Table1[[#This Row],[Invoice_date]])</f>
        <v>2022</v>
      </c>
    </row>
    <row r="898" spans="1:14" x14ac:dyDescent="0.25">
      <c r="A898" t="s">
        <v>1343</v>
      </c>
      <c r="B898" t="s">
        <v>1344</v>
      </c>
      <c r="C898" t="s">
        <v>12</v>
      </c>
      <c r="D898">
        <v>61</v>
      </c>
      <c r="E898" t="s">
        <v>8</v>
      </c>
      <c r="F898">
        <v>1</v>
      </c>
      <c r="G898">
        <v>40.659999999999997</v>
      </c>
      <c r="H898" t="s">
        <v>4</v>
      </c>
      <c r="I898" s="2">
        <v>44407</v>
      </c>
      <c r="J898" t="s">
        <v>24</v>
      </c>
      <c r="K898" s="4">
        <f>Table1[[#This Row],[Quantity]]*Table1[[#This Row],[Price]]</f>
        <v>40.659999999999997</v>
      </c>
      <c r="L898" t="str">
        <f>IF(Table1[[#This Row],[Age]]&lt;25,"18-24",IF(Table1[[#This Row],[Age]]&lt;35,"25-34",IF(Table1[[#This Row],[Age]]&lt;45,"35-44",IF(Table1[[#This Row],[Age]]&lt;55,"45-54","55+"))))</f>
        <v>55+</v>
      </c>
      <c r="M898" t="str">
        <f>TEXT(Table1[[#This Row],[Invoice_date]],"mmm")</f>
        <v>Jul</v>
      </c>
      <c r="N898">
        <f>YEAR(Table1[[#This Row],[Invoice_date]])</f>
        <v>2021</v>
      </c>
    </row>
    <row r="899" spans="1:14" x14ac:dyDescent="0.25">
      <c r="A899" t="s">
        <v>1355</v>
      </c>
      <c r="B899" t="s">
        <v>1356</v>
      </c>
      <c r="C899" t="s">
        <v>12</v>
      </c>
      <c r="D899">
        <v>69</v>
      </c>
      <c r="E899" t="s">
        <v>46</v>
      </c>
      <c r="F899">
        <v>1</v>
      </c>
      <c r="G899">
        <v>11.73</v>
      </c>
      <c r="H899" t="s">
        <v>13</v>
      </c>
      <c r="I899" s="2">
        <v>44651</v>
      </c>
      <c r="J899" t="s">
        <v>33</v>
      </c>
      <c r="K899" s="4">
        <f>Table1[[#This Row],[Quantity]]*Table1[[#This Row],[Price]]</f>
        <v>11.73</v>
      </c>
      <c r="L899" t="str">
        <f>IF(Table1[[#This Row],[Age]]&lt;25,"18-24",IF(Table1[[#This Row],[Age]]&lt;35,"25-34",IF(Table1[[#This Row],[Age]]&lt;45,"35-44",IF(Table1[[#This Row],[Age]]&lt;55,"45-54","55+"))))</f>
        <v>55+</v>
      </c>
      <c r="M899" t="str">
        <f>TEXT(Table1[[#This Row],[Invoice_date]],"mmm")</f>
        <v>Mar</v>
      </c>
      <c r="N899">
        <f>YEAR(Table1[[#This Row],[Invoice_date]])</f>
        <v>2022</v>
      </c>
    </row>
    <row r="900" spans="1:14" x14ac:dyDescent="0.25">
      <c r="A900" t="s">
        <v>1359</v>
      </c>
      <c r="B900" t="s">
        <v>1360</v>
      </c>
      <c r="C900" t="s">
        <v>2</v>
      </c>
      <c r="D900">
        <v>66</v>
      </c>
      <c r="E900" t="s">
        <v>38</v>
      </c>
      <c r="F900">
        <v>2</v>
      </c>
      <c r="G900">
        <v>1200.3399999999999</v>
      </c>
      <c r="H900" t="s">
        <v>18</v>
      </c>
      <c r="I900" s="2">
        <v>44723</v>
      </c>
      <c r="J900" t="s">
        <v>74</v>
      </c>
      <c r="K900" s="4">
        <f>Table1[[#This Row],[Quantity]]*Table1[[#This Row],[Price]]</f>
        <v>2400.6799999999998</v>
      </c>
      <c r="L900" t="str">
        <f>IF(Table1[[#This Row],[Age]]&lt;25,"18-24",IF(Table1[[#This Row],[Age]]&lt;35,"25-34",IF(Table1[[#This Row],[Age]]&lt;45,"35-44",IF(Table1[[#This Row],[Age]]&lt;55,"45-54","55+"))))</f>
        <v>55+</v>
      </c>
      <c r="M900" t="str">
        <f>TEXT(Table1[[#This Row],[Invoice_date]],"mmm")</f>
        <v>Jun</v>
      </c>
      <c r="N900">
        <f>YEAR(Table1[[#This Row],[Invoice_date]])</f>
        <v>2022</v>
      </c>
    </row>
    <row r="901" spans="1:14" x14ac:dyDescent="0.25">
      <c r="A901" t="s">
        <v>1369</v>
      </c>
      <c r="B901" t="s">
        <v>1370</v>
      </c>
      <c r="C901" t="s">
        <v>12</v>
      </c>
      <c r="D901">
        <v>69</v>
      </c>
      <c r="E901" t="s">
        <v>8</v>
      </c>
      <c r="F901">
        <v>3</v>
      </c>
      <c r="G901">
        <v>121.98</v>
      </c>
      <c r="H901" t="s">
        <v>4</v>
      </c>
      <c r="I901" s="2">
        <v>44967</v>
      </c>
      <c r="J901" t="s">
        <v>33</v>
      </c>
      <c r="K901" s="4">
        <f>Table1[[#This Row],[Quantity]]*Table1[[#This Row],[Price]]</f>
        <v>365.94</v>
      </c>
      <c r="L901" t="str">
        <f>IF(Table1[[#This Row],[Age]]&lt;25,"18-24",IF(Table1[[#This Row],[Age]]&lt;35,"25-34",IF(Table1[[#This Row],[Age]]&lt;45,"35-44",IF(Table1[[#This Row],[Age]]&lt;55,"45-54","55+"))))</f>
        <v>55+</v>
      </c>
      <c r="M901" t="str">
        <f>TEXT(Table1[[#This Row],[Invoice_date]],"mmm")</f>
        <v>Feb</v>
      </c>
      <c r="N901">
        <f>YEAR(Table1[[#This Row],[Invoice_date]])</f>
        <v>2023</v>
      </c>
    </row>
    <row r="902" spans="1:14" x14ac:dyDescent="0.25">
      <c r="A902" t="s">
        <v>1377</v>
      </c>
      <c r="B902" t="s">
        <v>1378</v>
      </c>
      <c r="C902" t="s">
        <v>12</v>
      </c>
      <c r="D902">
        <v>65</v>
      </c>
      <c r="E902" t="s">
        <v>27</v>
      </c>
      <c r="F902">
        <v>1</v>
      </c>
      <c r="G902">
        <v>5.23</v>
      </c>
      <c r="H902" t="s">
        <v>13</v>
      </c>
      <c r="I902" s="2">
        <v>44663</v>
      </c>
      <c r="J902" t="s">
        <v>30</v>
      </c>
      <c r="K902" s="4">
        <f>Table1[[#This Row],[Quantity]]*Table1[[#This Row],[Price]]</f>
        <v>5.23</v>
      </c>
      <c r="L902" t="str">
        <f>IF(Table1[[#This Row],[Age]]&lt;25,"18-24",IF(Table1[[#This Row],[Age]]&lt;35,"25-34",IF(Table1[[#This Row],[Age]]&lt;45,"35-44",IF(Table1[[#This Row],[Age]]&lt;55,"45-54","55+"))))</f>
        <v>55+</v>
      </c>
      <c r="M902" t="str">
        <f>TEXT(Table1[[#This Row],[Invoice_date]],"mmm")</f>
        <v>Apr</v>
      </c>
      <c r="N902">
        <f>YEAR(Table1[[#This Row],[Invoice_date]])</f>
        <v>2022</v>
      </c>
    </row>
    <row r="903" spans="1:14" x14ac:dyDescent="0.25">
      <c r="A903" t="s">
        <v>1385</v>
      </c>
      <c r="B903" t="s">
        <v>1386</v>
      </c>
      <c r="C903" t="s">
        <v>12</v>
      </c>
      <c r="D903">
        <v>64</v>
      </c>
      <c r="E903" t="s">
        <v>38</v>
      </c>
      <c r="F903">
        <v>3</v>
      </c>
      <c r="G903">
        <v>1800.51</v>
      </c>
      <c r="H903" t="s">
        <v>18</v>
      </c>
      <c r="I903" s="2">
        <v>44580</v>
      </c>
      <c r="J903" t="s">
        <v>33</v>
      </c>
      <c r="K903" s="4">
        <f>Table1[[#This Row],[Quantity]]*Table1[[#This Row],[Price]]</f>
        <v>5401.53</v>
      </c>
      <c r="L903" t="str">
        <f>IF(Table1[[#This Row],[Age]]&lt;25,"18-24",IF(Table1[[#This Row],[Age]]&lt;35,"25-34",IF(Table1[[#This Row],[Age]]&lt;45,"35-44",IF(Table1[[#This Row],[Age]]&lt;55,"45-54","55+"))))</f>
        <v>55+</v>
      </c>
      <c r="M903" t="str">
        <f>TEXT(Table1[[#This Row],[Invoice_date]],"mmm")</f>
        <v>Jan</v>
      </c>
      <c r="N903">
        <f>YEAR(Table1[[#This Row],[Invoice_date]])</f>
        <v>2022</v>
      </c>
    </row>
    <row r="904" spans="1:14" x14ac:dyDescent="0.25">
      <c r="A904" t="s">
        <v>1389</v>
      </c>
      <c r="B904" t="s">
        <v>1390</v>
      </c>
      <c r="C904" t="s">
        <v>12</v>
      </c>
      <c r="D904">
        <v>60</v>
      </c>
      <c r="E904" t="s">
        <v>3</v>
      </c>
      <c r="F904">
        <v>4</v>
      </c>
      <c r="G904">
        <v>1200.32</v>
      </c>
      <c r="H904" t="s">
        <v>18</v>
      </c>
      <c r="I904" s="2">
        <v>44576</v>
      </c>
      <c r="J904" t="s">
        <v>24</v>
      </c>
      <c r="K904" s="4">
        <f>Table1[[#This Row],[Quantity]]*Table1[[#This Row],[Price]]</f>
        <v>4801.28</v>
      </c>
      <c r="L904" t="str">
        <f>IF(Table1[[#This Row],[Age]]&lt;25,"18-24",IF(Table1[[#This Row],[Age]]&lt;35,"25-34",IF(Table1[[#This Row],[Age]]&lt;45,"35-44",IF(Table1[[#This Row],[Age]]&lt;55,"45-54","55+"))))</f>
        <v>55+</v>
      </c>
      <c r="M904" t="str">
        <f>TEXT(Table1[[#This Row],[Invoice_date]],"mmm")</f>
        <v>Jan</v>
      </c>
      <c r="N904">
        <f>YEAR(Table1[[#This Row],[Invoice_date]])</f>
        <v>2022</v>
      </c>
    </row>
    <row r="905" spans="1:14" x14ac:dyDescent="0.25">
      <c r="A905" t="s">
        <v>1395</v>
      </c>
      <c r="B905" t="s">
        <v>1396</v>
      </c>
      <c r="C905" t="s">
        <v>12</v>
      </c>
      <c r="D905">
        <v>64</v>
      </c>
      <c r="E905" t="s">
        <v>49</v>
      </c>
      <c r="F905">
        <v>2</v>
      </c>
      <c r="G905">
        <v>71.680000000000007</v>
      </c>
      <c r="H905" t="s">
        <v>4</v>
      </c>
      <c r="I905" s="2">
        <v>44894</v>
      </c>
      <c r="J905" t="s">
        <v>33</v>
      </c>
      <c r="K905" s="4">
        <f>Table1[[#This Row],[Quantity]]*Table1[[#This Row],[Price]]</f>
        <v>143.36000000000001</v>
      </c>
      <c r="L905" t="str">
        <f>IF(Table1[[#This Row],[Age]]&lt;25,"18-24",IF(Table1[[#This Row],[Age]]&lt;35,"25-34",IF(Table1[[#This Row],[Age]]&lt;45,"35-44",IF(Table1[[#This Row],[Age]]&lt;55,"45-54","55+"))))</f>
        <v>55+</v>
      </c>
      <c r="M905" t="str">
        <f>TEXT(Table1[[#This Row],[Invoice_date]],"mmm")</f>
        <v>Nov</v>
      </c>
      <c r="N905">
        <f>YEAR(Table1[[#This Row],[Invoice_date]])</f>
        <v>2022</v>
      </c>
    </row>
    <row r="906" spans="1:14" x14ac:dyDescent="0.25">
      <c r="A906" t="s">
        <v>1401</v>
      </c>
      <c r="B906" t="s">
        <v>1402</v>
      </c>
      <c r="C906" t="s">
        <v>12</v>
      </c>
      <c r="D906">
        <v>64</v>
      </c>
      <c r="E906" t="s">
        <v>27</v>
      </c>
      <c r="F906">
        <v>3</v>
      </c>
      <c r="G906">
        <v>15.69</v>
      </c>
      <c r="H906" t="s">
        <v>18</v>
      </c>
      <c r="I906" s="2">
        <v>44969</v>
      </c>
      <c r="J906" t="s">
        <v>50</v>
      </c>
      <c r="K906" s="4">
        <f>Table1[[#This Row],[Quantity]]*Table1[[#This Row],[Price]]</f>
        <v>47.07</v>
      </c>
      <c r="L906" t="str">
        <f>IF(Table1[[#This Row],[Age]]&lt;25,"18-24",IF(Table1[[#This Row],[Age]]&lt;35,"25-34",IF(Table1[[#This Row],[Age]]&lt;45,"35-44",IF(Table1[[#This Row],[Age]]&lt;55,"45-54","55+"))))</f>
        <v>55+</v>
      </c>
      <c r="M906" t="str">
        <f>TEXT(Table1[[#This Row],[Invoice_date]],"mmm")</f>
        <v>Feb</v>
      </c>
      <c r="N906">
        <f>YEAR(Table1[[#This Row],[Invoice_date]])</f>
        <v>2023</v>
      </c>
    </row>
    <row r="907" spans="1:14" x14ac:dyDescent="0.25">
      <c r="A907" t="s">
        <v>1403</v>
      </c>
      <c r="B907" t="s">
        <v>1404</v>
      </c>
      <c r="C907" t="s">
        <v>2</v>
      </c>
      <c r="D907">
        <v>55</v>
      </c>
      <c r="E907" t="s">
        <v>17</v>
      </c>
      <c r="F907">
        <v>1</v>
      </c>
      <c r="G907">
        <v>15.15</v>
      </c>
      <c r="H907" t="s">
        <v>4</v>
      </c>
      <c r="I907" s="2">
        <v>44779</v>
      </c>
      <c r="J907" t="s">
        <v>33</v>
      </c>
      <c r="K907" s="4">
        <f>Table1[[#This Row],[Quantity]]*Table1[[#This Row],[Price]]</f>
        <v>15.15</v>
      </c>
      <c r="L907" t="str">
        <f>IF(Table1[[#This Row],[Age]]&lt;25,"18-24",IF(Table1[[#This Row],[Age]]&lt;35,"25-34",IF(Table1[[#This Row],[Age]]&lt;45,"35-44",IF(Table1[[#This Row],[Age]]&lt;55,"45-54","55+"))))</f>
        <v>55+</v>
      </c>
      <c r="M907" t="str">
        <f>TEXT(Table1[[#This Row],[Invoice_date]],"mmm")</f>
        <v>Aug</v>
      </c>
      <c r="N907">
        <f>YEAR(Table1[[#This Row],[Invoice_date]])</f>
        <v>2022</v>
      </c>
    </row>
    <row r="908" spans="1:14" x14ac:dyDescent="0.25">
      <c r="A908" t="s">
        <v>1411</v>
      </c>
      <c r="B908" t="s">
        <v>1412</v>
      </c>
      <c r="C908" t="s">
        <v>12</v>
      </c>
      <c r="D908">
        <v>65</v>
      </c>
      <c r="E908" t="s">
        <v>3</v>
      </c>
      <c r="F908">
        <v>2</v>
      </c>
      <c r="G908">
        <v>600.16</v>
      </c>
      <c r="H908" t="s">
        <v>4</v>
      </c>
      <c r="I908" s="2">
        <v>44441</v>
      </c>
      <c r="J908" t="s">
        <v>24</v>
      </c>
      <c r="K908" s="4">
        <f>Table1[[#This Row],[Quantity]]*Table1[[#This Row],[Price]]</f>
        <v>1200.32</v>
      </c>
      <c r="L908" t="str">
        <f>IF(Table1[[#This Row],[Age]]&lt;25,"18-24",IF(Table1[[#This Row],[Age]]&lt;35,"25-34",IF(Table1[[#This Row],[Age]]&lt;45,"35-44",IF(Table1[[#This Row],[Age]]&lt;55,"45-54","55+"))))</f>
        <v>55+</v>
      </c>
      <c r="M908" t="str">
        <f>TEXT(Table1[[#This Row],[Invoice_date]],"mmm")</f>
        <v>Sep</v>
      </c>
      <c r="N908">
        <f>YEAR(Table1[[#This Row],[Invoice_date]])</f>
        <v>2021</v>
      </c>
    </row>
    <row r="909" spans="1:14" x14ac:dyDescent="0.25">
      <c r="A909" t="s">
        <v>1421</v>
      </c>
      <c r="B909" t="s">
        <v>1422</v>
      </c>
      <c r="C909" t="s">
        <v>2</v>
      </c>
      <c r="D909">
        <v>59</v>
      </c>
      <c r="E909" t="s">
        <v>49</v>
      </c>
      <c r="F909">
        <v>1</v>
      </c>
      <c r="G909">
        <v>35.840000000000003</v>
      </c>
      <c r="H909" t="s">
        <v>4</v>
      </c>
      <c r="I909" s="2">
        <v>44818</v>
      </c>
      <c r="J909" t="s">
        <v>14</v>
      </c>
      <c r="K909" s="4">
        <f>Table1[[#This Row],[Quantity]]*Table1[[#This Row],[Price]]</f>
        <v>35.840000000000003</v>
      </c>
      <c r="L909" t="str">
        <f>IF(Table1[[#This Row],[Age]]&lt;25,"18-24",IF(Table1[[#This Row],[Age]]&lt;35,"25-34",IF(Table1[[#This Row],[Age]]&lt;45,"35-44",IF(Table1[[#This Row],[Age]]&lt;55,"45-54","55+"))))</f>
        <v>55+</v>
      </c>
      <c r="M909" t="str">
        <f>TEXT(Table1[[#This Row],[Invoice_date]],"mmm")</f>
        <v>Sep</v>
      </c>
      <c r="N909">
        <f>YEAR(Table1[[#This Row],[Invoice_date]])</f>
        <v>2022</v>
      </c>
    </row>
    <row r="910" spans="1:14" x14ac:dyDescent="0.25">
      <c r="A910" t="s">
        <v>1427</v>
      </c>
      <c r="B910" t="s">
        <v>1428</v>
      </c>
      <c r="C910" t="s">
        <v>12</v>
      </c>
      <c r="D910">
        <v>63</v>
      </c>
      <c r="E910" t="s">
        <v>49</v>
      </c>
      <c r="F910">
        <v>4</v>
      </c>
      <c r="G910">
        <v>143.36000000000001</v>
      </c>
      <c r="H910" t="s">
        <v>13</v>
      </c>
      <c r="I910" s="2">
        <v>44496</v>
      </c>
      <c r="J910" t="s">
        <v>14</v>
      </c>
      <c r="K910" s="4">
        <f>Table1[[#This Row],[Quantity]]*Table1[[#This Row],[Price]]</f>
        <v>573.44000000000005</v>
      </c>
      <c r="L910" t="str">
        <f>IF(Table1[[#This Row],[Age]]&lt;25,"18-24",IF(Table1[[#This Row],[Age]]&lt;35,"25-34",IF(Table1[[#This Row],[Age]]&lt;45,"35-44",IF(Table1[[#This Row],[Age]]&lt;55,"45-54","55+"))))</f>
        <v>55+</v>
      </c>
      <c r="M910" t="str">
        <f>TEXT(Table1[[#This Row],[Invoice_date]],"mmm")</f>
        <v>Oct</v>
      </c>
      <c r="N910">
        <f>YEAR(Table1[[#This Row],[Invoice_date]])</f>
        <v>2021</v>
      </c>
    </row>
    <row r="911" spans="1:14" x14ac:dyDescent="0.25">
      <c r="A911" t="s">
        <v>1437</v>
      </c>
      <c r="B911" t="s">
        <v>1438</v>
      </c>
      <c r="C911" t="s">
        <v>12</v>
      </c>
      <c r="D911">
        <v>60</v>
      </c>
      <c r="E911" t="s">
        <v>21</v>
      </c>
      <c r="F911">
        <v>4</v>
      </c>
      <c r="G911">
        <v>4200</v>
      </c>
      <c r="H911" t="s">
        <v>18</v>
      </c>
      <c r="I911" s="2">
        <v>44745</v>
      </c>
      <c r="J911" t="s">
        <v>50</v>
      </c>
      <c r="K911" s="4">
        <f>Table1[[#This Row],[Quantity]]*Table1[[#This Row],[Price]]</f>
        <v>16800</v>
      </c>
      <c r="L911" t="str">
        <f>IF(Table1[[#This Row],[Age]]&lt;25,"18-24",IF(Table1[[#This Row],[Age]]&lt;35,"25-34",IF(Table1[[#This Row],[Age]]&lt;45,"35-44",IF(Table1[[#This Row],[Age]]&lt;55,"45-54","55+"))))</f>
        <v>55+</v>
      </c>
      <c r="M911" t="str">
        <f>TEXT(Table1[[#This Row],[Invoice_date]],"mmm")</f>
        <v>Jul</v>
      </c>
      <c r="N911">
        <f>YEAR(Table1[[#This Row],[Invoice_date]])</f>
        <v>2022</v>
      </c>
    </row>
    <row r="912" spans="1:14" x14ac:dyDescent="0.25">
      <c r="A912" t="s">
        <v>1441</v>
      </c>
      <c r="B912" t="s">
        <v>1442</v>
      </c>
      <c r="C912" t="s">
        <v>12</v>
      </c>
      <c r="D912">
        <v>57</v>
      </c>
      <c r="E912" t="s">
        <v>8</v>
      </c>
      <c r="F912">
        <v>1</v>
      </c>
      <c r="G912">
        <v>40.659999999999997</v>
      </c>
      <c r="H912" t="s">
        <v>18</v>
      </c>
      <c r="I912" s="2">
        <v>44796</v>
      </c>
      <c r="J912" t="s">
        <v>24</v>
      </c>
      <c r="K912" s="4">
        <f>Table1[[#This Row],[Quantity]]*Table1[[#This Row],[Price]]</f>
        <v>40.659999999999997</v>
      </c>
      <c r="L912" t="str">
        <f>IF(Table1[[#This Row],[Age]]&lt;25,"18-24",IF(Table1[[#This Row],[Age]]&lt;35,"25-34",IF(Table1[[#This Row],[Age]]&lt;45,"35-44",IF(Table1[[#This Row],[Age]]&lt;55,"45-54","55+"))))</f>
        <v>55+</v>
      </c>
      <c r="M912" t="str">
        <f>TEXT(Table1[[#This Row],[Invoice_date]],"mmm")</f>
        <v>Aug</v>
      </c>
      <c r="N912">
        <f>YEAR(Table1[[#This Row],[Invoice_date]])</f>
        <v>2022</v>
      </c>
    </row>
    <row r="913" spans="1:14" x14ac:dyDescent="0.25">
      <c r="A913" t="s">
        <v>1445</v>
      </c>
      <c r="B913" t="s">
        <v>1446</v>
      </c>
      <c r="C913" t="s">
        <v>12</v>
      </c>
      <c r="D913">
        <v>65</v>
      </c>
      <c r="E913" t="s">
        <v>3</v>
      </c>
      <c r="F913">
        <v>5</v>
      </c>
      <c r="G913">
        <v>1500.4</v>
      </c>
      <c r="H913" t="s">
        <v>13</v>
      </c>
      <c r="I913" s="2">
        <v>44466</v>
      </c>
      <c r="J913" t="s">
        <v>33</v>
      </c>
      <c r="K913" s="4">
        <f>Table1[[#This Row],[Quantity]]*Table1[[#This Row],[Price]]</f>
        <v>7502</v>
      </c>
      <c r="L913" t="str">
        <f>IF(Table1[[#This Row],[Age]]&lt;25,"18-24",IF(Table1[[#This Row],[Age]]&lt;35,"25-34",IF(Table1[[#This Row],[Age]]&lt;45,"35-44",IF(Table1[[#This Row],[Age]]&lt;55,"45-54","55+"))))</f>
        <v>55+</v>
      </c>
      <c r="M913" t="str">
        <f>TEXT(Table1[[#This Row],[Invoice_date]],"mmm")</f>
        <v>Sep</v>
      </c>
      <c r="N913">
        <f>YEAR(Table1[[#This Row],[Invoice_date]])</f>
        <v>2021</v>
      </c>
    </row>
    <row r="914" spans="1:14" x14ac:dyDescent="0.25">
      <c r="A914" t="s">
        <v>1453</v>
      </c>
      <c r="B914" t="s">
        <v>1454</v>
      </c>
      <c r="C914" t="s">
        <v>2</v>
      </c>
      <c r="D914">
        <v>58</v>
      </c>
      <c r="E914" t="s">
        <v>27</v>
      </c>
      <c r="F914">
        <v>4</v>
      </c>
      <c r="G914">
        <v>20.92</v>
      </c>
      <c r="H914" t="s">
        <v>18</v>
      </c>
      <c r="I914" s="2">
        <v>44287</v>
      </c>
      <c r="J914" t="s">
        <v>33</v>
      </c>
      <c r="K914" s="4">
        <f>Table1[[#This Row],[Quantity]]*Table1[[#This Row],[Price]]</f>
        <v>83.68</v>
      </c>
      <c r="L914" t="str">
        <f>IF(Table1[[#This Row],[Age]]&lt;25,"18-24",IF(Table1[[#This Row],[Age]]&lt;35,"25-34",IF(Table1[[#This Row],[Age]]&lt;45,"35-44",IF(Table1[[#This Row],[Age]]&lt;55,"45-54","55+"))))</f>
        <v>55+</v>
      </c>
      <c r="M914" t="str">
        <f>TEXT(Table1[[#This Row],[Invoice_date]],"mmm")</f>
        <v>Apr</v>
      </c>
      <c r="N914">
        <f>YEAR(Table1[[#This Row],[Invoice_date]])</f>
        <v>2021</v>
      </c>
    </row>
    <row r="915" spans="1:14" x14ac:dyDescent="0.25">
      <c r="A915" t="s">
        <v>1461</v>
      </c>
      <c r="B915" t="s">
        <v>1462</v>
      </c>
      <c r="C915" t="s">
        <v>12</v>
      </c>
      <c r="D915">
        <v>64</v>
      </c>
      <c r="E915" t="s">
        <v>8</v>
      </c>
      <c r="F915">
        <v>2</v>
      </c>
      <c r="G915">
        <v>81.319999999999993</v>
      </c>
      <c r="H915" t="s">
        <v>18</v>
      </c>
      <c r="I915" s="2">
        <v>44771</v>
      </c>
      <c r="J915" t="s">
        <v>14</v>
      </c>
      <c r="K915" s="4">
        <f>Table1[[#This Row],[Quantity]]*Table1[[#This Row],[Price]]</f>
        <v>162.63999999999999</v>
      </c>
      <c r="L915" t="str">
        <f>IF(Table1[[#This Row],[Age]]&lt;25,"18-24",IF(Table1[[#This Row],[Age]]&lt;35,"25-34",IF(Table1[[#This Row],[Age]]&lt;45,"35-44",IF(Table1[[#This Row],[Age]]&lt;55,"45-54","55+"))))</f>
        <v>55+</v>
      </c>
      <c r="M915" t="str">
        <f>TEXT(Table1[[#This Row],[Invoice_date]],"mmm")</f>
        <v>Jul</v>
      </c>
      <c r="N915">
        <f>YEAR(Table1[[#This Row],[Invoice_date]])</f>
        <v>2022</v>
      </c>
    </row>
    <row r="916" spans="1:14" x14ac:dyDescent="0.25">
      <c r="A916" t="s">
        <v>1469</v>
      </c>
      <c r="B916" t="s">
        <v>1470</v>
      </c>
      <c r="C916" t="s">
        <v>12</v>
      </c>
      <c r="D916">
        <v>59</v>
      </c>
      <c r="E916" t="s">
        <v>21</v>
      </c>
      <c r="F916">
        <v>1</v>
      </c>
      <c r="G916">
        <v>1050</v>
      </c>
      <c r="H916" t="s">
        <v>4</v>
      </c>
      <c r="I916" s="2">
        <v>44279</v>
      </c>
      <c r="J916" t="s">
        <v>14</v>
      </c>
      <c r="K916" s="4">
        <f>Table1[[#This Row],[Quantity]]*Table1[[#This Row],[Price]]</f>
        <v>1050</v>
      </c>
      <c r="L916" t="str">
        <f>IF(Table1[[#This Row],[Age]]&lt;25,"18-24",IF(Table1[[#This Row],[Age]]&lt;35,"25-34",IF(Table1[[#This Row],[Age]]&lt;45,"35-44",IF(Table1[[#This Row],[Age]]&lt;55,"45-54","55+"))))</f>
        <v>55+</v>
      </c>
      <c r="M916" t="str">
        <f>TEXT(Table1[[#This Row],[Invoice_date]],"mmm")</f>
        <v>Mar</v>
      </c>
      <c r="N916">
        <f>YEAR(Table1[[#This Row],[Invoice_date]])</f>
        <v>2021</v>
      </c>
    </row>
    <row r="917" spans="1:14" x14ac:dyDescent="0.25">
      <c r="A917" t="s">
        <v>1471</v>
      </c>
      <c r="B917" t="s">
        <v>1472</v>
      </c>
      <c r="C917" t="s">
        <v>2</v>
      </c>
      <c r="D917">
        <v>65</v>
      </c>
      <c r="E917" t="s">
        <v>38</v>
      </c>
      <c r="F917">
        <v>1</v>
      </c>
      <c r="G917">
        <v>600.16999999999996</v>
      </c>
      <c r="H917" t="s">
        <v>18</v>
      </c>
      <c r="I917" s="2">
        <v>44597</v>
      </c>
      <c r="J917" t="s">
        <v>33</v>
      </c>
      <c r="K917" s="4">
        <f>Table1[[#This Row],[Quantity]]*Table1[[#This Row],[Price]]</f>
        <v>600.16999999999996</v>
      </c>
      <c r="L917" t="str">
        <f>IF(Table1[[#This Row],[Age]]&lt;25,"18-24",IF(Table1[[#This Row],[Age]]&lt;35,"25-34",IF(Table1[[#This Row],[Age]]&lt;45,"35-44",IF(Table1[[#This Row],[Age]]&lt;55,"45-54","55+"))))</f>
        <v>55+</v>
      </c>
      <c r="M917" t="str">
        <f>TEXT(Table1[[#This Row],[Invoice_date]],"mmm")</f>
        <v>Feb</v>
      </c>
      <c r="N917">
        <f>YEAR(Table1[[#This Row],[Invoice_date]])</f>
        <v>2022</v>
      </c>
    </row>
    <row r="918" spans="1:14" x14ac:dyDescent="0.25">
      <c r="A918" t="s">
        <v>1481</v>
      </c>
      <c r="B918" t="s">
        <v>1482</v>
      </c>
      <c r="C918" t="s">
        <v>12</v>
      </c>
      <c r="D918">
        <v>56</v>
      </c>
      <c r="E918" t="s">
        <v>3</v>
      </c>
      <c r="F918">
        <v>2</v>
      </c>
      <c r="G918">
        <v>600.16</v>
      </c>
      <c r="H918" t="s">
        <v>18</v>
      </c>
      <c r="I918" s="2">
        <v>44218</v>
      </c>
      <c r="J918" t="s">
        <v>74</v>
      </c>
      <c r="K918" s="4">
        <f>Table1[[#This Row],[Quantity]]*Table1[[#This Row],[Price]]</f>
        <v>1200.32</v>
      </c>
      <c r="L918" t="str">
        <f>IF(Table1[[#This Row],[Age]]&lt;25,"18-24",IF(Table1[[#This Row],[Age]]&lt;35,"25-34",IF(Table1[[#This Row],[Age]]&lt;45,"35-44",IF(Table1[[#This Row],[Age]]&lt;55,"45-54","55+"))))</f>
        <v>55+</v>
      </c>
      <c r="M918" t="str">
        <f>TEXT(Table1[[#This Row],[Invoice_date]],"mmm")</f>
        <v>Jan</v>
      </c>
      <c r="N918">
        <f>YEAR(Table1[[#This Row],[Invoice_date]])</f>
        <v>2021</v>
      </c>
    </row>
    <row r="919" spans="1:14" x14ac:dyDescent="0.25">
      <c r="A919" t="s">
        <v>1489</v>
      </c>
      <c r="B919" t="s">
        <v>1490</v>
      </c>
      <c r="C919" t="s">
        <v>2</v>
      </c>
      <c r="D919">
        <v>64</v>
      </c>
      <c r="E919" t="s">
        <v>21</v>
      </c>
      <c r="F919">
        <v>3</v>
      </c>
      <c r="G919">
        <v>3150</v>
      </c>
      <c r="H919" t="s">
        <v>4</v>
      </c>
      <c r="I919" s="2">
        <v>44657</v>
      </c>
      <c r="J919" t="s">
        <v>24</v>
      </c>
      <c r="K919" s="4">
        <f>Table1[[#This Row],[Quantity]]*Table1[[#This Row],[Price]]</f>
        <v>9450</v>
      </c>
      <c r="L919" t="str">
        <f>IF(Table1[[#This Row],[Age]]&lt;25,"18-24",IF(Table1[[#This Row],[Age]]&lt;35,"25-34",IF(Table1[[#This Row],[Age]]&lt;45,"35-44",IF(Table1[[#This Row],[Age]]&lt;55,"45-54","55+"))))</f>
        <v>55+</v>
      </c>
      <c r="M919" t="str">
        <f>TEXT(Table1[[#This Row],[Invoice_date]],"mmm")</f>
        <v>Apr</v>
      </c>
      <c r="N919">
        <f>YEAR(Table1[[#This Row],[Invoice_date]])</f>
        <v>2022</v>
      </c>
    </row>
    <row r="920" spans="1:14" x14ac:dyDescent="0.25">
      <c r="A920" t="s">
        <v>1493</v>
      </c>
      <c r="B920" t="s">
        <v>1494</v>
      </c>
      <c r="C920" t="s">
        <v>12</v>
      </c>
      <c r="D920">
        <v>63</v>
      </c>
      <c r="E920" t="s">
        <v>3</v>
      </c>
      <c r="F920">
        <v>5</v>
      </c>
      <c r="G920">
        <v>1500.4</v>
      </c>
      <c r="H920" t="s">
        <v>4</v>
      </c>
      <c r="I920" s="2">
        <v>44796</v>
      </c>
      <c r="J920" t="s">
        <v>24</v>
      </c>
      <c r="K920" s="4">
        <f>Table1[[#This Row],[Quantity]]*Table1[[#This Row],[Price]]</f>
        <v>7502</v>
      </c>
      <c r="L920" t="str">
        <f>IF(Table1[[#This Row],[Age]]&lt;25,"18-24",IF(Table1[[#This Row],[Age]]&lt;35,"25-34",IF(Table1[[#This Row],[Age]]&lt;45,"35-44",IF(Table1[[#This Row],[Age]]&lt;55,"45-54","55+"))))</f>
        <v>55+</v>
      </c>
      <c r="M920" t="str">
        <f>TEXT(Table1[[#This Row],[Invoice_date]],"mmm")</f>
        <v>Aug</v>
      </c>
      <c r="N920">
        <f>YEAR(Table1[[#This Row],[Invoice_date]])</f>
        <v>2022</v>
      </c>
    </row>
    <row r="921" spans="1:14" x14ac:dyDescent="0.25">
      <c r="A921" t="s">
        <v>1499</v>
      </c>
      <c r="B921" t="s">
        <v>1500</v>
      </c>
      <c r="C921" t="s">
        <v>2</v>
      </c>
      <c r="D921">
        <v>62</v>
      </c>
      <c r="E921" t="s">
        <v>8</v>
      </c>
      <c r="F921">
        <v>4</v>
      </c>
      <c r="G921">
        <v>162.63999999999999</v>
      </c>
      <c r="H921" t="s">
        <v>4</v>
      </c>
      <c r="I921" s="2">
        <v>44805</v>
      </c>
      <c r="J921" t="s">
        <v>63</v>
      </c>
      <c r="K921" s="4">
        <f>Table1[[#This Row],[Quantity]]*Table1[[#This Row],[Price]]</f>
        <v>650.55999999999995</v>
      </c>
      <c r="L921" t="str">
        <f>IF(Table1[[#This Row],[Age]]&lt;25,"18-24",IF(Table1[[#This Row],[Age]]&lt;35,"25-34",IF(Table1[[#This Row],[Age]]&lt;45,"35-44",IF(Table1[[#This Row],[Age]]&lt;55,"45-54","55+"))))</f>
        <v>55+</v>
      </c>
      <c r="M921" t="str">
        <f>TEXT(Table1[[#This Row],[Invoice_date]],"mmm")</f>
        <v>Sep</v>
      </c>
      <c r="N921">
        <f>YEAR(Table1[[#This Row],[Invoice_date]])</f>
        <v>2022</v>
      </c>
    </row>
    <row r="922" spans="1:14" x14ac:dyDescent="0.25">
      <c r="A922" t="s">
        <v>1507</v>
      </c>
      <c r="B922" t="s">
        <v>1508</v>
      </c>
      <c r="C922" t="s">
        <v>12</v>
      </c>
      <c r="D922">
        <v>68</v>
      </c>
      <c r="E922" t="s">
        <v>49</v>
      </c>
      <c r="F922">
        <v>2</v>
      </c>
      <c r="G922">
        <v>71.680000000000007</v>
      </c>
      <c r="H922" t="s">
        <v>4</v>
      </c>
      <c r="I922" s="2">
        <v>44379</v>
      </c>
      <c r="J922" t="s">
        <v>74</v>
      </c>
      <c r="K922" s="4">
        <f>Table1[[#This Row],[Quantity]]*Table1[[#This Row],[Price]]</f>
        <v>143.36000000000001</v>
      </c>
      <c r="L922" t="str">
        <f>IF(Table1[[#This Row],[Age]]&lt;25,"18-24",IF(Table1[[#This Row],[Age]]&lt;35,"25-34",IF(Table1[[#This Row],[Age]]&lt;45,"35-44",IF(Table1[[#This Row],[Age]]&lt;55,"45-54","55+"))))</f>
        <v>55+</v>
      </c>
      <c r="M922" t="str">
        <f>TEXT(Table1[[#This Row],[Invoice_date]],"mmm")</f>
        <v>Jul</v>
      </c>
      <c r="N922">
        <f>YEAR(Table1[[#This Row],[Invoice_date]])</f>
        <v>2021</v>
      </c>
    </row>
    <row r="923" spans="1:14" x14ac:dyDescent="0.25">
      <c r="A923" t="s">
        <v>1513</v>
      </c>
      <c r="B923" t="s">
        <v>1514</v>
      </c>
      <c r="C923" t="s">
        <v>12</v>
      </c>
      <c r="D923">
        <v>63</v>
      </c>
      <c r="E923" t="s">
        <v>49</v>
      </c>
      <c r="F923">
        <v>2</v>
      </c>
      <c r="G923">
        <v>71.680000000000007</v>
      </c>
      <c r="H923" t="s">
        <v>18</v>
      </c>
      <c r="I923" s="2">
        <v>44465</v>
      </c>
      <c r="J923" t="s">
        <v>5</v>
      </c>
      <c r="K923" s="4">
        <f>Table1[[#This Row],[Quantity]]*Table1[[#This Row],[Price]]</f>
        <v>143.36000000000001</v>
      </c>
      <c r="L923" t="str">
        <f>IF(Table1[[#This Row],[Age]]&lt;25,"18-24",IF(Table1[[#This Row],[Age]]&lt;35,"25-34",IF(Table1[[#This Row],[Age]]&lt;45,"35-44",IF(Table1[[#This Row],[Age]]&lt;55,"45-54","55+"))))</f>
        <v>55+</v>
      </c>
      <c r="M923" t="str">
        <f>TEXT(Table1[[#This Row],[Invoice_date]],"mmm")</f>
        <v>Sep</v>
      </c>
      <c r="N923">
        <f>YEAR(Table1[[#This Row],[Invoice_date]])</f>
        <v>2021</v>
      </c>
    </row>
    <row r="924" spans="1:14" x14ac:dyDescent="0.25">
      <c r="A924" t="s">
        <v>1515</v>
      </c>
      <c r="B924" t="s">
        <v>1516</v>
      </c>
      <c r="C924" t="s">
        <v>12</v>
      </c>
      <c r="D924">
        <v>66</v>
      </c>
      <c r="E924" t="s">
        <v>8</v>
      </c>
      <c r="F924">
        <v>5</v>
      </c>
      <c r="G924">
        <v>203.3</v>
      </c>
      <c r="H924" t="s">
        <v>18</v>
      </c>
      <c r="I924" s="2">
        <v>44625</v>
      </c>
      <c r="J924" t="s">
        <v>24</v>
      </c>
      <c r="K924" s="4">
        <f>Table1[[#This Row],[Quantity]]*Table1[[#This Row],[Price]]</f>
        <v>1016.5</v>
      </c>
      <c r="L924" t="str">
        <f>IF(Table1[[#This Row],[Age]]&lt;25,"18-24",IF(Table1[[#This Row],[Age]]&lt;35,"25-34",IF(Table1[[#This Row],[Age]]&lt;45,"35-44",IF(Table1[[#This Row],[Age]]&lt;55,"45-54","55+"))))</f>
        <v>55+</v>
      </c>
      <c r="M924" t="str">
        <f>TEXT(Table1[[#This Row],[Invoice_date]],"mmm")</f>
        <v>Mar</v>
      </c>
      <c r="N924">
        <f>YEAR(Table1[[#This Row],[Invoice_date]])</f>
        <v>2022</v>
      </c>
    </row>
    <row r="925" spans="1:14" x14ac:dyDescent="0.25">
      <c r="A925" t="s">
        <v>1517</v>
      </c>
      <c r="B925" t="s">
        <v>1518</v>
      </c>
      <c r="C925" t="s">
        <v>12</v>
      </c>
      <c r="D925">
        <v>67</v>
      </c>
      <c r="E925" t="s">
        <v>3</v>
      </c>
      <c r="F925">
        <v>5</v>
      </c>
      <c r="G925">
        <v>1500.4</v>
      </c>
      <c r="H925" t="s">
        <v>18</v>
      </c>
      <c r="I925" s="2">
        <v>44978</v>
      </c>
      <c r="J925" t="s">
        <v>74</v>
      </c>
      <c r="K925" s="4">
        <f>Table1[[#This Row],[Quantity]]*Table1[[#This Row],[Price]]</f>
        <v>7502</v>
      </c>
      <c r="L925" t="str">
        <f>IF(Table1[[#This Row],[Age]]&lt;25,"18-24",IF(Table1[[#This Row],[Age]]&lt;35,"25-34",IF(Table1[[#This Row],[Age]]&lt;45,"35-44",IF(Table1[[#This Row],[Age]]&lt;55,"45-54","55+"))))</f>
        <v>55+</v>
      </c>
      <c r="M925" t="str">
        <f>TEXT(Table1[[#This Row],[Invoice_date]],"mmm")</f>
        <v>Feb</v>
      </c>
      <c r="N925">
        <f>YEAR(Table1[[#This Row],[Invoice_date]])</f>
        <v>2023</v>
      </c>
    </row>
    <row r="926" spans="1:14" x14ac:dyDescent="0.25">
      <c r="A926" t="s">
        <v>1523</v>
      </c>
      <c r="B926" t="s">
        <v>1524</v>
      </c>
      <c r="C926" t="s">
        <v>12</v>
      </c>
      <c r="D926">
        <v>68</v>
      </c>
      <c r="E926" t="s">
        <v>21</v>
      </c>
      <c r="F926">
        <v>5</v>
      </c>
      <c r="G926">
        <v>5250</v>
      </c>
      <c r="H926" t="s">
        <v>4</v>
      </c>
      <c r="I926" s="2">
        <v>44778</v>
      </c>
      <c r="J926" t="s">
        <v>74</v>
      </c>
      <c r="K926" s="4">
        <f>Table1[[#This Row],[Quantity]]*Table1[[#This Row],[Price]]</f>
        <v>26250</v>
      </c>
      <c r="L926" t="str">
        <f>IF(Table1[[#This Row],[Age]]&lt;25,"18-24",IF(Table1[[#This Row],[Age]]&lt;35,"25-34",IF(Table1[[#This Row],[Age]]&lt;45,"35-44",IF(Table1[[#This Row],[Age]]&lt;55,"45-54","55+"))))</f>
        <v>55+</v>
      </c>
      <c r="M926" t="str">
        <f>TEXT(Table1[[#This Row],[Invoice_date]],"mmm")</f>
        <v>Aug</v>
      </c>
      <c r="N926">
        <f>YEAR(Table1[[#This Row],[Invoice_date]])</f>
        <v>2022</v>
      </c>
    </row>
    <row r="927" spans="1:14" x14ac:dyDescent="0.25">
      <c r="A927" t="s">
        <v>1527</v>
      </c>
      <c r="B927" t="s">
        <v>1528</v>
      </c>
      <c r="C927" t="s">
        <v>12</v>
      </c>
      <c r="D927">
        <v>61</v>
      </c>
      <c r="E927" t="s">
        <v>38</v>
      </c>
      <c r="F927">
        <v>3</v>
      </c>
      <c r="G927">
        <v>1800.51</v>
      </c>
      <c r="H927" t="s">
        <v>4</v>
      </c>
      <c r="I927" s="2">
        <v>44635</v>
      </c>
      <c r="J927" t="s">
        <v>24</v>
      </c>
      <c r="K927" s="4">
        <f>Table1[[#This Row],[Quantity]]*Table1[[#This Row],[Price]]</f>
        <v>5401.53</v>
      </c>
      <c r="L927" t="str">
        <f>IF(Table1[[#This Row],[Age]]&lt;25,"18-24",IF(Table1[[#This Row],[Age]]&lt;35,"25-34",IF(Table1[[#This Row],[Age]]&lt;45,"35-44",IF(Table1[[#This Row],[Age]]&lt;55,"45-54","55+"))))</f>
        <v>55+</v>
      </c>
      <c r="M927" t="str">
        <f>TEXT(Table1[[#This Row],[Invoice_date]],"mmm")</f>
        <v>Mar</v>
      </c>
      <c r="N927">
        <f>YEAR(Table1[[#This Row],[Invoice_date]])</f>
        <v>2022</v>
      </c>
    </row>
    <row r="928" spans="1:14" x14ac:dyDescent="0.25">
      <c r="A928" t="s">
        <v>1533</v>
      </c>
      <c r="B928" t="s">
        <v>1534</v>
      </c>
      <c r="C928" t="s">
        <v>2</v>
      </c>
      <c r="D928">
        <v>62</v>
      </c>
      <c r="E928" t="s">
        <v>3</v>
      </c>
      <c r="F928">
        <v>2</v>
      </c>
      <c r="G928">
        <v>600.16</v>
      </c>
      <c r="H928" t="s">
        <v>18</v>
      </c>
      <c r="I928" s="2">
        <v>44988</v>
      </c>
      <c r="J928" t="s">
        <v>5</v>
      </c>
      <c r="K928" s="4">
        <f>Table1[[#This Row],[Quantity]]*Table1[[#This Row],[Price]]</f>
        <v>1200.32</v>
      </c>
      <c r="L928" t="str">
        <f>IF(Table1[[#This Row],[Age]]&lt;25,"18-24",IF(Table1[[#This Row],[Age]]&lt;35,"25-34",IF(Table1[[#This Row],[Age]]&lt;45,"35-44",IF(Table1[[#This Row],[Age]]&lt;55,"45-54","55+"))))</f>
        <v>55+</v>
      </c>
      <c r="M928" t="str">
        <f>TEXT(Table1[[#This Row],[Invoice_date]],"mmm")</f>
        <v>Mar</v>
      </c>
      <c r="N928">
        <f>YEAR(Table1[[#This Row],[Invoice_date]])</f>
        <v>2023</v>
      </c>
    </row>
    <row r="929" spans="1:14" x14ac:dyDescent="0.25">
      <c r="A929" t="s">
        <v>1535</v>
      </c>
      <c r="B929" t="s">
        <v>1536</v>
      </c>
      <c r="C929" t="s">
        <v>2</v>
      </c>
      <c r="D929">
        <v>63</v>
      </c>
      <c r="E929" t="s">
        <v>46</v>
      </c>
      <c r="F929">
        <v>5</v>
      </c>
      <c r="G929">
        <v>58.65</v>
      </c>
      <c r="H929" t="s">
        <v>4</v>
      </c>
      <c r="I929" s="2">
        <v>44589</v>
      </c>
      <c r="J929" t="s">
        <v>43</v>
      </c>
      <c r="K929" s="4">
        <f>Table1[[#This Row],[Quantity]]*Table1[[#This Row],[Price]]</f>
        <v>293.25</v>
      </c>
      <c r="L929" t="str">
        <f>IF(Table1[[#This Row],[Age]]&lt;25,"18-24",IF(Table1[[#This Row],[Age]]&lt;35,"25-34",IF(Table1[[#This Row],[Age]]&lt;45,"35-44",IF(Table1[[#This Row],[Age]]&lt;55,"45-54","55+"))))</f>
        <v>55+</v>
      </c>
      <c r="M929" t="str">
        <f>TEXT(Table1[[#This Row],[Invoice_date]],"mmm")</f>
        <v>Jan</v>
      </c>
      <c r="N929">
        <f>YEAR(Table1[[#This Row],[Invoice_date]])</f>
        <v>2022</v>
      </c>
    </row>
    <row r="930" spans="1:14" x14ac:dyDescent="0.25">
      <c r="A930" t="s">
        <v>1545</v>
      </c>
      <c r="B930" t="s">
        <v>1546</v>
      </c>
      <c r="C930" t="s">
        <v>12</v>
      </c>
      <c r="D930">
        <v>56</v>
      </c>
      <c r="E930" t="s">
        <v>46</v>
      </c>
      <c r="F930">
        <v>1</v>
      </c>
      <c r="G930">
        <v>11.73</v>
      </c>
      <c r="H930" t="s">
        <v>4</v>
      </c>
      <c r="I930" s="2">
        <v>44578</v>
      </c>
      <c r="J930" t="s">
        <v>14</v>
      </c>
      <c r="K930" s="4">
        <f>Table1[[#This Row],[Quantity]]*Table1[[#This Row],[Price]]</f>
        <v>11.73</v>
      </c>
      <c r="L930" t="str">
        <f>IF(Table1[[#This Row],[Age]]&lt;25,"18-24",IF(Table1[[#This Row],[Age]]&lt;35,"25-34",IF(Table1[[#This Row],[Age]]&lt;45,"35-44",IF(Table1[[#This Row],[Age]]&lt;55,"45-54","55+"))))</f>
        <v>55+</v>
      </c>
      <c r="M930" t="str">
        <f>TEXT(Table1[[#This Row],[Invoice_date]],"mmm")</f>
        <v>Jan</v>
      </c>
      <c r="N930">
        <f>YEAR(Table1[[#This Row],[Invoice_date]])</f>
        <v>2022</v>
      </c>
    </row>
    <row r="931" spans="1:14" x14ac:dyDescent="0.25">
      <c r="A931" t="s">
        <v>1557</v>
      </c>
      <c r="B931" t="s">
        <v>1558</v>
      </c>
      <c r="C931" t="s">
        <v>2</v>
      </c>
      <c r="D931">
        <v>56</v>
      </c>
      <c r="E931" t="s">
        <v>3</v>
      </c>
      <c r="F931">
        <v>3</v>
      </c>
      <c r="G931">
        <v>900.24</v>
      </c>
      <c r="H931" t="s">
        <v>18</v>
      </c>
      <c r="I931" s="2">
        <v>44377</v>
      </c>
      <c r="J931" t="s">
        <v>33</v>
      </c>
      <c r="K931" s="4">
        <f>Table1[[#This Row],[Quantity]]*Table1[[#This Row],[Price]]</f>
        <v>2700.7200000000003</v>
      </c>
      <c r="L931" t="str">
        <f>IF(Table1[[#This Row],[Age]]&lt;25,"18-24",IF(Table1[[#This Row],[Age]]&lt;35,"25-34",IF(Table1[[#This Row],[Age]]&lt;45,"35-44",IF(Table1[[#This Row],[Age]]&lt;55,"45-54","55+"))))</f>
        <v>55+</v>
      </c>
      <c r="M931" t="str">
        <f>TEXT(Table1[[#This Row],[Invoice_date]],"mmm")</f>
        <v>Jun</v>
      </c>
      <c r="N931">
        <f>YEAR(Table1[[#This Row],[Invoice_date]])</f>
        <v>2021</v>
      </c>
    </row>
    <row r="932" spans="1:14" x14ac:dyDescent="0.25">
      <c r="A932" t="s">
        <v>1567</v>
      </c>
      <c r="B932" t="s">
        <v>1568</v>
      </c>
      <c r="C932" t="s">
        <v>12</v>
      </c>
      <c r="D932">
        <v>58</v>
      </c>
      <c r="E932" t="s">
        <v>3</v>
      </c>
      <c r="F932">
        <v>5</v>
      </c>
      <c r="G932">
        <v>1500.4</v>
      </c>
      <c r="H932" t="s">
        <v>18</v>
      </c>
      <c r="I932" s="2">
        <v>44750</v>
      </c>
      <c r="J932" t="s">
        <v>14</v>
      </c>
      <c r="K932" s="4">
        <f>Table1[[#This Row],[Quantity]]*Table1[[#This Row],[Price]]</f>
        <v>7502</v>
      </c>
      <c r="L932" t="str">
        <f>IF(Table1[[#This Row],[Age]]&lt;25,"18-24",IF(Table1[[#This Row],[Age]]&lt;35,"25-34",IF(Table1[[#This Row],[Age]]&lt;45,"35-44",IF(Table1[[#This Row],[Age]]&lt;55,"45-54","55+"))))</f>
        <v>55+</v>
      </c>
      <c r="M932" t="str">
        <f>TEXT(Table1[[#This Row],[Invoice_date]],"mmm")</f>
        <v>Jul</v>
      </c>
      <c r="N932">
        <f>YEAR(Table1[[#This Row],[Invoice_date]])</f>
        <v>2022</v>
      </c>
    </row>
    <row r="933" spans="1:14" x14ac:dyDescent="0.25">
      <c r="A933" t="s">
        <v>1583</v>
      </c>
      <c r="B933" t="s">
        <v>1584</v>
      </c>
      <c r="C933" t="s">
        <v>12</v>
      </c>
      <c r="D933">
        <v>68</v>
      </c>
      <c r="E933" t="s">
        <v>3</v>
      </c>
      <c r="F933">
        <v>3</v>
      </c>
      <c r="G933">
        <v>900.24</v>
      </c>
      <c r="H933" t="s">
        <v>18</v>
      </c>
      <c r="I933" s="2">
        <v>44913</v>
      </c>
      <c r="J933" t="s">
        <v>9</v>
      </c>
      <c r="K933" s="4">
        <f>Table1[[#This Row],[Quantity]]*Table1[[#This Row],[Price]]</f>
        <v>2700.7200000000003</v>
      </c>
      <c r="L933" t="str">
        <f>IF(Table1[[#This Row],[Age]]&lt;25,"18-24",IF(Table1[[#This Row],[Age]]&lt;35,"25-34",IF(Table1[[#This Row],[Age]]&lt;45,"35-44",IF(Table1[[#This Row],[Age]]&lt;55,"45-54","55+"))))</f>
        <v>55+</v>
      </c>
      <c r="M933" t="str">
        <f>TEXT(Table1[[#This Row],[Invoice_date]],"mmm")</f>
        <v>Dec</v>
      </c>
      <c r="N933">
        <f>YEAR(Table1[[#This Row],[Invoice_date]])</f>
        <v>2022</v>
      </c>
    </row>
    <row r="934" spans="1:14" x14ac:dyDescent="0.25">
      <c r="A934" t="s">
        <v>1591</v>
      </c>
      <c r="B934" t="s">
        <v>1592</v>
      </c>
      <c r="C934" t="s">
        <v>2</v>
      </c>
      <c r="D934">
        <v>61</v>
      </c>
      <c r="E934" t="s">
        <v>3</v>
      </c>
      <c r="F934">
        <v>5</v>
      </c>
      <c r="G934">
        <v>1500.4</v>
      </c>
      <c r="H934" t="s">
        <v>13</v>
      </c>
      <c r="I934" s="2">
        <v>44836</v>
      </c>
      <c r="J934" t="s">
        <v>5</v>
      </c>
      <c r="K934" s="4">
        <f>Table1[[#This Row],[Quantity]]*Table1[[#This Row],[Price]]</f>
        <v>7502</v>
      </c>
      <c r="L934" t="str">
        <f>IF(Table1[[#This Row],[Age]]&lt;25,"18-24",IF(Table1[[#This Row],[Age]]&lt;35,"25-34",IF(Table1[[#This Row],[Age]]&lt;45,"35-44",IF(Table1[[#This Row],[Age]]&lt;55,"45-54","55+"))))</f>
        <v>55+</v>
      </c>
      <c r="M934" t="str">
        <f>TEXT(Table1[[#This Row],[Invoice_date]],"mmm")</f>
        <v>Oct</v>
      </c>
      <c r="N934">
        <f>YEAR(Table1[[#This Row],[Invoice_date]])</f>
        <v>2022</v>
      </c>
    </row>
    <row r="935" spans="1:14" x14ac:dyDescent="0.25">
      <c r="A935" t="s">
        <v>1593</v>
      </c>
      <c r="B935" t="s">
        <v>1594</v>
      </c>
      <c r="C935" t="s">
        <v>12</v>
      </c>
      <c r="D935">
        <v>55</v>
      </c>
      <c r="E935" t="s">
        <v>3</v>
      </c>
      <c r="F935">
        <v>4</v>
      </c>
      <c r="G935">
        <v>1200.32</v>
      </c>
      <c r="H935" t="s">
        <v>13</v>
      </c>
      <c r="I935" s="2">
        <v>44402</v>
      </c>
      <c r="J935" t="s">
        <v>43</v>
      </c>
      <c r="K935" s="4">
        <f>Table1[[#This Row],[Quantity]]*Table1[[#This Row],[Price]]</f>
        <v>4801.28</v>
      </c>
      <c r="L935" t="str">
        <f>IF(Table1[[#This Row],[Age]]&lt;25,"18-24",IF(Table1[[#This Row],[Age]]&lt;35,"25-34",IF(Table1[[#This Row],[Age]]&lt;45,"35-44",IF(Table1[[#This Row],[Age]]&lt;55,"45-54","55+"))))</f>
        <v>55+</v>
      </c>
      <c r="M935" t="str">
        <f>TEXT(Table1[[#This Row],[Invoice_date]],"mmm")</f>
        <v>Jul</v>
      </c>
      <c r="N935">
        <f>YEAR(Table1[[#This Row],[Invoice_date]])</f>
        <v>2021</v>
      </c>
    </row>
    <row r="936" spans="1:14" x14ac:dyDescent="0.25">
      <c r="A936" t="s">
        <v>1595</v>
      </c>
      <c r="B936" t="s">
        <v>1596</v>
      </c>
      <c r="C936" t="s">
        <v>12</v>
      </c>
      <c r="D936">
        <v>58</v>
      </c>
      <c r="E936" t="s">
        <v>3</v>
      </c>
      <c r="F936">
        <v>5</v>
      </c>
      <c r="G936">
        <v>1500.4</v>
      </c>
      <c r="H936" t="s">
        <v>4</v>
      </c>
      <c r="I936" s="2">
        <v>44772</v>
      </c>
      <c r="J936" t="s">
        <v>14</v>
      </c>
      <c r="K936" s="4">
        <f>Table1[[#This Row],[Quantity]]*Table1[[#This Row],[Price]]</f>
        <v>7502</v>
      </c>
      <c r="L936" t="str">
        <f>IF(Table1[[#This Row],[Age]]&lt;25,"18-24",IF(Table1[[#This Row],[Age]]&lt;35,"25-34",IF(Table1[[#This Row],[Age]]&lt;45,"35-44",IF(Table1[[#This Row],[Age]]&lt;55,"45-54","55+"))))</f>
        <v>55+</v>
      </c>
      <c r="M936" t="str">
        <f>TEXT(Table1[[#This Row],[Invoice_date]],"mmm")</f>
        <v>Jul</v>
      </c>
      <c r="N936">
        <f>YEAR(Table1[[#This Row],[Invoice_date]])</f>
        <v>2022</v>
      </c>
    </row>
    <row r="937" spans="1:14" x14ac:dyDescent="0.25">
      <c r="A937" t="s">
        <v>1599</v>
      </c>
      <c r="B937" t="s">
        <v>1600</v>
      </c>
      <c r="C937" t="s">
        <v>2</v>
      </c>
      <c r="D937">
        <v>60</v>
      </c>
      <c r="E937" t="s">
        <v>38</v>
      </c>
      <c r="F937">
        <v>5</v>
      </c>
      <c r="G937">
        <v>3000.85</v>
      </c>
      <c r="H937" t="s">
        <v>18</v>
      </c>
      <c r="I937" s="2">
        <v>44602</v>
      </c>
      <c r="J937" t="s">
        <v>14</v>
      </c>
      <c r="K937" s="4">
        <f>Table1[[#This Row],[Quantity]]*Table1[[#This Row],[Price]]</f>
        <v>15004.25</v>
      </c>
      <c r="L937" t="str">
        <f>IF(Table1[[#This Row],[Age]]&lt;25,"18-24",IF(Table1[[#This Row],[Age]]&lt;35,"25-34",IF(Table1[[#This Row],[Age]]&lt;45,"35-44",IF(Table1[[#This Row],[Age]]&lt;55,"45-54","55+"))))</f>
        <v>55+</v>
      </c>
      <c r="M937" t="str">
        <f>TEXT(Table1[[#This Row],[Invoice_date]],"mmm")</f>
        <v>Feb</v>
      </c>
      <c r="N937">
        <f>YEAR(Table1[[#This Row],[Invoice_date]])</f>
        <v>2022</v>
      </c>
    </row>
    <row r="938" spans="1:14" x14ac:dyDescent="0.25">
      <c r="A938" t="s">
        <v>1605</v>
      </c>
      <c r="B938" t="s">
        <v>1606</v>
      </c>
      <c r="C938" t="s">
        <v>2</v>
      </c>
      <c r="D938">
        <v>66</v>
      </c>
      <c r="E938" t="s">
        <v>38</v>
      </c>
      <c r="F938">
        <v>4</v>
      </c>
      <c r="G938">
        <v>2400.6799999999998</v>
      </c>
      <c r="H938" t="s">
        <v>18</v>
      </c>
      <c r="I938" s="2">
        <v>44673</v>
      </c>
      <c r="J938" t="s">
        <v>33</v>
      </c>
      <c r="K938" s="4">
        <f>Table1[[#This Row],[Quantity]]*Table1[[#This Row],[Price]]</f>
        <v>9602.7199999999993</v>
      </c>
      <c r="L938" t="str">
        <f>IF(Table1[[#This Row],[Age]]&lt;25,"18-24",IF(Table1[[#This Row],[Age]]&lt;35,"25-34",IF(Table1[[#This Row],[Age]]&lt;45,"35-44",IF(Table1[[#This Row],[Age]]&lt;55,"45-54","55+"))))</f>
        <v>55+</v>
      </c>
      <c r="M938" t="str">
        <f>TEXT(Table1[[#This Row],[Invoice_date]],"mmm")</f>
        <v>Apr</v>
      </c>
      <c r="N938">
        <f>YEAR(Table1[[#This Row],[Invoice_date]])</f>
        <v>2022</v>
      </c>
    </row>
    <row r="939" spans="1:14" x14ac:dyDescent="0.25">
      <c r="A939" t="s">
        <v>1613</v>
      </c>
      <c r="B939" t="s">
        <v>1614</v>
      </c>
      <c r="C939" t="s">
        <v>2</v>
      </c>
      <c r="D939">
        <v>57</v>
      </c>
      <c r="E939" t="s">
        <v>8</v>
      </c>
      <c r="F939">
        <v>5</v>
      </c>
      <c r="G939">
        <v>203.3</v>
      </c>
      <c r="H939" t="s">
        <v>4</v>
      </c>
      <c r="I939" s="2">
        <v>44337</v>
      </c>
      <c r="J939" t="s">
        <v>74</v>
      </c>
      <c r="K939" s="4">
        <f>Table1[[#This Row],[Quantity]]*Table1[[#This Row],[Price]]</f>
        <v>1016.5</v>
      </c>
      <c r="L939" t="str">
        <f>IF(Table1[[#This Row],[Age]]&lt;25,"18-24",IF(Table1[[#This Row],[Age]]&lt;35,"25-34",IF(Table1[[#This Row],[Age]]&lt;45,"35-44",IF(Table1[[#This Row],[Age]]&lt;55,"45-54","55+"))))</f>
        <v>55+</v>
      </c>
      <c r="M939" t="str">
        <f>TEXT(Table1[[#This Row],[Invoice_date]],"mmm")</f>
        <v>May</v>
      </c>
      <c r="N939">
        <f>YEAR(Table1[[#This Row],[Invoice_date]])</f>
        <v>2021</v>
      </c>
    </row>
    <row r="940" spans="1:14" x14ac:dyDescent="0.25">
      <c r="A940" t="s">
        <v>1615</v>
      </c>
      <c r="B940" t="s">
        <v>1616</v>
      </c>
      <c r="C940" t="s">
        <v>2</v>
      </c>
      <c r="D940">
        <v>56</v>
      </c>
      <c r="E940" t="s">
        <v>27</v>
      </c>
      <c r="F940">
        <v>2</v>
      </c>
      <c r="G940">
        <v>10.46</v>
      </c>
      <c r="H940" t="s">
        <v>13</v>
      </c>
      <c r="I940" s="2">
        <v>44525</v>
      </c>
      <c r="J940" t="s">
        <v>33</v>
      </c>
      <c r="K940" s="4">
        <f>Table1[[#This Row],[Quantity]]*Table1[[#This Row],[Price]]</f>
        <v>20.92</v>
      </c>
      <c r="L940" t="str">
        <f>IF(Table1[[#This Row],[Age]]&lt;25,"18-24",IF(Table1[[#This Row],[Age]]&lt;35,"25-34",IF(Table1[[#This Row],[Age]]&lt;45,"35-44",IF(Table1[[#This Row],[Age]]&lt;55,"45-54","55+"))))</f>
        <v>55+</v>
      </c>
      <c r="M940" t="str">
        <f>TEXT(Table1[[#This Row],[Invoice_date]],"mmm")</f>
        <v>Nov</v>
      </c>
      <c r="N940">
        <f>YEAR(Table1[[#This Row],[Invoice_date]])</f>
        <v>2021</v>
      </c>
    </row>
    <row r="941" spans="1:14" x14ac:dyDescent="0.25">
      <c r="A941" t="s">
        <v>1625</v>
      </c>
      <c r="B941" t="s">
        <v>1626</v>
      </c>
      <c r="C941" t="s">
        <v>2</v>
      </c>
      <c r="D941">
        <v>63</v>
      </c>
      <c r="E941" t="s">
        <v>3</v>
      </c>
      <c r="F941">
        <v>1</v>
      </c>
      <c r="G941">
        <v>300.08</v>
      </c>
      <c r="H941" t="s">
        <v>18</v>
      </c>
      <c r="I941" s="2">
        <v>44821</v>
      </c>
      <c r="J941" t="s">
        <v>14</v>
      </c>
      <c r="K941" s="4">
        <f>Table1[[#This Row],[Quantity]]*Table1[[#This Row],[Price]]</f>
        <v>300.08</v>
      </c>
      <c r="L941" t="str">
        <f>IF(Table1[[#This Row],[Age]]&lt;25,"18-24",IF(Table1[[#This Row],[Age]]&lt;35,"25-34",IF(Table1[[#This Row],[Age]]&lt;45,"35-44",IF(Table1[[#This Row],[Age]]&lt;55,"45-54","55+"))))</f>
        <v>55+</v>
      </c>
      <c r="M941" t="str">
        <f>TEXT(Table1[[#This Row],[Invoice_date]],"mmm")</f>
        <v>Sep</v>
      </c>
      <c r="N941">
        <f>YEAR(Table1[[#This Row],[Invoice_date]])</f>
        <v>2022</v>
      </c>
    </row>
    <row r="942" spans="1:14" x14ac:dyDescent="0.25">
      <c r="A942" t="s">
        <v>1637</v>
      </c>
      <c r="B942" t="s">
        <v>1638</v>
      </c>
      <c r="C942" t="s">
        <v>2</v>
      </c>
      <c r="D942">
        <v>61</v>
      </c>
      <c r="E942" t="s">
        <v>38</v>
      </c>
      <c r="F942">
        <v>2</v>
      </c>
      <c r="G942">
        <v>1200.3399999999999</v>
      </c>
      <c r="H942" t="s">
        <v>18</v>
      </c>
      <c r="I942" s="2">
        <v>44478</v>
      </c>
      <c r="J942" t="s">
        <v>43</v>
      </c>
      <c r="K942" s="4">
        <f>Table1[[#This Row],[Quantity]]*Table1[[#This Row],[Price]]</f>
        <v>2400.6799999999998</v>
      </c>
      <c r="L942" t="str">
        <f>IF(Table1[[#This Row],[Age]]&lt;25,"18-24",IF(Table1[[#This Row],[Age]]&lt;35,"25-34",IF(Table1[[#This Row],[Age]]&lt;45,"35-44",IF(Table1[[#This Row],[Age]]&lt;55,"45-54","55+"))))</f>
        <v>55+</v>
      </c>
      <c r="M942" t="str">
        <f>TEXT(Table1[[#This Row],[Invoice_date]],"mmm")</f>
        <v>Oct</v>
      </c>
      <c r="N942">
        <f>YEAR(Table1[[#This Row],[Invoice_date]])</f>
        <v>2021</v>
      </c>
    </row>
    <row r="943" spans="1:14" x14ac:dyDescent="0.25">
      <c r="A943" t="s">
        <v>1639</v>
      </c>
      <c r="B943" t="s">
        <v>1640</v>
      </c>
      <c r="C943" t="s">
        <v>2</v>
      </c>
      <c r="D943">
        <v>61</v>
      </c>
      <c r="E943" t="s">
        <v>3</v>
      </c>
      <c r="F943">
        <v>3</v>
      </c>
      <c r="G943">
        <v>900.24</v>
      </c>
      <c r="H943" t="s">
        <v>18</v>
      </c>
      <c r="I943" s="2">
        <v>44850</v>
      </c>
      <c r="J943" t="s">
        <v>74</v>
      </c>
      <c r="K943" s="4">
        <f>Table1[[#This Row],[Quantity]]*Table1[[#This Row],[Price]]</f>
        <v>2700.7200000000003</v>
      </c>
      <c r="L943" t="str">
        <f>IF(Table1[[#This Row],[Age]]&lt;25,"18-24",IF(Table1[[#This Row],[Age]]&lt;35,"25-34",IF(Table1[[#This Row],[Age]]&lt;45,"35-44",IF(Table1[[#This Row],[Age]]&lt;55,"45-54","55+"))))</f>
        <v>55+</v>
      </c>
      <c r="M943" t="str">
        <f>TEXT(Table1[[#This Row],[Invoice_date]],"mmm")</f>
        <v>Oct</v>
      </c>
      <c r="N943">
        <f>YEAR(Table1[[#This Row],[Invoice_date]])</f>
        <v>2022</v>
      </c>
    </row>
    <row r="944" spans="1:14" x14ac:dyDescent="0.25">
      <c r="A944" t="s">
        <v>1649</v>
      </c>
      <c r="B944" t="s">
        <v>1650</v>
      </c>
      <c r="C944" t="s">
        <v>2</v>
      </c>
      <c r="D944">
        <v>61</v>
      </c>
      <c r="E944" t="s">
        <v>8</v>
      </c>
      <c r="F944">
        <v>1</v>
      </c>
      <c r="G944">
        <v>40.659999999999997</v>
      </c>
      <c r="H944" t="s">
        <v>4</v>
      </c>
      <c r="I944" s="2">
        <v>44577</v>
      </c>
      <c r="J944" t="s">
        <v>33</v>
      </c>
      <c r="K944" s="4">
        <f>Table1[[#This Row],[Quantity]]*Table1[[#This Row],[Price]]</f>
        <v>40.659999999999997</v>
      </c>
      <c r="L944" t="str">
        <f>IF(Table1[[#This Row],[Age]]&lt;25,"18-24",IF(Table1[[#This Row],[Age]]&lt;35,"25-34",IF(Table1[[#This Row],[Age]]&lt;45,"35-44",IF(Table1[[#This Row],[Age]]&lt;55,"45-54","55+"))))</f>
        <v>55+</v>
      </c>
      <c r="M944" t="str">
        <f>TEXT(Table1[[#This Row],[Invoice_date]],"mmm")</f>
        <v>Jan</v>
      </c>
      <c r="N944">
        <f>YEAR(Table1[[#This Row],[Invoice_date]])</f>
        <v>2022</v>
      </c>
    </row>
    <row r="945" spans="1:14" x14ac:dyDescent="0.25">
      <c r="A945" t="s">
        <v>1661</v>
      </c>
      <c r="B945" t="s">
        <v>1662</v>
      </c>
      <c r="C945" t="s">
        <v>12</v>
      </c>
      <c r="D945">
        <v>55</v>
      </c>
      <c r="E945" t="s">
        <v>8</v>
      </c>
      <c r="F945">
        <v>3</v>
      </c>
      <c r="G945">
        <v>121.98</v>
      </c>
      <c r="H945" t="s">
        <v>18</v>
      </c>
      <c r="I945" s="2">
        <v>44254</v>
      </c>
      <c r="J945" t="s">
        <v>50</v>
      </c>
      <c r="K945" s="4">
        <f>Table1[[#This Row],[Quantity]]*Table1[[#This Row],[Price]]</f>
        <v>365.94</v>
      </c>
      <c r="L945" t="str">
        <f>IF(Table1[[#This Row],[Age]]&lt;25,"18-24",IF(Table1[[#This Row],[Age]]&lt;35,"25-34",IF(Table1[[#This Row],[Age]]&lt;45,"35-44",IF(Table1[[#This Row],[Age]]&lt;55,"45-54","55+"))))</f>
        <v>55+</v>
      </c>
      <c r="M945" t="str">
        <f>TEXT(Table1[[#This Row],[Invoice_date]],"mmm")</f>
        <v>Feb</v>
      </c>
      <c r="N945">
        <f>YEAR(Table1[[#This Row],[Invoice_date]])</f>
        <v>2021</v>
      </c>
    </row>
    <row r="946" spans="1:14" x14ac:dyDescent="0.25">
      <c r="A946" t="s">
        <v>1669</v>
      </c>
      <c r="B946" t="s">
        <v>1670</v>
      </c>
      <c r="C946" t="s">
        <v>12</v>
      </c>
      <c r="D946">
        <v>62</v>
      </c>
      <c r="E946" t="s">
        <v>3</v>
      </c>
      <c r="F946">
        <v>2</v>
      </c>
      <c r="G946">
        <v>600.16</v>
      </c>
      <c r="H946" t="s">
        <v>13</v>
      </c>
      <c r="I946" s="2">
        <v>44367</v>
      </c>
      <c r="J946" t="s">
        <v>30</v>
      </c>
      <c r="K946" s="4">
        <f>Table1[[#This Row],[Quantity]]*Table1[[#This Row],[Price]]</f>
        <v>1200.32</v>
      </c>
      <c r="L946" t="str">
        <f>IF(Table1[[#This Row],[Age]]&lt;25,"18-24",IF(Table1[[#This Row],[Age]]&lt;35,"25-34",IF(Table1[[#This Row],[Age]]&lt;45,"35-44",IF(Table1[[#This Row],[Age]]&lt;55,"45-54","55+"))))</f>
        <v>55+</v>
      </c>
      <c r="M946" t="str">
        <f>TEXT(Table1[[#This Row],[Invoice_date]],"mmm")</f>
        <v>Jun</v>
      </c>
      <c r="N946">
        <f>YEAR(Table1[[#This Row],[Invoice_date]])</f>
        <v>2021</v>
      </c>
    </row>
    <row r="947" spans="1:14" x14ac:dyDescent="0.25">
      <c r="A947" t="s">
        <v>1679</v>
      </c>
      <c r="B947" t="s">
        <v>1680</v>
      </c>
      <c r="C947" t="s">
        <v>2</v>
      </c>
      <c r="D947">
        <v>63</v>
      </c>
      <c r="E947" t="s">
        <v>3</v>
      </c>
      <c r="F947">
        <v>3</v>
      </c>
      <c r="G947">
        <v>900.24</v>
      </c>
      <c r="H947" t="s">
        <v>18</v>
      </c>
      <c r="I947" s="2">
        <v>44496</v>
      </c>
      <c r="J947" t="s">
        <v>24</v>
      </c>
      <c r="K947" s="4">
        <f>Table1[[#This Row],[Quantity]]*Table1[[#This Row],[Price]]</f>
        <v>2700.7200000000003</v>
      </c>
      <c r="L947" t="str">
        <f>IF(Table1[[#This Row],[Age]]&lt;25,"18-24",IF(Table1[[#This Row],[Age]]&lt;35,"25-34",IF(Table1[[#This Row],[Age]]&lt;45,"35-44",IF(Table1[[#This Row],[Age]]&lt;55,"45-54","55+"))))</f>
        <v>55+</v>
      </c>
      <c r="M947" t="str">
        <f>TEXT(Table1[[#This Row],[Invoice_date]],"mmm")</f>
        <v>Oct</v>
      </c>
      <c r="N947">
        <f>YEAR(Table1[[#This Row],[Invoice_date]])</f>
        <v>2021</v>
      </c>
    </row>
    <row r="948" spans="1:14" x14ac:dyDescent="0.25">
      <c r="A948" t="s">
        <v>1689</v>
      </c>
      <c r="B948" t="s">
        <v>1690</v>
      </c>
      <c r="C948" t="s">
        <v>12</v>
      </c>
      <c r="D948">
        <v>62</v>
      </c>
      <c r="E948" t="s">
        <v>38</v>
      </c>
      <c r="F948">
        <v>2</v>
      </c>
      <c r="G948">
        <v>1200.3399999999999</v>
      </c>
      <c r="H948" t="s">
        <v>4</v>
      </c>
      <c r="I948" s="2">
        <v>44796</v>
      </c>
      <c r="J948" t="s">
        <v>14</v>
      </c>
      <c r="K948" s="4">
        <f>Table1[[#This Row],[Quantity]]*Table1[[#This Row],[Price]]</f>
        <v>2400.6799999999998</v>
      </c>
      <c r="L948" t="str">
        <f>IF(Table1[[#This Row],[Age]]&lt;25,"18-24",IF(Table1[[#This Row],[Age]]&lt;35,"25-34",IF(Table1[[#This Row],[Age]]&lt;45,"35-44",IF(Table1[[#This Row],[Age]]&lt;55,"45-54","55+"))))</f>
        <v>55+</v>
      </c>
      <c r="M948" t="str">
        <f>TEXT(Table1[[#This Row],[Invoice_date]],"mmm")</f>
        <v>Aug</v>
      </c>
      <c r="N948">
        <f>YEAR(Table1[[#This Row],[Invoice_date]])</f>
        <v>2022</v>
      </c>
    </row>
    <row r="949" spans="1:14" x14ac:dyDescent="0.25">
      <c r="A949" t="s">
        <v>1703</v>
      </c>
      <c r="B949" t="s">
        <v>1704</v>
      </c>
      <c r="C949" t="s">
        <v>12</v>
      </c>
      <c r="D949">
        <v>65</v>
      </c>
      <c r="E949" t="s">
        <v>38</v>
      </c>
      <c r="F949">
        <v>4</v>
      </c>
      <c r="G949">
        <v>2400.6799999999998</v>
      </c>
      <c r="H949" t="s">
        <v>18</v>
      </c>
      <c r="I949" s="2">
        <v>44283</v>
      </c>
      <c r="J949" t="s">
        <v>50</v>
      </c>
      <c r="K949" s="4">
        <f>Table1[[#This Row],[Quantity]]*Table1[[#This Row],[Price]]</f>
        <v>9602.7199999999993</v>
      </c>
      <c r="L949" t="str">
        <f>IF(Table1[[#This Row],[Age]]&lt;25,"18-24",IF(Table1[[#This Row],[Age]]&lt;35,"25-34",IF(Table1[[#This Row],[Age]]&lt;45,"35-44",IF(Table1[[#This Row],[Age]]&lt;55,"45-54","55+"))))</f>
        <v>55+</v>
      </c>
      <c r="M949" t="str">
        <f>TEXT(Table1[[#This Row],[Invoice_date]],"mmm")</f>
        <v>Mar</v>
      </c>
      <c r="N949">
        <f>YEAR(Table1[[#This Row],[Invoice_date]])</f>
        <v>2021</v>
      </c>
    </row>
    <row r="950" spans="1:14" x14ac:dyDescent="0.25">
      <c r="A950" t="s">
        <v>1707</v>
      </c>
      <c r="B950" t="s">
        <v>1708</v>
      </c>
      <c r="C950" t="s">
        <v>12</v>
      </c>
      <c r="D950">
        <v>66</v>
      </c>
      <c r="E950" t="s">
        <v>3</v>
      </c>
      <c r="F950">
        <v>2</v>
      </c>
      <c r="G950">
        <v>600.16</v>
      </c>
      <c r="H950" t="s">
        <v>18</v>
      </c>
      <c r="I950" s="2">
        <v>44833</v>
      </c>
      <c r="J950" t="s">
        <v>14</v>
      </c>
      <c r="K950" s="4">
        <f>Table1[[#This Row],[Quantity]]*Table1[[#This Row],[Price]]</f>
        <v>1200.32</v>
      </c>
      <c r="L950" t="str">
        <f>IF(Table1[[#This Row],[Age]]&lt;25,"18-24",IF(Table1[[#This Row],[Age]]&lt;35,"25-34",IF(Table1[[#This Row],[Age]]&lt;45,"35-44",IF(Table1[[#This Row],[Age]]&lt;55,"45-54","55+"))))</f>
        <v>55+</v>
      </c>
      <c r="M950" t="str">
        <f>TEXT(Table1[[#This Row],[Invoice_date]],"mmm")</f>
        <v>Sep</v>
      </c>
      <c r="N950">
        <f>YEAR(Table1[[#This Row],[Invoice_date]])</f>
        <v>2022</v>
      </c>
    </row>
    <row r="951" spans="1:14" x14ac:dyDescent="0.25">
      <c r="A951" t="s">
        <v>1713</v>
      </c>
      <c r="B951" t="s">
        <v>1714</v>
      </c>
      <c r="C951" t="s">
        <v>2</v>
      </c>
      <c r="D951">
        <v>58</v>
      </c>
      <c r="E951" t="s">
        <v>8</v>
      </c>
      <c r="F951">
        <v>4</v>
      </c>
      <c r="G951">
        <v>162.63999999999999</v>
      </c>
      <c r="H951" t="s">
        <v>18</v>
      </c>
      <c r="I951" s="2">
        <v>44800</v>
      </c>
      <c r="J951" t="s">
        <v>30</v>
      </c>
      <c r="K951" s="4">
        <f>Table1[[#This Row],[Quantity]]*Table1[[#This Row],[Price]]</f>
        <v>650.55999999999995</v>
      </c>
      <c r="L951" t="str">
        <f>IF(Table1[[#This Row],[Age]]&lt;25,"18-24",IF(Table1[[#This Row],[Age]]&lt;35,"25-34",IF(Table1[[#This Row],[Age]]&lt;45,"35-44",IF(Table1[[#This Row],[Age]]&lt;55,"45-54","55+"))))</f>
        <v>55+</v>
      </c>
      <c r="M951" t="str">
        <f>TEXT(Table1[[#This Row],[Invoice_date]],"mmm")</f>
        <v>Aug</v>
      </c>
      <c r="N951">
        <f>YEAR(Table1[[#This Row],[Invoice_date]])</f>
        <v>2022</v>
      </c>
    </row>
    <row r="952" spans="1:14" x14ac:dyDescent="0.25">
      <c r="A952" t="s">
        <v>1721</v>
      </c>
      <c r="B952" t="s">
        <v>1722</v>
      </c>
      <c r="C952" t="s">
        <v>2</v>
      </c>
      <c r="D952">
        <v>55</v>
      </c>
      <c r="E952" t="s">
        <v>3</v>
      </c>
      <c r="F952">
        <v>1</v>
      </c>
      <c r="G952">
        <v>300.08</v>
      </c>
      <c r="H952" t="s">
        <v>18</v>
      </c>
      <c r="I952" s="2">
        <v>44987</v>
      </c>
      <c r="J952" t="s">
        <v>33</v>
      </c>
      <c r="K952" s="4">
        <f>Table1[[#This Row],[Quantity]]*Table1[[#This Row],[Price]]</f>
        <v>300.08</v>
      </c>
      <c r="L952" t="str">
        <f>IF(Table1[[#This Row],[Age]]&lt;25,"18-24",IF(Table1[[#This Row],[Age]]&lt;35,"25-34",IF(Table1[[#This Row],[Age]]&lt;45,"35-44",IF(Table1[[#This Row],[Age]]&lt;55,"45-54","55+"))))</f>
        <v>55+</v>
      </c>
      <c r="M952" t="str">
        <f>TEXT(Table1[[#This Row],[Invoice_date]],"mmm")</f>
        <v>Mar</v>
      </c>
      <c r="N952">
        <f>YEAR(Table1[[#This Row],[Invoice_date]])</f>
        <v>2023</v>
      </c>
    </row>
    <row r="953" spans="1:14" x14ac:dyDescent="0.25">
      <c r="A953" t="s">
        <v>1727</v>
      </c>
      <c r="B953" t="s">
        <v>1728</v>
      </c>
      <c r="C953" t="s">
        <v>2</v>
      </c>
      <c r="D953">
        <v>67</v>
      </c>
      <c r="E953" t="s">
        <v>8</v>
      </c>
      <c r="F953">
        <v>3</v>
      </c>
      <c r="G953">
        <v>121.98</v>
      </c>
      <c r="H953" t="s">
        <v>4</v>
      </c>
      <c r="I953" s="2">
        <v>44198</v>
      </c>
      <c r="J953" t="s">
        <v>33</v>
      </c>
      <c r="K953" s="4">
        <f>Table1[[#This Row],[Quantity]]*Table1[[#This Row],[Price]]</f>
        <v>365.94</v>
      </c>
      <c r="L953" t="str">
        <f>IF(Table1[[#This Row],[Age]]&lt;25,"18-24",IF(Table1[[#This Row],[Age]]&lt;35,"25-34",IF(Table1[[#This Row],[Age]]&lt;45,"35-44",IF(Table1[[#This Row],[Age]]&lt;55,"45-54","55+"))))</f>
        <v>55+</v>
      </c>
      <c r="M953" t="str">
        <f>TEXT(Table1[[#This Row],[Invoice_date]],"mmm")</f>
        <v>Jan</v>
      </c>
      <c r="N953">
        <f>YEAR(Table1[[#This Row],[Invoice_date]])</f>
        <v>2021</v>
      </c>
    </row>
    <row r="954" spans="1:14" x14ac:dyDescent="0.25">
      <c r="A954" t="s">
        <v>1737</v>
      </c>
      <c r="B954" t="s">
        <v>1738</v>
      </c>
      <c r="C954" t="s">
        <v>12</v>
      </c>
      <c r="D954">
        <v>67</v>
      </c>
      <c r="E954" t="s">
        <v>3</v>
      </c>
      <c r="F954">
        <v>1</v>
      </c>
      <c r="G954">
        <v>300.08</v>
      </c>
      <c r="H954" t="s">
        <v>4</v>
      </c>
      <c r="I954" s="2">
        <v>44423</v>
      </c>
      <c r="J954" t="s">
        <v>50</v>
      </c>
      <c r="K954" s="4">
        <f>Table1[[#This Row],[Quantity]]*Table1[[#This Row],[Price]]</f>
        <v>300.08</v>
      </c>
      <c r="L954" t="str">
        <f>IF(Table1[[#This Row],[Age]]&lt;25,"18-24",IF(Table1[[#This Row],[Age]]&lt;35,"25-34",IF(Table1[[#This Row],[Age]]&lt;45,"35-44",IF(Table1[[#This Row],[Age]]&lt;55,"45-54","55+"))))</f>
        <v>55+</v>
      </c>
      <c r="M954" t="str">
        <f>TEXT(Table1[[#This Row],[Invoice_date]],"mmm")</f>
        <v>Aug</v>
      </c>
      <c r="N954">
        <f>YEAR(Table1[[#This Row],[Invoice_date]])</f>
        <v>2021</v>
      </c>
    </row>
    <row r="955" spans="1:14" x14ac:dyDescent="0.25">
      <c r="A955" t="s">
        <v>1743</v>
      </c>
      <c r="B955" t="s">
        <v>1744</v>
      </c>
      <c r="C955" t="s">
        <v>2</v>
      </c>
      <c r="D955">
        <v>66</v>
      </c>
      <c r="E955" t="s">
        <v>38</v>
      </c>
      <c r="F955">
        <v>5</v>
      </c>
      <c r="G955">
        <v>3000.85</v>
      </c>
      <c r="H955" t="s">
        <v>4</v>
      </c>
      <c r="I955" s="2">
        <v>44564</v>
      </c>
      <c r="J955" t="s">
        <v>14</v>
      </c>
      <c r="K955" s="4">
        <f>Table1[[#This Row],[Quantity]]*Table1[[#This Row],[Price]]</f>
        <v>15004.25</v>
      </c>
      <c r="L955" t="str">
        <f>IF(Table1[[#This Row],[Age]]&lt;25,"18-24",IF(Table1[[#This Row],[Age]]&lt;35,"25-34",IF(Table1[[#This Row],[Age]]&lt;45,"35-44",IF(Table1[[#This Row],[Age]]&lt;55,"45-54","55+"))))</f>
        <v>55+</v>
      </c>
      <c r="M955" t="str">
        <f>TEXT(Table1[[#This Row],[Invoice_date]],"mmm")</f>
        <v>Jan</v>
      </c>
      <c r="N955">
        <f>YEAR(Table1[[#This Row],[Invoice_date]])</f>
        <v>2022</v>
      </c>
    </row>
    <row r="956" spans="1:14" x14ac:dyDescent="0.25">
      <c r="A956" t="s">
        <v>1755</v>
      </c>
      <c r="B956" t="s">
        <v>1756</v>
      </c>
      <c r="C956" t="s">
        <v>2</v>
      </c>
      <c r="D956">
        <v>59</v>
      </c>
      <c r="E956" t="s">
        <v>8</v>
      </c>
      <c r="F956">
        <v>3</v>
      </c>
      <c r="G956">
        <v>121.98</v>
      </c>
      <c r="H956" t="s">
        <v>13</v>
      </c>
      <c r="I956" s="2">
        <v>44872</v>
      </c>
      <c r="J956" t="s">
        <v>14</v>
      </c>
      <c r="K956" s="4">
        <f>Table1[[#This Row],[Quantity]]*Table1[[#This Row],[Price]]</f>
        <v>365.94</v>
      </c>
      <c r="L956" t="str">
        <f>IF(Table1[[#This Row],[Age]]&lt;25,"18-24",IF(Table1[[#This Row],[Age]]&lt;35,"25-34",IF(Table1[[#This Row],[Age]]&lt;45,"35-44",IF(Table1[[#This Row],[Age]]&lt;55,"45-54","55+"))))</f>
        <v>55+</v>
      </c>
      <c r="M956" t="str">
        <f>TEXT(Table1[[#This Row],[Invoice_date]],"mmm")</f>
        <v>Nov</v>
      </c>
      <c r="N956">
        <f>YEAR(Table1[[#This Row],[Invoice_date]])</f>
        <v>2022</v>
      </c>
    </row>
    <row r="957" spans="1:14" x14ac:dyDescent="0.25">
      <c r="A957" t="s">
        <v>1759</v>
      </c>
      <c r="B957" t="s">
        <v>1760</v>
      </c>
      <c r="C957" t="s">
        <v>12</v>
      </c>
      <c r="D957">
        <v>65</v>
      </c>
      <c r="E957" t="s">
        <v>27</v>
      </c>
      <c r="F957">
        <v>2</v>
      </c>
      <c r="G957">
        <v>10.46</v>
      </c>
      <c r="H957" t="s">
        <v>4</v>
      </c>
      <c r="I957" s="2">
        <v>44311</v>
      </c>
      <c r="J957" t="s">
        <v>14</v>
      </c>
      <c r="K957" s="4">
        <f>Table1[[#This Row],[Quantity]]*Table1[[#This Row],[Price]]</f>
        <v>20.92</v>
      </c>
      <c r="L957" t="str">
        <f>IF(Table1[[#This Row],[Age]]&lt;25,"18-24",IF(Table1[[#This Row],[Age]]&lt;35,"25-34",IF(Table1[[#This Row],[Age]]&lt;45,"35-44",IF(Table1[[#This Row],[Age]]&lt;55,"45-54","55+"))))</f>
        <v>55+</v>
      </c>
      <c r="M957" t="str">
        <f>TEXT(Table1[[#This Row],[Invoice_date]],"mmm")</f>
        <v>Apr</v>
      </c>
      <c r="N957">
        <f>YEAR(Table1[[#This Row],[Invoice_date]])</f>
        <v>2021</v>
      </c>
    </row>
    <row r="958" spans="1:14" x14ac:dyDescent="0.25">
      <c r="A958" t="s">
        <v>1761</v>
      </c>
      <c r="B958" t="s">
        <v>1762</v>
      </c>
      <c r="C958" t="s">
        <v>12</v>
      </c>
      <c r="D958">
        <v>65</v>
      </c>
      <c r="E958" t="s">
        <v>38</v>
      </c>
      <c r="F958">
        <v>5</v>
      </c>
      <c r="G958">
        <v>3000.85</v>
      </c>
      <c r="H958" t="s">
        <v>4</v>
      </c>
      <c r="I958" s="2">
        <v>44396</v>
      </c>
      <c r="J958" t="s">
        <v>14</v>
      </c>
      <c r="K958" s="4">
        <f>Table1[[#This Row],[Quantity]]*Table1[[#This Row],[Price]]</f>
        <v>15004.25</v>
      </c>
      <c r="L958" t="str">
        <f>IF(Table1[[#This Row],[Age]]&lt;25,"18-24",IF(Table1[[#This Row],[Age]]&lt;35,"25-34",IF(Table1[[#This Row],[Age]]&lt;45,"35-44",IF(Table1[[#This Row],[Age]]&lt;55,"45-54","55+"))))</f>
        <v>55+</v>
      </c>
      <c r="M958" t="str">
        <f>TEXT(Table1[[#This Row],[Invoice_date]],"mmm")</f>
        <v>Jul</v>
      </c>
      <c r="N958">
        <f>YEAR(Table1[[#This Row],[Invoice_date]])</f>
        <v>2021</v>
      </c>
    </row>
    <row r="959" spans="1:14" x14ac:dyDescent="0.25">
      <c r="A959" t="s">
        <v>1765</v>
      </c>
      <c r="B959" t="s">
        <v>1766</v>
      </c>
      <c r="C959" t="s">
        <v>12</v>
      </c>
      <c r="D959">
        <v>57</v>
      </c>
      <c r="E959" t="s">
        <v>3</v>
      </c>
      <c r="F959">
        <v>4</v>
      </c>
      <c r="G959">
        <v>1200.32</v>
      </c>
      <c r="H959" t="s">
        <v>4</v>
      </c>
      <c r="I959" s="2">
        <v>44221</v>
      </c>
      <c r="J959" t="s">
        <v>14</v>
      </c>
      <c r="K959" s="4">
        <f>Table1[[#This Row],[Quantity]]*Table1[[#This Row],[Price]]</f>
        <v>4801.28</v>
      </c>
      <c r="L959" t="str">
        <f>IF(Table1[[#This Row],[Age]]&lt;25,"18-24",IF(Table1[[#This Row],[Age]]&lt;35,"25-34",IF(Table1[[#This Row],[Age]]&lt;45,"35-44",IF(Table1[[#This Row],[Age]]&lt;55,"45-54","55+"))))</f>
        <v>55+</v>
      </c>
      <c r="M959" t="str">
        <f>TEXT(Table1[[#This Row],[Invoice_date]],"mmm")</f>
        <v>Jan</v>
      </c>
      <c r="N959">
        <f>YEAR(Table1[[#This Row],[Invoice_date]])</f>
        <v>2021</v>
      </c>
    </row>
    <row r="960" spans="1:14" x14ac:dyDescent="0.25">
      <c r="A960" t="s">
        <v>1771</v>
      </c>
      <c r="B960" t="s">
        <v>1772</v>
      </c>
      <c r="C960" t="s">
        <v>12</v>
      </c>
      <c r="D960">
        <v>63</v>
      </c>
      <c r="E960" t="s">
        <v>3</v>
      </c>
      <c r="F960">
        <v>3</v>
      </c>
      <c r="G960">
        <v>900.24</v>
      </c>
      <c r="H960" t="s">
        <v>13</v>
      </c>
      <c r="I960" s="2">
        <v>44259</v>
      </c>
      <c r="J960" t="s">
        <v>14</v>
      </c>
      <c r="K960" s="4">
        <f>Table1[[#This Row],[Quantity]]*Table1[[#This Row],[Price]]</f>
        <v>2700.7200000000003</v>
      </c>
      <c r="L960" t="str">
        <f>IF(Table1[[#This Row],[Age]]&lt;25,"18-24",IF(Table1[[#This Row],[Age]]&lt;35,"25-34",IF(Table1[[#This Row],[Age]]&lt;45,"35-44",IF(Table1[[#This Row],[Age]]&lt;55,"45-54","55+"))))</f>
        <v>55+</v>
      </c>
      <c r="M960" t="str">
        <f>TEXT(Table1[[#This Row],[Invoice_date]],"mmm")</f>
        <v>Mar</v>
      </c>
      <c r="N960">
        <f>YEAR(Table1[[#This Row],[Invoice_date]])</f>
        <v>2021</v>
      </c>
    </row>
    <row r="961" spans="1:14" x14ac:dyDescent="0.25">
      <c r="A961" t="s">
        <v>1779</v>
      </c>
      <c r="B961" t="s">
        <v>1780</v>
      </c>
      <c r="C961" t="s">
        <v>2</v>
      </c>
      <c r="D961">
        <v>57</v>
      </c>
      <c r="E961" t="s">
        <v>49</v>
      </c>
      <c r="F961">
        <v>3</v>
      </c>
      <c r="G961">
        <v>107.52</v>
      </c>
      <c r="H961" t="s">
        <v>18</v>
      </c>
      <c r="I961" s="2">
        <v>44751</v>
      </c>
      <c r="J961" t="s">
        <v>24</v>
      </c>
      <c r="K961" s="4">
        <f>Table1[[#This Row],[Quantity]]*Table1[[#This Row],[Price]]</f>
        <v>322.56</v>
      </c>
      <c r="L961" t="str">
        <f>IF(Table1[[#This Row],[Age]]&lt;25,"18-24",IF(Table1[[#This Row],[Age]]&lt;35,"25-34",IF(Table1[[#This Row],[Age]]&lt;45,"35-44",IF(Table1[[#This Row],[Age]]&lt;55,"45-54","55+"))))</f>
        <v>55+</v>
      </c>
      <c r="M961" t="str">
        <f>TEXT(Table1[[#This Row],[Invoice_date]],"mmm")</f>
        <v>Jul</v>
      </c>
      <c r="N961">
        <f>YEAR(Table1[[#This Row],[Invoice_date]])</f>
        <v>2022</v>
      </c>
    </row>
    <row r="962" spans="1:14" x14ac:dyDescent="0.25">
      <c r="A962" t="s">
        <v>1783</v>
      </c>
      <c r="B962" t="s">
        <v>1784</v>
      </c>
      <c r="C962" t="s">
        <v>12</v>
      </c>
      <c r="D962">
        <v>66</v>
      </c>
      <c r="E962" t="s">
        <v>3</v>
      </c>
      <c r="F962">
        <v>2</v>
      </c>
      <c r="G962">
        <v>600.16</v>
      </c>
      <c r="H962" t="s">
        <v>18</v>
      </c>
      <c r="I962" s="2">
        <v>44934</v>
      </c>
      <c r="J962" t="s">
        <v>63</v>
      </c>
      <c r="K962" s="4">
        <f>Table1[[#This Row],[Quantity]]*Table1[[#This Row],[Price]]</f>
        <v>1200.32</v>
      </c>
      <c r="L962" t="str">
        <f>IF(Table1[[#This Row],[Age]]&lt;25,"18-24",IF(Table1[[#This Row],[Age]]&lt;35,"25-34",IF(Table1[[#This Row],[Age]]&lt;45,"35-44",IF(Table1[[#This Row],[Age]]&lt;55,"45-54","55+"))))</f>
        <v>55+</v>
      </c>
      <c r="M962" t="str">
        <f>TEXT(Table1[[#This Row],[Invoice_date]],"mmm")</f>
        <v>Jan</v>
      </c>
      <c r="N962">
        <f>YEAR(Table1[[#This Row],[Invoice_date]])</f>
        <v>2023</v>
      </c>
    </row>
    <row r="963" spans="1:14" x14ac:dyDescent="0.25">
      <c r="A963" t="s">
        <v>1787</v>
      </c>
      <c r="B963" t="s">
        <v>1788</v>
      </c>
      <c r="C963" t="s">
        <v>2</v>
      </c>
      <c r="D963">
        <v>57</v>
      </c>
      <c r="E963" t="s">
        <v>21</v>
      </c>
      <c r="F963">
        <v>4</v>
      </c>
      <c r="G963">
        <v>4200</v>
      </c>
      <c r="H963" t="s">
        <v>4</v>
      </c>
      <c r="I963" s="2">
        <v>44753</v>
      </c>
      <c r="J963" t="s">
        <v>14</v>
      </c>
      <c r="K963" s="4">
        <f>Table1[[#This Row],[Quantity]]*Table1[[#This Row],[Price]]</f>
        <v>16800</v>
      </c>
      <c r="L963" t="str">
        <f>IF(Table1[[#This Row],[Age]]&lt;25,"18-24",IF(Table1[[#This Row],[Age]]&lt;35,"25-34",IF(Table1[[#This Row],[Age]]&lt;45,"35-44",IF(Table1[[#This Row],[Age]]&lt;55,"45-54","55+"))))</f>
        <v>55+</v>
      </c>
      <c r="M963" t="str">
        <f>TEXT(Table1[[#This Row],[Invoice_date]],"mmm")</f>
        <v>Jul</v>
      </c>
      <c r="N963">
        <f>YEAR(Table1[[#This Row],[Invoice_date]])</f>
        <v>2022</v>
      </c>
    </row>
    <row r="964" spans="1:14" x14ac:dyDescent="0.25">
      <c r="A964" t="s">
        <v>1793</v>
      </c>
      <c r="B964" t="s">
        <v>1794</v>
      </c>
      <c r="C964" t="s">
        <v>12</v>
      </c>
      <c r="D964">
        <v>55</v>
      </c>
      <c r="E964" t="s">
        <v>38</v>
      </c>
      <c r="F964">
        <v>4</v>
      </c>
      <c r="G964">
        <v>2400.6799999999998</v>
      </c>
      <c r="H964" t="s">
        <v>13</v>
      </c>
      <c r="I964" s="2">
        <v>44979</v>
      </c>
      <c r="J964" t="s">
        <v>30</v>
      </c>
      <c r="K964" s="4">
        <f>Table1[[#This Row],[Quantity]]*Table1[[#This Row],[Price]]</f>
        <v>9602.7199999999993</v>
      </c>
      <c r="L964" t="str">
        <f>IF(Table1[[#This Row],[Age]]&lt;25,"18-24",IF(Table1[[#This Row],[Age]]&lt;35,"25-34",IF(Table1[[#This Row],[Age]]&lt;45,"35-44",IF(Table1[[#This Row],[Age]]&lt;55,"45-54","55+"))))</f>
        <v>55+</v>
      </c>
      <c r="M964" t="str">
        <f>TEXT(Table1[[#This Row],[Invoice_date]],"mmm")</f>
        <v>Feb</v>
      </c>
      <c r="N964">
        <f>YEAR(Table1[[#This Row],[Invoice_date]])</f>
        <v>2023</v>
      </c>
    </row>
    <row r="965" spans="1:14" x14ac:dyDescent="0.25">
      <c r="A965" t="s">
        <v>1795</v>
      </c>
      <c r="B965" t="s">
        <v>1796</v>
      </c>
      <c r="C965" t="s">
        <v>12</v>
      </c>
      <c r="D965">
        <v>68</v>
      </c>
      <c r="E965" t="s">
        <v>21</v>
      </c>
      <c r="F965">
        <v>3</v>
      </c>
      <c r="G965">
        <v>3150</v>
      </c>
      <c r="H965" t="s">
        <v>4</v>
      </c>
      <c r="I965" s="2">
        <v>44782</v>
      </c>
      <c r="J965" t="s">
        <v>14</v>
      </c>
      <c r="K965" s="4">
        <f>Table1[[#This Row],[Quantity]]*Table1[[#This Row],[Price]]</f>
        <v>9450</v>
      </c>
      <c r="L965" t="str">
        <f>IF(Table1[[#This Row],[Age]]&lt;25,"18-24",IF(Table1[[#This Row],[Age]]&lt;35,"25-34",IF(Table1[[#This Row],[Age]]&lt;45,"35-44",IF(Table1[[#This Row],[Age]]&lt;55,"45-54","55+"))))</f>
        <v>55+</v>
      </c>
      <c r="M965" t="str">
        <f>TEXT(Table1[[#This Row],[Invoice_date]],"mmm")</f>
        <v>Aug</v>
      </c>
      <c r="N965">
        <f>YEAR(Table1[[#This Row],[Invoice_date]])</f>
        <v>2022</v>
      </c>
    </row>
    <row r="966" spans="1:14" x14ac:dyDescent="0.25">
      <c r="A966" t="s">
        <v>1797</v>
      </c>
      <c r="B966" t="s">
        <v>1798</v>
      </c>
      <c r="C966" t="s">
        <v>12</v>
      </c>
      <c r="D966">
        <v>67</v>
      </c>
      <c r="E966" t="s">
        <v>21</v>
      </c>
      <c r="F966">
        <v>2</v>
      </c>
      <c r="G966">
        <v>2100</v>
      </c>
      <c r="H966" t="s">
        <v>18</v>
      </c>
      <c r="I966" s="2">
        <v>44832</v>
      </c>
      <c r="J966" t="s">
        <v>24</v>
      </c>
      <c r="K966" s="4">
        <f>Table1[[#This Row],[Quantity]]*Table1[[#This Row],[Price]]</f>
        <v>4200</v>
      </c>
      <c r="L966" t="str">
        <f>IF(Table1[[#This Row],[Age]]&lt;25,"18-24",IF(Table1[[#This Row],[Age]]&lt;35,"25-34",IF(Table1[[#This Row],[Age]]&lt;45,"35-44",IF(Table1[[#This Row],[Age]]&lt;55,"45-54","55+"))))</f>
        <v>55+</v>
      </c>
      <c r="M966" t="str">
        <f>TEXT(Table1[[#This Row],[Invoice_date]],"mmm")</f>
        <v>Sep</v>
      </c>
      <c r="N966">
        <f>YEAR(Table1[[#This Row],[Invoice_date]])</f>
        <v>2022</v>
      </c>
    </row>
    <row r="967" spans="1:14" x14ac:dyDescent="0.25">
      <c r="A967" t="s">
        <v>1799</v>
      </c>
      <c r="B967" t="s">
        <v>1800</v>
      </c>
      <c r="C967" t="s">
        <v>12</v>
      </c>
      <c r="D967">
        <v>58</v>
      </c>
      <c r="E967" t="s">
        <v>38</v>
      </c>
      <c r="F967">
        <v>2</v>
      </c>
      <c r="G967">
        <v>1200.3399999999999</v>
      </c>
      <c r="H967" t="s">
        <v>4</v>
      </c>
      <c r="I967" s="2">
        <v>44452</v>
      </c>
      <c r="J967" t="s">
        <v>5</v>
      </c>
      <c r="K967" s="4">
        <f>Table1[[#This Row],[Quantity]]*Table1[[#This Row],[Price]]</f>
        <v>2400.6799999999998</v>
      </c>
      <c r="L967" t="str">
        <f>IF(Table1[[#This Row],[Age]]&lt;25,"18-24",IF(Table1[[#This Row],[Age]]&lt;35,"25-34",IF(Table1[[#This Row],[Age]]&lt;45,"35-44",IF(Table1[[#This Row],[Age]]&lt;55,"45-54","55+"))))</f>
        <v>55+</v>
      </c>
      <c r="M967" t="str">
        <f>TEXT(Table1[[#This Row],[Invoice_date]],"mmm")</f>
        <v>Sep</v>
      </c>
      <c r="N967">
        <f>YEAR(Table1[[#This Row],[Invoice_date]])</f>
        <v>2021</v>
      </c>
    </row>
    <row r="968" spans="1:14" x14ac:dyDescent="0.25">
      <c r="A968" t="s">
        <v>1805</v>
      </c>
      <c r="B968" t="s">
        <v>1806</v>
      </c>
      <c r="C968" t="s">
        <v>12</v>
      </c>
      <c r="D968">
        <v>64</v>
      </c>
      <c r="E968" t="s">
        <v>27</v>
      </c>
      <c r="F968">
        <v>1</v>
      </c>
      <c r="G968">
        <v>5.23</v>
      </c>
      <c r="H968" t="s">
        <v>18</v>
      </c>
      <c r="I968" s="2">
        <v>44441</v>
      </c>
      <c r="J968" t="s">
        <v>9</v>
      </c>
      <c r="K968" s="4">
        <f>Table1[[#This Row],[Quantity]]*Table1[[#This Row],[Price]]</f>
        <v>5.23</v>
      </c>
      <c r="L968" t="str">
        <f>IF(Table1[[#This Row],[Age]]&lt;25,"18-24",IF(Table1[[#This Row],[Age]]&lt;35,"25-34",IF(Table1[[#This Row],[Age]]&lt;45,"35-44",IF(Table1[[#This Row],[Age]]&lt;55,"45-54","55+"))))</f>
        <v>55+</v>
      </c>
      <c r="M968" t="str">
        <f>TEXT(Table1[[#This Row],[Invoice_date]],"mmm")</f>
        <v>Sep</v>
      </c>
      <c r="N968">
        <f>YEAR(Table1[[#This Row],[Invoice_date]])</f>
        <v>2021</v>
      </c>
    </row>
    <row r="969" spans="1:14" x14ac:dyDescent="0.25">
      <c r="A969" t="s">
        <v>1821</v>
      </c>
      <c r="B969" t="s">
        <v>1822</v>
      </c>
      <c r="C969" t="s">
        <v>12</v>
      </c>
      <c r="D969">
        <v>56</v>
      </c>
      <c r="E969" t="s">
        <v>27</v>
      </c>
      <c r="F969">
        <v>1</v>
      </c>
      <c r="G969">
        <v>5.23</v>
      </c>
      <c r="H969" t="s">
        <v>4</v>
      </c>
      <c r="I969" s="2">
        <v>44962</v>
      </c>
      <c r="J969" t="s">
        <v>74</v>
      </c>
      <c r="K969" s="4">
        <f>Table1[[#This Row],[Quantity]]*Table1[[#This Row],[Price]]</f>
        <v>5.23</v>
      </c>
      <c r="L969" t="str">
        <f>IF(Table1[[#This Row],[Age]]&lt;25,"18-24",IF(Table1[[#This Row],[Age]]&lt;35,"25-34",IF(Table1[[#This Row],[Age]]&lt;45,"35-44",IF(Table1[[#This Row],[Age]]&lt;55,"45-54","55+"))))</f>
        <v>55+</v>
      </c>
      <c r="M969" t="str">
        <f>TEXT(Table1[[#This Row],[Invoice_date]],"mmm")</f>
        <v>Feb</v>
      </c>
      <c r="N969">
        <f>YEAR(Table1[[#This Row],[Invoice_date]])</f>
        <v>2023</v>
      </c>
    </row>
    <row r="970" spans="1:14" x14ac:dyDescent="0.25">
      <c r="A970" t="s">
        <v>1835</v>
      </c>
      <c r="B970" t="s">
        <v>1836</v>
      </c>
      <c r="C970" t="s">
        <v>12</v>
      </c>
      <c r="D970">
        <v>69</v>
      </c>
      <c r="E970" t="s">
        <v>3</v>
      </c>
      <c r="F970">
        <v>1</v>
      </c>
      <c r="G970">
        <v>300.08</v>
      </c>
      <c r="H970" t="s">
        <v>18</v>
      </c>
      <c r="I970" s="2">
        <v>44682</v>
      </c>
      <c r="J970" t="s">
        <v>24</v>
      </c>
      <c r="K970" s="4">
        <f>Table1[[#This Row],[Quantity]]*Table1[[#This Row],[Price]]</f>
        <v>300.08</v>
      </c>
      <c r="L970" t="str">
        <f>IF(Table1[[#This Row],[Age]]&lt;25,"18-24",IF(Table1[[#This Row],[Age]]&lt;35,"25-34",IF(Table1[[#This Row],[Age]]&lt;45,"35-44",IF(Table1[[#This Row],[Age]]&lt;55,"45-54","55+"))))</f>
        <v>55+</v>
      </c>
      <c r="M970" t="str">
        <f>TEXT(Table1[[#This Row],[Invoice_date]],"mmm")</f>
        <v>May</v>
      </c>
      <c r="N970">
        <f>YEAR(Table1[[#This Row],[Invoice_date]])</f>
        <v>2022</v>
      </c>
    </row>
    <row r="971" spans="1:14" x14ac:dyDescent="0.25">
      <c r="A971" t="s">
        <v>1839</v>
      </c>
      <c r="B971" t="s">
        <v>1840</v>
      </c>
      <c r="C971" t="s">
        <v>2</v>
      </c>
      <c r="D971">
        <v>57</v>
      </c>
      <c r="E971" t="s">
        <v>49</v>
      </c>
      <c r="F971">
        <v>1</v>
      </c>
      <c r="G971">
        <v>35.840000000000003</v>
      </c>
      <c r="H971" t="s">
        <v>18</v>
      </c>
      <c r="I971" s="2">
        <v>44208</v>
      </c>
      <c r="J971" t="s">
        <v>5</v>
      </c>
      <c r="K971" s="4">
        <f>Table1[[#This Row],[Quantity]]*Table1[[#This Row],[Price]]</f>
        <v>35.840000000000003</v>
      </c>
      <c r="L971" t="str">
        <f>IF(Table1[[#This Row],[Age]]&lt;25,"18-24",IF(Table1[[#This Row],[Age]]&lt;35,"25-34",IF(Table1[[#This Row],[Age]]&lt;45,"35-44",IF(Table1[[#This Row],[Age]]&lt;55,"45-54","55+"))))</f>
        <v>55+</v>
      </c>
      <c r="M971" t="str">
        <f>TEXT(Table1[[#This Row],[Invoice_date]],"mmm")</f>
        <v>Jan</v>
      </c>
      <c r="N971">
        <f>YEAR(Table1[[#This Row],[Invoice_date]])</f>
        <v>2021</v>
      </c>
    </row>
    <row r="972" spans="1:14" x14ac:dyDescent="0.25">
      <c r="A972" t="s">
        <v>1845</v>
      </c>
      <c r="B972" t="s">
        <v>1846</v>
      </c>
      <c r="C972" t="s">
        <v>12</v>
      </c>
      <c r="D972">
        <v>65</v>
      </c>
      <c r="E972" t="s">
        <v>3</v>
      </c>
      <c r="F972">
        <v>4</v>
      </c>
      <c r="G972">
        <v>1200.32</v>
      </c>
      <c r="H972" t="s">
        <v>4</v>
      </c>
      <c r="I972" s="2">
        <v>44805</v>
      </c>
      <c r="J972" t="s">
        <v>24</v>
      </c>
      <c r="K972" s="4">
        <f>Table1[[#This Row],[Quantity]]*Table1[[#This Row],[Price]]</f>
        <v>4801.28</v>
      </c>
      <c r="L972" t="str">
        <f>IF(Table1[[#This Row],[Age]]&lt;25,"18-24",IF(Table1[[#This Row],[Age]]&lt;35,"25-34",IF(Table1[[#This Row],[Age]]&lt;45,"35-44",IF(Table1[[#This Row],[Age]]&lt;55,"45-54","55+"))))</f>
        <v>55+</v>
      </c>
      <c r="M972" t="str">
        <f>TEXT(Table1[[#This Row],[Invoice_date]],"mmm")</f>
        <v>Sep</v>
      </c>
      <c r="N972">
        <f>YEAR(Table1[[#This Row],[Invoice_date]])</f>
        <v>2022</v>
      </c>
    </row>
    <row r="973" spans="1:14" x14ac:dyDescent="0.25">
      <c r="A973" t="s">
        <v>1849</v>
      </c>
      <c r="B973" t="s">
        <v>1850</v>
      </c>
      <c r="C973" t="s">
        <v>2</v>
      </c>
      <c r="D973">
        <v>64</v>
      </c>
      <c r="E973" t="s">
        <v>17</v>
      </c>
      <c r="F973">
        <v>3</v>
      </c>
      <c r="G973">
        <v>45.45</v>
      </c>
      <c r="H973" t="s">
        <v>13</v>
      </c>
      <c r="I973" s="2">
        <v>44627</v>
      </c>
      <c r="J973" t="s">
        <v>14</v>
      </c>
      <c r="K973" s="4">
        <f>Table1[[#This Row],[Quantity]]*Table1[[#This Row],[Price]]</f>
        <v>136.35000000000002</v>
      </c>
      <c r="L973" t="str">
        <f>IF(Table1[[#This Row],[Age]]&lt;25,"18-24",IF(Table1[[#This Row],[Age]]&lt;35,"25-34",IF(Table1[[#This Row],[Age]]&lt;45,"35-44",IF(Table1[[#This Row],[Age]]&lt;55,"45-54","55+"))))</f>
        <v>55+</v>
      </c>
      <c r="M973" t="str">
        <f>TEXT(Table1[[#This Row],[Invoice_date]],"mmm")</f>
        <v>Mar</v>
      </c>
      <c r="N973">
        <f>YEAR(Table1[[#This Row],[Invoice_date]])</f>
        <v>2022</v>
      </c>
    </row>
    <row r="974" spans="1:14" x14ac:dyDescent="0.25">
      <c r="A974" t="s">
        <v>1861</v>
      </c>
      <c r="B974" t="s">
        <v>1862</v>
      </c>
      <c r="C974" t="s">
        <v>12</v>
      </c>
      <c r="D974">
        <v>59</v>
      </c>
      <c r="E974" t="s">
        <v>38</v>
      </c>
      <c r="F974">
        <v>1</v>
      </c>
      <c r="G974">
        <v>600.16999999999996</v>
      </c>
      <c r="H974" t="s">
        <v>13</v>
      </c>
      <c r="I974" s="2">
        <v>44209</v>
      </c>
      <c r="J974" t="s">
        <v>33</v>
      </c>
      <c r="K974" s="4">
        <f>Table1[[#This Row],[Quantity]]*Table1[[#This Row],[Price]]</f>
        <v>600.16999999999996</v>
      </c>
      <c r="L974" t="str">
        <f>IF(Table1[[#This Row],[Age]]&lt;25,"18-24",IF(Table1[[#This Row],[Age]]&lt;35,"25-34",IF(Table1[[#This Row],[Age]]&lt;45,"35-44",IF(Table1[[#This Row],[Age]]&lt;55,"45-54","55+"))))</f>
        <v>55+</v>
      </c>
      <c r="M974" t="str">
        <f>TEXT(Table1[[#This Row],[Invoice_date]],"mmm")</f>
        <v>Jan</v>
      </c>
      <c r="N974">
        <f>YEAR(Table1[[#This Row],[Invoice_date]])</f>
        <v>2021</v>
      </c>
    </row>
    <row r="975" spans="1:14" x14ac:dyDescent="0.25">
      <c r="A975" t="s">
        <v>1863</v>
      </c>
      <c r="B975" t="s">
        <v>1864</v>
      </c>
      <c r="C975" t="s">
        <v>12</v>
      </c>
      <c r="D975">
        <v>69</v>
      </c>
      <c r="E975" t="s">
        <v>3</v>
      </c>
      <c r="F975">
        <v>4</v>
      </c>
      <c r="G975">
        <v>1200.32</v>
      </c>
      <c r="H975" t="s">
        <v>18</v>
      </c>
      <c r="I975" s="2">
        <v>44259</v>
      </c>
      <c r="J975" t="s">
        <v>14</v>
      </c>
      <c r="K975" s="4">
        <f>Table1[[#This Row],[Quantity]]*Table1[[#This Row],[Price]]</f>
        <v>4801.28</v>
      </c>
      <c r="L975" t="str">
        <f>IF(Table1[[#This Row],[Age]]&lt;25,"18-24",IF(Table1[[#This Row],[Age]]&lt;35,"25-34",IF(Table1[[#This Row],[Age]]&lt;45,"35-44",IF(Table1[[#This Row],[Age]]&lt;55,"45-54","55+"))))</f>
        <v>55+</v>
      </c>
      <c r="M975" t="str">
        <f>TEXT(Table1[[#This Row],[Invoice_date]],"mmm")</f>
        <v>Mar</v>
      </c>
      <c r="N975">
        <f>YEAR(Table1[[#This Row],[Invoice_date]])</f>
        <v>2021</v>
      </c>
    </row>
    <row r="976" spans="1:14" x14ac:dyDescent="0.25">
      <c r="A976" t="s">
        <v>1883</v>
      </c>
      <c r="B976" t="s">
        <v>1884</v>
      </c>
      <c r="C976" t="s">
        <v>12</v>
      </c>
      <c r="D976">
        <v>60</v>
      </c>
      <c r="E976" t="s">
        <v>3</v>
      </c>
      <c r="F976">
        <v>1</v>
      </c>
      <c r="G976">
        <v>300.08</v>
      </c>
      <c r="H976" t="s">
        <v>18</v>
      </c>
      <c r="I976" s="2">
        <v>44749</v>
      </c>
      <c r="J976" t="s">
        <v>43</v>
      </c>
      <c r="K976" s="4">
        <f>Table1[[#This Row],[Quantity]]*Table1[[#This Row],[Price]]</f>
        <v>300.08</v>
      </c>
      <c r="L976" t="str">
        <f>IF(Table1[[#This Row],[Age]]&lt;25,"18-24",IF(Table1[[#This Row],[Age]]&lt;35,"25-34",IF(Table1[[#This Row],[Age]]&lt;45,"35-44",IF(Table1[[#This Row],[Age]]&lt;55,"45-54","55+"))))</f>
        <v>55+</v>
      </c>
      <c r="M976" t="str">
        <f>TEXT(Table1[[#This Row],[Invoice_date]],"mmm")</f>
        <v>Jul</v>
      </c>
      <c r="N976">
        <f>YEAR(Table1[[#This Row],[Invoice_date]])</f>
        <v>2022</v>
      </c>
    </row>
    <row r="977" spans="1:14" x14ac:dyDescent="0.25">
      <c r="A977" t="s">
        <v>1885</v>
      </c>
      <c r="B977" t="s">
        <v>1886</v>
      </c>
      <c r="C977" t="s">
        <v>2</v>
      </c>
      <c r="D977">
        <v>66</v>
      </c>
      <c r="E977" t="s">
        <v>8</v>
      </c>
      <c r="F977">
        <v>5</v>
      </c>
      <c r="G977">
        <v>203.3</v>
      </c>
      <c r="H977" t="s">
        <v>18</v>
      </c>
      <c r="I977" s="2">
        <v>44776</v>
      </c>
      <c r="J977" t="s">
        <v>33</v>
      </c>
      <c r="K977" s="4">
        <f>Table1[[#This Row],[Quantity]]*Table1[[#This Row],[Price]]</f>
        <v>1016.5</v>
      </c>
      <c r="L977" t="str">
        <f>IF(Table1[[#This Row],[Age]]&lt;25,"18-24",IF(Table1[[#This Row],[Age]]&lt;35,"25-34",IF(Table1[[#This Row],[Age]]&lt;45,"35-44",IF(Table1[[#This Row],[Age]]&lt;55,"45-54","55+"))))</f>
        <v>55+</v>
      </c>
      <c r="M977" t="str">
        <f>TEXT(Table1[[#This Row],[Invoice_date]],"mmm")</f>
        <v>Aug</v>
      </c>
      <c r="N977">
        <f>YEAR(Table1[[#This Row],[Invoice_date]])</f>
        <v>2022</v>
      </c>
    </row>
    <row r="978" spans="1:14" x14ac:dyDescent="0.25">
      <c r="A978" t="s">
        <v>1887</v>
      </c>
      <c r="B978" t="s">
        <v>1888</v>
      </c>
      <c r="C978" t="s">
        <v>2</v>
      </c>
      <c r="D978">
        <v>58</v>
      </c>
      <c r="E978" t="s">
        <v>49</v>
      </c>
      <c r="F978">
        <v>1</v>
      </c>
      <c r="G978">
        <v>35.840000000000003</v>
      </c>
      <c r="H978" t="s">
        <v>4</v>
      </c>
      <c r="I978" s="2">
        <v>44893</v>
      </c>
      <c r="J978" t="s">
        <v>9</v>
      </c>
      <c r="K978" s="4">
        <f>Table1[[#This Row],[Quantity]]*Table1[[#This Row],[Price]]</f>
        <v>35.840000000000003</v>
      </c>
      <c r="L978" t="str">
        <f>IF(Table1[[#This Row],[Age]]&lt;25,"18-24",IF(Table1[[#This Row],[Age]]&lt;35,"25-34",IF(Table1[[#This Row],[Age]]&lt;45,"35-44",IF(Table1[[#This Row],[Age]]&lt;55,"45-54","55+"))))</f>
        <v>55+</v>
      </c>
      <c r="M978" t="str">
        <f>TEXT(Table1[[#This Row],[Invoice_date]],"mmm")</f>
        <v>Nov</v>
      </c>
      <c r="N978">
        <f>YEAR(Table1[[#This Row],[Invoice_date]])</f>
        <v>2022</v>
      </c>
    </row>
    <row r="979" spans="1:14" x14ac:dyDescent="0.25">
      <c r="A979" t="s">
        <v>1893</v>
      </c>
      <c r="B979" t="s">
        <v>1894</v>
      </c>
      <c r="C979" t="s">
        <v>2</v>
      </c>
      <c r="D979">
        <v>59</v>
      </c>
      <c r="E979" t="s">
        <v>3</v>
      </c>
      <c r="F979">
        <v>3</v>
      </c>
      <c r="G979">
        <v>900.24</v>
      </c>
      <c r="H979" t="s">
        <v>13</v>
      </c>
      <c r="I979" s="2">
        <v>44288</v>
      </c>
      <c r="J979" t="s">
        <v>24</v>
      </c>
      <c r="K979" s="4">
        <f>Table1[[#This Row],[Quantity]]*Table1[[#This Row],[Price]]</f>
        <v>2700.7200000000003</v>
      </c>
      <c r="L979" t="str">
        <f>IF(Table1[[#This Row],[Age]]&lt;25,"18-24",IF(Table1[[#This Row],[Age]]&lt;35,"25-34",IF(Table1[[#This Row],[Age]]&lt;45,"35-44",IF(Table1[[#This Row],[Age]]&lt;55,"45-54","55+"))))</f>
        <v>55+</v>
      </c>
      <c r="M979" t="str">
        <f>TEXT(Table1[[#This Row],[Invoice_date]],"mmm")</f>
        <v>Apr</v>
      </c>
      <c r="N979">
        <f>YEAR(Table1[[#This Row],[Invoice_date]])</f>
        <v>2021</v>
      </c>
    </row>
    <row r="980" spans="1:14" x14ac:dyDescent="0.25">
      <c r="A980" t="s">
        <v>1895</v>
      </c>
      <c r="B980" t="s">
        <v>1896</v>
      </c>
      <c r="C980" t="s">
        <v>2</v>
      </c>
      <c r="D980">
        <v>63</v>
      </c>
      <c r="E980" t="s">
        <v>49</v>
      </c>
      <c r="F980">
        <v>4</v>
      </c>
      <c r="G980">
        <v>143.36000000000001</v>
      </c>
      <c r="H980" t="s">
        <v>13</v>
      </c>
      <c r="I980" s="2">
        <v>44825</v>
      </c>
      <c r="J980" t="s">
        <v>50</v>
      </c>
      <c r="K980" s="4">
        <f>Table1[[#This Row],[Quantity]]*Table1[[#This Row],[Price]]</f>
        <v>573.44000000000005</v>
      </c>
      <c r="L980" t="str">
        <f>IF(Table1[[#This Row],[Age]]&lt;25,"18-24",IF(Table1[[#This Row],[Age]]&lt;35,"25-34",IF(Table1[[#This Row],[Age]]&lt;45,"35-44",IF(Table1[[#This Row],[Age]]&lt;55,"45-54","55+"))))</f>
        <v>55+</v>
      </c>
      <c r="M980" t="str">
        <f>TEXT(Table1[[#This Row],[Invoice_date]],"mmm")</f>
        <v>Sep</v>
      </c>
      <c r="N980">
        <f>YEAR(Table1[[#This Row],[Invoice_date]])</f>
        <v>2022</v>
      </c>
    </row>
    <row r="981" spans="1:14" x14ac:dyDescent="0.25">
      <c r="A981" t="s">
        <v>1899</v>
      </c>
      <c r="B981" t="s">
        <v>1900</v>
      </c>
      <c r="C981" t="s">
        <v>12</v>
      </c>
      <c r="D981">
        <v>60</v>
      </c>
      <c r="E981" t="s">
        <v>27</v>
      </c>
      <c r="F981">
        <v>1</v>
      </c>
      <c r="G981">
        <v>5.23</v>
      </c>
      <c r="H981" t="s">
        <v>4</v>
      </c>
      <c r="I981" s="2">
        <v>44779</v>
      </c>
      <c r="J981" t="s">
        <v>63</v>
      </c>
      <c r="K981" s="4">
        <f>Table1[[#This Row],[Quantity]]*Table1[[#This Row],[Price]]</f>
        <v>5.23</v>
      </c>
      <c r="L981" t="str">
        <f>IF(Table1[[#This Row],[Age]]&lt;25,"18-24",IF(Table1[[#This Row],[Age]]&lt;35,"25-34",IF(Table1[[#This Row],[Age]]&lt;45,"35-44",IF(Table1[[#This Row],[Age]]&lt;55,"45-54","55+"))))</f>
        <v>55+</v>
      </c>
      <c r="M981" t="str">
        <f>TEXT(Table1[[#This Row],[Invoice_date]],"mmm")</f>
        <v>Aug</v>
      </c>
      <c r="N981">
        <f>YEAR(Table1[[#This Row],[Invoice_date]])</f>
        <v>2022</v>
      </c>
    </row>
    <row r="982" spans="1:14" x14ac:dyDescent="0.25">
      <c r="A982" t="s">
        <v>1901</v>
      </c>
      <c r="B982" t="s">
        <v>1902</v>
      </c>
      <c r="C982" t="s">
        <v>2</v>
      </c>
      <c r="D982">
        <v>60</v>
      </c>
      <c r="E982" t="s">
        <v>8</v>
      </c>
      <c r="F982">
        <v>1</v>
      </c>
      <c r="G982">
        <v>40.659999999999997</v>
      </c>
      <c r="H982" t="s">
        <v>18</v>
      </c>
      <c r="I982" s="2">
        <v>44259</v>
      </c>
      <c r="J982" t="s">
        <v>14</v>
      </c>
      <c r="K982" s="4">
        <f>Table1[[#This Row],[Quantity]]*Table1[[#This Row],[Price]]</f>
        <v>40.659999999999997</v>
      </c>
      <c r="L982" t="str">
        <f>IF(Table1[[#This Row],[Age]]&lt;25,"18-24",IF(Table1[[#This Row],[Age]]&lt;35,"25-34",IF(Table1[[#This Row],[Age]]&lt;45,"35-44",IF(Table1[[#This Row],[Age]]&lt;55,"45-54","55+"))))</f>
        <v>55+</v>
      </c>
      <c r="M982" t="str">
        <f>TEXT(Table1[[#This Row],[Invoice_date]],"mmm")</f>
        <v>Mar</v>
      </c>
      <c r="N982">
        <f>YEAR(Table1[[#This Row],[Invoice_date]])</f>
        <v>2021</v>
      </c>
    </row>
    <row r="983" spans="1:14" x14ac:dyDescent="0.25">
      <c r="A983" t="s">
        <v>1905</v>
      </c>
      <c r="B983" t="s">
        <v>1906</v>
      </c>
      <c r="C983" t="s">
        <v>12</v>
      </c>
      <c r="D983">
        <v>59</v>
      </c>
      <c r="E983" t="s">
        <v>8</v>
      </c>
      <c r="F983">
        <v>1</v>
      </c>
      <c r="G983">
        <v>40.659999999999997</v>
      </c>
      <c r="H983" t="s">
        <v>4</v>
      </c>
      <c r="I983" s="2">
        <v>44363</v>
      </c>
      <c r="J983" t="s">
        <v>14</v>
      </c>
      <c r="K983" s="4">
        <f>Table1[[#This Row],[Quantity]]*Table1[[#This Row],[Price]]</f>
        <v>40.659999999999997</v>
      </c>
      <c r="L983" t="str">
        <f>IF(Table1[[#This Row],[Age]]&lt;25,"18-24",IF(Table1[[#This Row],[Age]]&lt;35,"25-34",IF(Table1[[#This Row],[Age]]&lt;45,"35-44",IF(Table1[[#This Row],[Age]]&lt;55,"45-54","55+"))))</f>
        <v>55+</v>
      </c>
      <c r="M983" t="str">
        <f>TEXT(Table1[[#This Row],[Invoice_date]],"mmm")</f>
        <v>Jun</v>
      </c>
      <c r="N983">
        <f>YEAR(Table1[[#This Row],[Invoice_date]])</f>
        <v>2021</v>
      </c>
    </row>
    <row r="984" spans="1:14" x14ac:dyDescent="0.25">
      <c r="A984" t="s">
        <v>1915</v>
      </c>
      <c r="B984" t="s">
        <v>1916</v>
      </c>
      <c r="C984" t="s">
        <v>12</v>
      </c>
      <c r="D984">
        <v>62</v>
      </c>
      <c r="E984" t="s">
        <v>3</v>
      </c>
      <c r="F984">
        <v>3</v>
      </c>
      <c r="G984">
        <v>900.24</v>
      </c>
      <c r="H984" t="s">
        <v>4</v>
      </c>
      <c r="I984" s="2">
        <v>44895</v>
      </c>
      <c r="J984" t="s">
        <v>9</v>
      </c>
      <c r="K984" s="4">
        <f>Table1[[#This Row],[Quantity]]*Table1[[#This Row],[Price]]</f>
        <v>2700.7200000000003</v>
      </c>
      <c r="L984" t="str">
        <f>IF(Table1[[#This Row],[Age]]&lt;25,"18-24",IF(Table1[[#This Row],[Age]]&lt;35,"25-34",IF(Table1[[#This Row],[Age]]&lt;45,"35-44",IF(Table1[[#This Row],[Age]]&lt;55,"45-54","55+"))))</f>
        <v>55+</v>
      </c>
      <c r="M984" t="str">
        <f>TEXT(Table1[[#This Row],[Invoice_date]],"mmm")</f>
        <v>Nov</v>
      </c>
      <c r="N984">
        <f>YEAR(Table1[[#This Row],[Invoice_date]])</f>
        <v>2022</v>
      </c>
    </row>
    <row r="985" spans="1:14" x14ac:dyDescent="0.25">
      <c r="A985" t="s">
        <v>1923</v>
      </c>
      <c r="B985" t="s">
        <v>1924</v>
      </c>
      <c r="C985" t="s">
        <v>12</v>
      </c>
      <c r="D985">
        <v>69</v>
      </c>
      <c r="E985" t="s">
        <v>38</v>
      </c>
      <c r="F985">
        <v>2</v>
      </c>
      <c r="G985">
        <v>1200.3399999999999</v>
      </c>
      <c r="H985" t="s">
        <v>4</v>
      </c>
      <c r="I985" s="2">
        <v>44309</v>
      </c>
      <c r="J985" t="s">
        <v>9</v>
      </c>
      <c r="K985" s="4">
        <f>Table1[[#This Row],[Quantity]]*Table1[[#This Row],[Price]]</f>
        <v>2400.6799999999998</v>
      </c>
      <c r="L985" t="str">
        <f>IF(Table1[[#This Row],[Age]]&lt;25,"18-24",IF(Table1[[#This Row],[Age]]&lt;35,"25-34",IF(Table1[[#This Row],[Age]]&lt;45,"35-44",IF(Table1[[#This Row],[Age]]&lt;55,"45-54","55+"))))</f>
        <v>55+</v>
      </c>
      <c r="M985" t="str">
        <f>TEXT(Table1[[#This Row],[Invoice_date]],"mmm")</f>
        <v>Apr</v>
      </c>
      <c r="N985">
        <f>YEAR(Table1[[#This Row],[Invoice_date]])</f>
        <v>2021</v>
      </c>
    </row>
    <row r="986" spans="1:14" x14ac:dyDescent="0.25">
      <c r="A986" t="s">
        <v>1925</v>
      </c>
      <c r="B986" t="s">
        <v>1926</v>
      </c>
      <c r="C986" t="s">
        <v>12</v>
      </c>
      <c r="D986">
        <v>62</v>
      </c>
      <c r="E986" t="s">
        <v>8</v>
      </c>
      <c r="F986">
        <v>2</v>
      </c>
      <c r="G986">
        <v>81.319999999999993</v>
      </c>
      <c r="H986" t="s">
        <v>13</v>
      </c>
      <c r="I986" s="2">
        <v>44303</v>
      </c>
      <c r="J986" t="s">
        <v>14</v>
      </c>
      <c r="K986" s="4">
        <f>Table1[[#This Row],[Quantity]]*Table1[[#This Row],[Price]]</f>
        <v>162.63999999999999</v>
      </c>
      <c r="L986" t="str">
        <f>IF(Table1[[#This Row],[Age]]&lt;25,"18-24",IF(Table1[[#This Row],[Age]]&lt;35,"25-34",IF(Table1[[#This Row],[Age]]&lt;45,"35-44",IF(Table1[[#This Row],[Age]]&lt;55,"45-54","55+"))))</f>
        <v>55+</v>
      </c>
      <c r="M986" t="str">
        <f>TEXT(Table1[[#This Row],[Invoice_date]],"mmm")</f>
        <v>Apr</v>
      </c>
      <c r="N986">
        <f>YEAR(Table1[[#This Row],[Invoice_date]])</f>
        <v>2021</v>
      </c>
    </row>
    <row r="987" spans="1:14" x14ac:dyDescent="0.25">
      <c r="A987" t="s">
        <v>1933</v>
      </c>
      <c r="B987" t="s">
        <v>1934</v>
      </c>
      <c r="C987" t="s">
        <v>12</v>
      </c>
      <c r="D987">
        <v>67</v>
      </c>
      <c r="E987" t="s">
        <v>38</v>
      </c>
      <c r="F987">
        <v>2</v>
      </c>
      <c r="G987">
        <v>1200.3399999999999</v>
      </c>
      <c r="H987" t="s">
        <v>4</v>
      </c>
      <c r="I987" s="2">
        <v>44256</v>
      </c>
      <c r="J987" t="s">
        <v>63</v>
      </c>
      <c r="K987" s="4">
        <f>Table1[[#This Row],[Quantity]]*Table1[[#This Row],[Price]]</f>
        <v>2400.6799999999998</v>
      </c>
      <c r="L987" t="str">
        <f>IF(Table1[[#This Row],[Age]]&lt;25,"18-24",IF(Table1[[#This Row],[Age]]&lt;35,"25-34",IF(Table1[[#This Row],[Age]]&lt;45,"35-44",IF(Table1[[#This Row],[Age]]&lt;55,"45-54","55+"))))</f>
        <v>55+</v>
      </c>
      <c r="M987" t="str">
        <f>TEXT(Table1[[#This Row],[Invoice_date]],"mmm")</f>
        <v>Mar</v>
      </c>
      <c r="N987">
        <f>YEAR(Table1[[#This Row],[Invoice_date]])</f>
        <v>2021</v>
      </c>
    </row>
    <row r="988" spans="1:14" x14ac:dyDescent="0.25">
      <c r="A988" t="s">
        <v>1939</v>
      </c>
      <c r="B988" t="s">
        <v>1940</v>
      </c>
      <c r="C988" t="s">
        <v>12</v>
      </c>
      <c r="D988">
        <v>67</v>
      </c>
      <c r="E988" t="s">
        <v>3</v>
      </c>
      <c r="F988">
        <v>2</v>
      </c>
      <c r="G988">
        <v>600.16</v>
      </c>
      <c r="H988" t="s">
        <v>18</v>
      </c>
      <c r="I988" s="2">
        <v>44886</v>
      </c>
      <c r="J988" t="s">
        <v>43</v>
      </c>
      <c r="K988" s="4">
        <f>Table1[[#This Row],[Quantity]]*Table1[[#This Row],[Price]]</f>
        <v>1200.32</v>
      </c>
      <c r="L988" t="str">
        <f>IF(Table1[[#This Row],[Age]]&lt;25,"18-24",IF(Table1[[#This Row],[Age]]&lt;35,"25-34",IF(Table1[[#This Row],[Age]]&lt;45,"35-44",IF(Table1[[#This Row],[Age]]&lt;55,"45-54","55+"))))</f>
        <v>55+</v>
      </c>
      <c r="M988" t="str">
        <f>TEXT(Table1[[#This Row],[Invoice_date]],"mmm")</f>
        <v>Nov</v>
      </c>
      <c r="N988">
        <f>YEAR(Table1[[#This Row],[Invoice_date]])</f>
        <v>2022</v>
      </c>
    </row>
    <row r="989" spans="1:14" x14ac:dyDescent="0.25">
      <c r="A989" t="s">
        <v>1941</v>
      </c>
      <c r="B989" t="s">
        <v>1942</v>
      </c>
      <c r="C989" t="s">
        <v>12</v>
      </c>
      <c r="D989">
        <v>69</v>
      </c>
      <c r="E989" t="s">
        <v>38</v>
      </c>
      <c r="F989">
        <v>3</v>
      </c>
      <c r="G989">
        <v>1800.51</v>
      </c>
      <c r="H989" t="s">
        <v>13</v>
      </c>
      <c r="I989" s="2">
        <v>44572</v>
      </c>
      <c r="J989" t="s">
        <v>14</v>
      </c>
      <c r="K989" s="4">
        <f>Table1[[#This Row],[Quantity]]*Table1[[#This Row],[Price]]</f>
        <v>5401.53</v>
      </c>
      <c r="L989" t="str">
        <f>IF(Table1[[#This Row],[Age]]&lt;25,"18-24",IF(Table1[[#This Row],[Age]]&lt;35,"25-34",IF(Table1[[#This Row],[Age]]&lt;45,"35-44",IF(Table1[[#This Row],[Age]]&lt;55,"45-54","55+"))))</f>
        <v>55+</v>
      </c>
      <c r="M989" t="str">
        <f>TEXT(Table1[[#This Row],[Invoice_date]],"mmm")</f>
        <v>Jan</v>
      </c>
      <c r="N989">
        <f>YEAR(Table1[[#This Row],[Invoice_date]])</f>
        <v>2022</v>
      </c>
    </row>
    <row r="990" spans="1:14" x14ac:dyDescent="0.25">
      <c r="A990" t="s">
        <v>1945</v>
      </c>
      <c r="B990" t="s">
        <v>1946</v>
      </c>
      <c r="C990" t="s">
        <v>12</v>
      </c>
      <c r="D990">
        <v>62</v>
      </c>
      <c r="E990" t="s">
        <v>27</v>
      </c>
      <c r="F990">
        <v>2</v>
      </c>
      <c r="G990">
        <v>10.46</v>
      </c>
      <c r="H990" t="s">
        <v>18</v>
      </c>
      <c r="I990" s="2">
        <v>44380</v>
      </c>
      <c r="J990" t="s">
        <v>9</v>
      </c>
      <c r="K990" s="4">
        <f>Table1[[#This Row],[Quantity]]*Table1[[#This Row],[Price]]</f>
        <v>20.92</v>
      </c>
      <c r="L990" t="str">
        <f>IF(Table1[[#This Row],[Age]]&lt;25,"18-24",IF(Table1[[#This Row],[Age]]&lt;35,"25-34",IF(Table1[[#This Row],[Age]]&lt;45,"35-44",IF(Table1[[#This Row],[Age]]&lt;55,"45-54","55+"))))</f>
        <v>55+</v>
      </c>
      <c r="M990" t="str">
        <f>TEXT(Table1[[#This Row],[Invoice_date]],"mmm")</f>
        <v>Jul</v>
      </c>
      <c r="N990">
        <f>YEAR(Table1[[#This Row],[Invoice_date]])</f>
        <v>2021</v>
      </c>
    </row>
    <row r="991" spans="1:14" x14ac:dyDescent="0.25">
      <c r="A991" t="s">
        <v>1953</v>
      </c>
      <c r="B991" t="s">
        <v>1954</v>
      </c>
      <c r="C991" t="s">
        <v>12</v>
      </c>
      <c r="D991">
        <v>57</v>
      </c>
      <c r="E991" t="s">
        <v>3</v>
      </c>
      <c r="F991">
        <v>4</v>
      </c>
      <c r="G991">
        <v>1200.32</v>
      </c>
      <c r="H991" t="s">
        <v>13</v>
      </c>
      <c r="I991" s="2">
        <v>44745</v>
      </c>
      <c r="J991" t="s">
        <v>74</v>
      </c>
      <c r="K991" s="4">
        <f>Table1[[#This Row],[Quantity]]*Table1[[#This Row],[Price]]</f>
        <v>4801.28</v>
      </c>
      <c r="L991" t="str">
        <f>IF(Table1[[#This Row],[Age]]&lt;25,"18-24",IF(Table1[[#This Row],[Age]]&lt;35,"25-34",IF(Table1[[#This Row],[Age]]&lt;45,"35-44",IF(Table1[[#This Row],[Age]]&lt;55,"45-54","55+"))))</f>
        <v>55+</v>
      </c>
      <c r="M991" t="str">
        <f>TEXT(Table1[[#This Row],[Invoice_date]],"mmm")</f>
        <v>Jul</v>
      </c>
      <c r="N991">
        <f>YEAR(Table1[[#This Row],[Invoice_date]])</f>
        <v>2022</v>
      </c>
    </row>
    <row r="992" spans="1:14" x14ac:dyDescent="0.25">
      <c r="A992" t="s">
        <v>1955</v>
      </c>
      <c r="B992" t="s">
        <v>1956</v>
      </c>
      <c r="C992" t="s">
        <v>12</v>
      </c>
      <c r="D992">
        <v>60</v>
      </c>
      <c r="E992" t="s">
        <v>3</v>
      </c>
      <c r="F992">
        <v>4</v>
      </c>
      <c r="G992">
        <v>1200.32</v>
      </c>
      <c r="H992" t="s">
        <v>18</v>
      </c>
      <c r="I992" s="2">
        <v>44389</v>
      </c>
      <c r="J992" t="s">
        <v>43</v>
      </c>
      <c r="K992" s="4">
        <f>Table1[[#This Row],[Quantity]]*Table1[[#This Row],[Price]]</f>
        <v>4801.28</v>
      </c>
      <c r="L992" t="str">
        <f>IF(Table1[[#This Row],[Age]]&lt;25,"18-24",IF(Table1[[#This Row],[Age]]&lt;35,"25-34",IF(Table1[[#This Row],[Age]]&lt;45,"35-44",IF(Table1[[#This Row],[Age]]&lt;55,"45-54","55+"))))</f>
        <v>55+</v>
      </c>
      <c r="M992" t="str">
        <f>TEXT(Table1[[#This Row],[Invoice_date]],"mmm")</f>
        <v>Jul</v>
      </c>
      <c r="N992">
        <f>YEAR(Table1[[#This Row],[Invoice_date]])</f>
        <v>2021</v>
      </c>
    </row>
    <row r="993" spans="1:14" x14ac:dyDescent="0.25">
      <c r="A993" t="s">
        <v>1957</v>
      </c>
      <c r="B993" t="s">
        <v>1958</v>
      </c>
      <c r="C993" t="s">
        <v>2</v>
      </c>
      <c r="D993">
        <v>60</v>
      </c>
      <c r="E993" t="s">
        <v>38</v>
      </c>
      <c r="F993">
        <v>2</v>
      </c>
      <c r="G993">
        <v>1200.3399999999999</v>
      </c>
      <c r="H993" t="s">
        <v>4</v>
      </c>
      <c r="I993" s="2">
        <v>44848</v>
      </c>
      <c r="J993" t="s">
        <v>43</v>
      </c>
      <c r="K993" s="4">
        <f>Table1[[#This Row],[Quantity]]*Table1[[#This Row],[Price]]</f>
        <v>2400.6799999999998</v>
      </c>
      <c r="L993" t="str">
        <f>IF(Table1[[#This Row],[Age]]&lt;25,"18-24",IF(Table1[[#This Row],[Age]]&lt;35,"25-34",IF(Table1[[#This Row],[Age]]&lt;45,"35-44",IF(Table1[[#This Row],[Age]]&lt;55,"45-54","55+"))))</f>
        <v>55+</v>
      </c>
      <c r="M993" t="str">
        <f>TEXT(Table1[[#This Row],[Invoice_date]],"mmm")</f>
        <v>Oct</v>
      </c>
      <c r="N993">
        <f>YEAR(Table1[[#This Row],[Invoice_date]])</f>
        <v>2022</v>
      </c>
    </row>
    <row r="994" spans="1:14" x14ac:dyDescent="0.25">
      <c r="A994" t="s">
        <v>1963</v>
      </c>
      <c r="B994" t="s">
        <v>1964</v>
      </c>
      <c r="C994" t="s">
        <v>12</v>
      </c>
      <c r="D994">
        <v>64</v>
      </c>
      <c r="E994" t="s">
        <v>38</v>
      </c>
      <c r="F994">
        <v>1</v>
      </c>
      <c r="G994">
        <v>600.16999999999996</v>
      </c>
      <c r="H994" t="s">
        <v>4</v>
      </c>
      <c r="I994" s="2">
        <v>44490</v>
      </c>
      <c r="J994" t="s">
        <v>9</v>
      </c>
      <c r="K994" s="4">
        <f>Table1[[#This Row],[Quantity]]*Table1[[#This Row],[Price]]</f>
        <v>600.16999999999996</v>
      </c>
      <c r="L994" t="str">
        <f>IF(Table1[[#This Row],[Age]]&lt;25,"18-24",IF(Table1[[#This Row],[Age]]&lt;35,"25-34",IF(Table1[[#This Row],[Age]]&lt;45,"35-44",IF(Table1[[#This Row],[Age]]&lt;55,"45-54","55+"))))</f>
        <v>55+</v>
      </c>
      <c r="M994" t="str">
        <f>TEXT(Table1[[#This Row],[Invoice_date]],"mmm")</f>
        <v>Oct</v>
      </c>
      <c r="N994">
        <f>YEAR(Table1[[#This Row],[Invoice_date]])</f>
        <v>2021</v>
      </c>
    </row>
    <row r="995" spans="1:14" x14ac:dyDescent="0.25">
      <c r="A995" t="s">
        <v>1969</v>
      </c>
      <c r="B995" t="s">
        <v>1970</v>
      </c>
      <c r="C995" t="s">
        <v>12</v>
      </c>
      <c r="D995">
        <v>55</v>
      </c>
      <c r="E995" t="s">
        <v>49</v>
      </c>
      <c r="F995">
        <v>5</v>
      </c>
      <c r="G995">
        <v>179.2</v>
      </c>
      <c r="H995" t="s">
        <v>4</v>
      </c>
      <c r="I995" s="2">
        <v>44456</v>
      </c>
      <c r="J995" t="s">
        <v>33</v>
      </c>
      <c r="K995" s="4">
        <f>Table1[[#This Row],[Quantity]]*Table1[[#This Row],[Price]]</f>
        <v>896</v>
      </c>
      <c r="L995" t="str">
        <f>IF(Table1[[#This Row],[Age]]&lt;25,"18-24",IF(Table1[[#This Row],[Age]]&lt;35,"25-34",IF(Table1[[#This Row],[Age]]&lt;45,"35-44",IF(Table1[[#This Row],[Age]]&lt;55,"45-54","55+"))))</f>
        <v>55+</v>
      </c>
      <c r="M995" t="str">
        <f>TEXT(Table1[[#This Row],[Invoice_date]],"mmm")</f>
        <v>Sep</v>
      </c>
      <c r="N995">
        <f>YEAR(Table1[[#This Row],[Invoice_date]])</f>
        <v>2021</v>
      </c>
    </row>
    <row r="996" spans="1:14" x14ac:dyDescent="0.25">
      <c r="A996" t="s">
        <v>1971</v>
      </c>
      <c r="B996" t="s">
        <v>1972</v>
      </c>
      <c r="C996" t="s">
        <v>2</v>
      </c>
      <c r="D996">
        <v>65</v>
      </c>
      <c r="E996" t="s">
        <v>3</v>
      </c>
      <c r="F996">
        <v>2</v>
      </c>
      <c r="G996">
        <v>600.16</v>
      </c>
      <c r="H996" t="s">
        <v>13</v>
      </c>
      <c r="I996" s="2">
        <v>44810</v>
      </c>
      <c r="J996" t="s">
        <v>33</v>
      </c>
      <c r="K996" s="4">
        <f>Table1[[#This Row],[Quantity]]*Table1[[#This Row],[Price]]</f>
        <v>1200.32</v>
      </c>
      <c r="L996" t="str">
        <f>IF(Table1[[#This Row],[Age]]&lt;25,"18-24",IF(Table1[[#This Row],[Age]]&lt;35,"25-34",IF(Table1[[#This Row],[Age]]&lt;45,"35-44",IF(Table1[[#This Row],[Age]]&lt;55,"45-54","55+"))))</f>
        <v>55+</v>
      </c>
      <c r="M996" t="str">
        <f>TEXT(Table1[[#This Row],[Invoice_date]],"mmm")</f>
        <v>Sep</v>
      </c>
      <c r="N996">
        <f>YEAR(Table1[[#This Row],[Invoice_date]])</f>
        <v>2022</v>
      </c>
    </row>
    <row r="997" spans="1:14" x14ac:dyDescent="0.25">
      <c r="A997" t="s">
        <v>1981</v>
      </c>
      <c r="B997" t="s">
        <v>1982</v>
      </c>
      <c r="C997" t="s">
        <v>12</v>
      </c>
      <c r="D997">
        <v>62</v>
      </c>
      <c r="E997" t="s">
        <v>38</v>
      </c>
      <c r="F997">
        <v>1</v>
      </c>
      <c r="G997">
        <v>600.16999999999996</v>
      </c>
      <c r="H997" t="s">
        <v>4</v>
      </c>
      <c r="I997" s="2">
        <v>44797</v>
      </c>
      <c r="J997" t="s">
        <v>24</v>
      </c>
      <c r="K997" s="4">
        <f>Table1[[#This Row],[Quantity]]*Table1[[#This Row],[Price]]</f>
        <v>600.16999999999996</v>
      </c>
      <c r="L997" t="str">
        <f>IF(Table1[[#This Row],[Age]]&lt;25,"18-24",IF(Table1[[#This Row],[Age]]&lt;35,"25-34",IF(Table1[[#This Row],[Age]]&lt;45,"35-44",IF(Table1[[#This Row],[Age]]&lt;55,"45-54","55+"))))</f>
        <v>55+</v>
      </c>
      <c r="M997" t="str">
        <f>TEXT(Table1[[#This Row],[Invoice_date]],"mmm")</f>
        <v>Aug</v>
      </c>
      <c r="N997">
        <f>YEAR(Table1[[#This Row],[Invoice_date]])</f>
        <v>2022</v>
      </c>
    </row>
    <row r="998" spans="1:14" x14ac:dyDescent="0.25">
      <c r="A998" t="s">
        <v>1989</v>
      </c>
      <c r="B998" t="s">
        <v>1990</v>
      </c>
      <c r="C998" t="s">
        <v>12</v>
      </c>
      <c r="D998">
        <v>67</v>
      </c>
      <c r="E998" t="s">
        <v>8</v>
      </c>
      <c r="F998">
        <v>1</v>
      </c>
      <c r="G998">
        <v>40.659999999999997</v>
      </c>
      <c r="H998" t="s">
        <v>13</v>
      </c>
      <c r="I998" s="2">
        <v>44732</v>
      </c>
      <c r="J998" t="s">
        <v>24</v>
      </c>
      <c r="K998" s="4">
        <f>Table1[[#This Row],[Quantity]]*Table1[[#This Row],[Price]]</f>
        <v>40.659999999999997</v>
      </c>
      <c r="L998" t="str">
        <f>IF(Table1[[#This Row],[Age]]&lt;25,"18-24",IF(Table1[[#This Row],[Age]]&lt;35,"25-34",IF(Table1[[#This Row],[Age]]&lt;45,"35-44",IF(Table1[[#This Row],[Age]]&lt;55,"45-54","55+"))))</f>
        <v>55+</v>
      </c>
      <c r="M998" t="str">
        <f>TEXT(Table1[[#This Row],[Invoice_date]],"mmm")</f>
        <v>Jun</v>
      </c>
      <c r="N998">
        <f>YEAR(Table1[[#This Row],[Invoice_date]])</f>
        <v>2022</v>
      </c>
    </row>
    <row r="999" spans="1:14" x14ac:dyDescent="0.25">
      <c r="A999" t="s">
        <v>1999</v>
      </c>
      <c r="B999" t="s">
        <v>2000</v>
      </c>
      <c r="C999" t="s">
        <v>2</v>
      </c>
      <c r="D999">
        <v>66</v>
      </c>
      <c r="E999" t="s">
        <v>3</v>
      </c>
      <c r="F999">
        <v>1</v>
      </c>
      <c r="G999">
        <v>300.08</v>
      </c>
      <c r="H999" t="s">
        <v>4</v>
      </c>
      <c r="I999" s="2">
        <v>44419</v>
      </c>
      <c r="J999" t="s">
        <v>14</v>
      </c>
      <c r="K999" s="4">
        <f>Table1[[#This Row],[Quantity]]*Table1[[#This Row],[Price]]</f>
        <v>300.08</v>
      </c>
      <c r="L999" t="str">
        <f>IF(Table1[[#This Row],[Age]]&lt;25,"18-24",IF(Table1[[#This Row],[Age]]&lt;35,"25-34",IF(Table1[[#This Row],[Age]]&lt;45,"35-44",IF(Table1[[#This Row],[Age]]&lt;55,"45-54","55+"))))</f>
        <v>55+</v>
      </c>
      <c r="M999" t="str">
        <f>TEXT(Table1[[#This Row],[Invoice_date]],"mmm")</f>
        <v>Aug</v>
      </c>
      <c r="N999">
        <f>YEAR(Table1[[#This Row],[Invoice_date]])</f>
        <v>2021</v>
      </c>
    </row>
    <row r="1000" spans="1:14" x14ac:dyDescent="0.25">
      <c r="A1000" t="s">
        <v>2003</v>
      </c>
      <c r="B1000" t="s">
        <v>2004</v>
      </c>
      <c r="C1000" t="s">
        <v>2</v>
      </c>
      <c r="D1000">
        <v>69</v>
      </c>
      <c r="E1000" t="s">
        <v>3</v>
      </c>
      <c r="F1000">
        <v>2</v>
      </c>
      <c r="G1000">
        <v>600.16</v>
      </c>
      <c r="H1000" t="s">
        <v>13</v>
      </c>
      <c r="I1000" s="2">
        <v>44276</v>
      </c>
      <c r="J1000" t="s">
        <v>33</v>
      </c>
      <c r="K1000" s="4">
        <f>Table1[[#This Row],[Quantity]]*Table1[[#This Row],[Price]]</f>
        <v>1200.32</v>
      </c>
      <c r="L1000" t="str">
        <f>IF(Table1[[#This Row],[Age]]&lt;25,"18-24",IF(Table1[[#This Row],[Age]]&lt;35,"25-34",IF(Table1[[#This Row],[Age]]&lt;45,"35-44",IF(Table1[[#This Row],[Age]]&lt;55,"45-54","55+"))))</f>
        <v>55+</v>
      </c>
      <c r="M1000" t="str">
        <f>TEXT(Table1[[#This Row],[Invoice_date]],"mmm")</f>
        <v>Mar</v>
      </c>
      <c r="N1000">
        <f>YEAR(Table1[[#This Row],[Invoice_date]])</f>
        <v>2021</v>
      </c>
    </row>
    <row r="1001" spans="1:14" x14ac:dyDescent="0.25">
      <c r="A1001" t="s">
        <v>2013</v>
      </c>
      <c r="B1001" t="s">
        <v>2014</v>
      </c>
      <c r="C1001" t="s">
        <v>12</v>
      </c>
      <c r="D1001">
        <v>68</v>
      </c>
      <c r="E1001" t="s">
        <v>27</v>
      </c>
      <c r="F1001">
        <v>2</v>
      </c>
      <c r="G1001">
        <v>10.46</v>
      </c>
      <c r="H1001" t="s">
        <v>4</v>
      </c>
      <c r="I1001" s="2">
        <v>44769</v>
      </c>
      <c r="J1001" t="s">
        <v>14</v>
      </c>
      <c r="K1001" s="4">
        <f>Table1[[#This Row],[Quantity]]*Table1[[#This Row],[Price]]</f>
        <v>20.92</v>
      </c>
      <c r="L1001" t="str">
        <f>IF(Table1[[#This Row],[Age]]&lt;25,"18-24",IF(Table1[[#This Row],[Age]]&lt;35,"25-34",IF(Table1[[#This Row],[Age]]&lt;45,"35-44",IF(Table1[[#This Row],[Age]]&lt;55,"45-54","55+"))))</f>
        <v>55+</v>
      </c>
      <c r="M1001" t="str">
        <f>TEXT(Table1[[#This Row],[Invoice_date]],"mmm")</f>
        <v>Jul</v>
      </c>
      <c r="N1001">
        <f>YEAR(Table1[[#This Row],[Invoice_date]])</f>
        <v>2022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4D208-44FC-481B-8ED5-50D6FDB862E7}">
  <dimension ref="A3:I1021"/>
  <sheetViews>
    <sheetView workbookViewId="0">
      <selection activeCell="F26" sqref="F26"/>
    </sheetView>
  </sheetViews>
  <sheetFormatPr defaultRowHeight="15" x14ac:dyDescent="0.25"/>
  <cols>
    <col min="1" max="1" width="17.85546875" bestFit="1" customWidth="1"/>
    <col min="2" max="2" width="22.5703125" bestFit="1" customWidth="1"/>
    <col min="3" max="3" width="17.28515625" bestFit="1" customWidth="1"/>
    <col min="4" max="4" width="18.5703125" bestFit="1" customWidth="1"/>
    <col min="5" max="5" width="12.140625" bestFit="1" customWidth="1"/>
    <col min="6" max="6" width="19.28515625" bestFit="1" customWidth="1"/>
    <col min="7" max="7" width="11.28515625" bestFit="1" customWidth="1"/>
    <col min="8" max="8" width="12.140625" bestFit="1" customWidth="1"/>
    <col min="9" max="9" width="15.5703125" bestFit="1" customWidth="1"/>
    <col min="10" max="1001" width="7.5703125" bestFit="1" customWidth="1"/>
    <col min="1002" max="1002" width="11.28515625" bestFit="1" customWidth="1"/>
  </cols>
  <sheetData>
    <row r="3" spans="1:9" x14ac:dyDescent="0.25">
      <c r="A3" s="5" t="s">
        <v>2025</v>
      </c>
      <c r="B3" t="s">
        <v>2037</v>
      </c>
      <c r="D3" s="5" t="s">
        <v>2025</v>
      </c>
      <c r="E3" t="s">
        <v>2038</v>
      </c>
      <c r="G3" s="5" t="s">
        <v>2025</v>
      </c>
      <c r="H3" t="s">
        <v>2035</v>
      </c>
    </row>
    <row r="4" spans="1:9" x14ac:dyDescent="0.25">
      <c r="A4" s="6" t="s">
        <v>12</v>
      </c>
      <c r="B4">
        <v>620</v>
      </c>
      <c r="D4" s="6" t="s">
        <v>12</v>
      </c>
      <c r="E4">
        <v>1853</v>
      </c>
      <c r="G4" s="6" t="s">
        <v>12</v>
      </c>
      <c r="H4" s="7">
        <v>1408881.1099999994</v>
      </c>
    </row>
    <row r="5" spans="1:9" x14ac:dyDescent="0.25">
      <c r="A5" s="6" t="s">
        <v>2</v>
      </c>
      <c r="B5">
        <v>380</v>
      </c>
      <c r="D5" s="6" t="s">
        <v>2</v>
      </c>
      <c r="E5">
        <v>1128</v>
      </c>
      <c r="G5" s="6" t="s">
        <v>2</v>
      </c>
      <c r="H5" s="7">
        <v>956486.65999999875</v>
      </c>
    </row>
    <row r="6" spans="1:9" x14ac:dyDescent="0.25">
      <c r="A6" s="6" t="s">
        <v>2036</v>
      </c>
      <c r="B6">
        <v>1000</v>
      </c>
      <c r="D6" s="6" t="s">
        <v>2036</v>
      </c>
      <c r="E6">
        <v>2981</v>
      </c>
      <c r="G6" s="6" t="s">
        <v>2036</v>
      </c>
      <c r="H6" s="7">
        <v>2365367.7699999982</v>
      </c>
    </row>
    <row r="9" spans="1:9" x14ac:dyDescent="0.25">
      <c r="A9" s="5" t="s">
        <v>2027</v>
      </c>
      <c r="B9" t="s">
        <v>2035</v>
      </c>
      <c r="C9" t="s">
        <v>2046</v>
      </c>
      <c r="E9" s="5" t="s">
        <v>2044</v>
      </c>
      <c r="F9" t="s">
        <v>2037</v>
      </c>
      <c r="H9" s="5" t="s">
        <v>2044</v>
      </c>
      <c r="I9" t="s">
        <v>2038</v>
      </c>
    </row>
    <row r="10" spans="1:9" x14ac:dyDescent="0.25">
      <c r="A10" s="6" t="s">
        <v>17</v>
      </c>
      <c r="B10" s="7">
        <v>10574.700000000004</v>
      </c>
      <c r="C10">
        <v>67</v>
      </c>
      <c r="E10" s="6" t="s">
        <v>2039</v>
      </c>
      <c r="F10">
        <v>17</v>
      </c>
      <c r="H10" s="6" t="s">
        <v>2039</v>
      </c>
      <c r="I10">
        <v>437</v>
      </c>
    </row>
    <row r="11" spans="1:9" x14ac:dyDescent="0.25">
      <c r="A11" s="6" t="s">
        <v>3</v>
      </c>
      <c r="B11" s="7">
        <v>1048179.439999997</v>
      </c>
      <c r="C11">
        <v>338</v>
      </c>
      <c r="E11" s="6" t="s">
        <v>2040</v>
      </c>
      <c r="F11">
        <v>16</v>
      </c>
      <c r="H11" s="6" t="s">
        <v>2040</v>
      </c>
      <c r="I11">
        <v>535</v>
      </c>
    </row>
    <row r="12" spans="1:9" x14ac:dyDescent="0.25">
      <c r="A12" s="6" t="s">
        <v>8</v>
      </c>
      <c r="B12" s="7">
        <v>69081.340000000069</v>
      </c>
      <c r="C12">
        <v>155</v>
      </c>
      <c r="E12" s="6" t="s">
        <v>2041</v>
      </c>
      <c r="F12">
        <v>20</v>
      </c>
      <c r="H12" s="6" t="s">
        <v>2041</v>
      </c>
      <c r="I12">
        <v>579</v>
      </c>
    </row>
    <row r="13" spans="1:9" x14ac:dyDescent="0.25">
      <c r="A13" s="6" t="s">
        <v>27</v>
      </c>
      <c r="B13" s="7">
        <v>6715.3199999999988</v>
      </c>
      <c r="C13">
        <v>125</v>
      </c>
      <c r="E13" s="6" t="s">
        <v>2042</v>
      </c>
      <c r="F13">
        <v>22</v>
      </c>
      <c r="H13" s="6" t="s">
        <v>2042</v>
      </c>
      <c r="I13">
        <v>588</v>
      </c>
    </row>
    <row r="14" spans="1:9" x14ac:dyDescent="0.25">
      <c r="A14" s="6" t="s">
        <v>38</v>
      </c>
      <c r="B14" s="7">
        <v>685394.14000000036</v>
      </c>
      <c r="C14">
        <v>103</v>
      </c>
      <c r="E14" s="6" t="s">
        <v>2043</v>
      </c>
      <c r="F14">
        <v>33</v>
      </c>
      <c r="H14" s="6" t="s">
        <v>2043</v>
      </c>
      <c r="I14">
        <v>842</v>
      </c>
    </row>
    <row r="15" spans="1:9" x14ac:dyDescent="0.25">
      <c r="A15" s="6" t="s">
        <v>46</v>
      </c>
      <c r="B15" s="7">
        <v>9559.9499999999989</v>
      </c>
      <c r="C15">
        <v>66</v>
      </c>
      <c r="E15" s="6" t="s">
        <v>2036</v>
      </c>
      <c r="F15">
        <v>108</v>
      </c>
      <c r="H15" s="6" t="s">
        <v>2036</v>
      </c>
      <c r="I15">
        <v>2981</v>
      </c>
    </row>
    <row r="16" spans="1:9" x14ac:dyDescent="0.25">
      <c r="A16" s="6" t="s">
        <v>21</v>
      </c>
      <c r="B16" s="7">
        <v>493500</v>
      </c>
      <c r="C16">
        <v>42</v>
      </c>
    </row>
    <row r="17" spans="1:8" x14ac:dyDescent="0.25">
      <c r="A17" s="6" t="s">
        <v>49</v>
      </c>
      <c r="B17" s="7">
        <v>42362.879999999976</v>
      </c>
      <c r="C17">
        <v>104</v>
      </c>
    </row>
    <row r="18" spans="1:8" x14ac:dyDescent="0.25">
      <c r="A18" s="6" t="s">
        <v>2036</v>
      </c>
      <c r="B18" s="7">
        <v>2365367.7699999805</v>
      </c>
      <c r="C18">
        <v>1000</v>
      </c>
    </row>
    <row r="20" spans="1:8" x14ac:dyDescent="0.25">
      <c r="G20" s="5" t="s">
        <v>2048</v>
      </c>
      <c r="H20" t="s">
        <v>2035</v>
      </c>
    </row>
    <row r="21" spans="1:8" x14ac:dyDescent="0.25">
      <c r="A21" s="5" t="s">
        <v>2044</v>
      </c>
      <c r="B21" t="s">
        <v>2035</v>
      </c>
      <c r="D21" s="5" t="s">
        <v>2045</v>
      </c>
      <c r="E21" t="s">
        <v>2037</v>
      </c>
      <c r="G21" s="6" t="s">
        <v>1908</v>
      </c>
      <c r="H21" s="4">
        <v>7502</v>
      </c>
    </row>
    <row r="22" spans="1:8" x14ac:dyDescent="0.25">
      <c r="A22" s="6" t="s">
        <v>2039</v>
      </c>
      <c r="B22" s="4">
        <v>332695.17000000004</v>
      </c>
      <c r="D22" s="6" t="s">
        <v>4</v>
      </c>
      <c r="E22">
        <v>420</v>
      </c>
      <c r="G22" s="6" t="s">
        <v>366</v>
      </c>
      <c r="H22" s="4">
        <v>7502</v>
      </c>
    </row>
    <row r="23" spans="1:8" x14ac:dyDescent="0.25">
      <c r="A23" s="6" t="s">
        <v>2040</v>
      </c>
      <c r="B23" s="4">
        <v>389812.81000000006</v>
      </c>
      <c r="D23" s="6" t="s">
        <v>18</v>
      </c>
      <c r="E23">
        <v>366</v>
      </c>
      <c r="G23" s="6" t="s">
        <v>816</v>
      </c>
      <c r="H23" s="4">
        <v>365.94</v>
      </c>
    </row>
    <row r="24" spans="1:8" x14ac:dyDescent="0.25">
      <c r="A24" s="6" t="s">
        <v>2041</v>
      </c>
      <c r="B24" s="4">
        <v>434615.5999999998</v>
      </c>
      <c r="D24" s="6" t="s">
        <v>13</v>
      </c>
      <c r="E24">
        <v>214</v>
      </c>
      <c r="G24" s="6" t="s">
        <v>822</v>
      </c>
      <c r="H24" s="4">
        <v>11.73</v>
      </c>
    </row>
    <row r="25" spans="1:8" x14ac:dyDescent="0.25">
      <c r="A25" s="6" t="s">
        <v>2042</v>
      </c>
      <c r="B25" s="4">
        <v>447712.77</v>
      </c>
      <c r="D25" s="6" t="s">
        <v>2036</v>
      </c>
      <c r="E25">
        <v>1000</v>
      </c>
      <c r="G25" s="6" t="s">
        <v>598</v>
      </c>
      <c r="H25" s="4">
        <v>378.75</v>
      </c>
    </row>
    <row r="26" spans="1:8" x14ac:dyDescent="0.25">
      <c r="A26" s="6" t="s">
        <v>2043</v>
      </c>
      <c r="B26" s="4">
        <v>760531.41999999969</v>
      </c>
      <c r="G26" s="6" t="s">
        <v>1780</v>
      </c>
      <c r="H26" s="4">
        <v>322.56</v>
      </c>
    </row>
    <row r="27" spans="1:8" x14ac:dyDescent="0.25">
      <c r="A27" s="6" t="s">
        <v>2036</v>
      </c>
      <c r="B27" s="4">
        <v>2365367.7699999996</v>
      </c>
      <c r="G27" s="6" t="s">
        <v>1034</v>
      </c>
      <c r="H27" s="4">
        <v>365.94</v>
      </c>
    </row>
    <row r="28" spans="1:8" x14ac:dyDescent="0.25">
      <c r="G28" s="6" t="s">
        <v>1514</v>
      </c>
      <c r="H28" s="4">
        <v>143.36000000000001</v>
      </c>
    </row>
    <row r="29" spans="1:8" x14ac:dyDescent="0.25">
      <c r="G29" s="6" t="s">
        <v>1810</v>
      </c>
      <c r="H29" s="4">
        <v>2700.7200000000003</v>
      </c>
    </row>
    <row r="30" spans="1:8" x14ac:dyDescent="0.25">
      <c r="A30" s="5" t="s">
        <v>2047</v>
      </c>
      <c r="B30" t="s">
        <v>2037</v>
      </c>
      <c r="D30" s="5" t="s">
        <v>2050</v>
      </c>
      <c r="E30" t="s">
        <v>2035</v>
      </c>
      <c r="G30" s="6" t="s">
        <v>1088</v>
      </c>
      <c r="H30" s="4">
        <v>5.23</v>
      </c>
    </row>
    <row r="31" spans="1:8" x14ac:dyDescent="0.25">
      <c r="A31" s="6" t="s">
        <v>63</v>
      </c>
      <c r="B31">
        <v>51</v>
      </c>
      <c r="D31" s="6">
        <v>2021</v>
      </c>
      <c r="E31" s="4">
        <v>982280.00999999931</v>
      </c>
      <c r="G31" s="6" t="s">
        <v>92</v>
      </c>
      <c r="H31" s="4">
        <v>2700.7200000000003</v>
      </c>
    </row>
    <row r="32" spans="1:8" x14ac:dyDescent="0.25">
      <c r="A32" s="6" t="s">
        <v>5</v>
      </c>
      <c r="B32">
        <v>53</v>
      </c>
      <c r="D32" s="6">
        <v>2022</v>
      </c>
      <c r="E32" s="4">
        <v>1229548.0499999993</v>
      </c>
      <c r="G32" s="6" t="s">
        <v>1720</v>
      </c>
      <c r="H32" s="4">
        <v>7502</v>
      </c>
    </row>
    <row r="33" spans="1:8" x14ac:dyDescent="0.25">
      <c r="A33" s="6" t="s">
        <v>43</v>
      </c>
      <c r="B33">
        <v>43</v>
      </c>
      <c r="D33" s="6">
        <v>2023</v>
      </c>
      <c r="E33" s="4">
        <v>153539.71000000005</v>
      </c>
      <c r="G33" s="6" t="s">
        <v>882</v>
      </c>
      <c r="H33" s="4">
        <v>4801.28</v>
      </c>
    </row>
    <row r="34" spans="1:8" x14ac:dyDescent="0.25">
      <c r="A34" s="6" t="s">
        <v>74</v>
      </c>
      <c r="B34">
        <v>96</v>
      </c>
      <c r="D34" s="6" t="s">
        <v>2036</v>
      </c>
      <c r="E34" s="4">
        <v>2365367.7699999986</v>
      </c>
      <c r="G34" s="6" t="s">
        <v>1026</v>
      </c>
      <c r="H34" s="4">
        <v>4801.28</v>
      </c>
    </row>
    <row r="35" spans="1:8" x14ac:dyDescent="0.25">
      <c r="A35" s="6" t="s">
        <v>33</v>
      </c>
      <c r="B35">
        <v>195</v>
      </c>
      <c r="G35" s="6" t="s">
        <v>1612</v>
      </c>
      <c r="H35" s="4">
        <v>300.08</v>
      </c>
    </row>
    <row r="36" spans="1:8" x14ac:dyDescent="0.25">
      <c r="A36" s="6" t="s">
        <v>14</v>
      </c>
      <c r="B36">
        <v>206</v>
      </c>
      <c r="G36" s="6" t="s">
        <v>222</v>
      </c>
      <c r="H36" s="4">
        <v>5.23</v>
      </c>
    </row>
    <row r="37" spans="1:8" x14ac:dyDescent="0.25">
      <c r="A37" s="6" t="s">
        <v>24</v>
      </c>
      <c r="B37">
        <v>162</v>
      </c>
      <c r="G37" s="6" t="s">
        <v>1912</v>
      </c>
      <c r="H37" s="4">
        <v>162.63999999999999</v>
      </c>
    </row>
    <row r="38" spans="1:8" x14ac:dyDescent="0.25">
      <c r="A38" s="6" t="s">
        <v>50</v>
      </c>
      <c r="B38">
        <v>95</v>
      </c>
      <c r="G38" s="6" t="s">
        <v>1100</v>
      </c>
      <c r="H38" s="4">
        <v>40.659999999999997</v>
      </c>
    </row>
    <row r="39" spans="1:8" x14ac:dyDescent="0.25">
      <c r="A39" s="6" t="s">
        <v>9</v>
      </c>
      <c r="B39">
        <v>53</v>
      </c>
      <c r="G39" s="6" t="s">
        <v>1820</v>
      </c>
      <c r="H39" s="4">
        <v>293.25</v>
      </c>
    </row>
    <row r="40" spans="1:8" x14ac:dyDescent="0.25">
      <c r="A40" s="6" t="s">
        <v>30</v>
      </c>
      <c r="B40">
        <v>46</v>
      </c>
      <c r="G40" s="6" t="s">
        <v>1124</v>
      </c>
      <c r="H40" s="4">
        <v>15004.25</v>
      </c>
    </row>
    <row r="41" spans="1:8" x14ac:dyDescent="0.25">
      <c r="A41" s="6" t="s">
        <v>2036</v>
      </c>
      <c r="B41">
        <v>1000</v>
      </c>
      <c r="G41" s="6" t="s">
        <v>1314</v>
      </c>
      <c r="H41" s="4">
        <v>47.07</v>
      </c>
    </row>
    <row r="42" spans="1:8" x14ac:dyDescent="0.25">
      <c r="G42" s="6" t="s">
        <v>1228</v>
      </c>
      <c r="H42" s="4">
        <v>11.73</v>
      </c>
    </row>
    <row r="43" spans="1:8" x14ac:dyDescent="0.25">
      <c r="G43" s="6" t="s">
        <v>1462</v>
      </c>
      <c r="H43" s="4">
        <v>162.63999999999999</v>
      </c>
    </row>
    <row r="44" spans="1:8" x14ac:dyDescent="0.25">
      <c r="G44" s="6" t="s">
        <v>830</v>
      </c>
      <c r="H44" s="4">
        <v>9602.7199999999993</v>
      </c>
    </row>
    <row r="45" spans="1:8" x14ac:dyDescent="0.25">
      <c r="G45" s="6" t="s">
        <v>240</v>
      </c>
      <c r="H45" s="4">
        <v>365.94</v>
      </c>
    </row>
    <row r="46" spans="1:8" x14ac:dyDescent="0.25">
      <c r="G46" s="6" t="s">
        <v>504</v>
      </c>
      <c r="H46" s="4">
        <v>187.68</v>
      </c>
    </row>
    <row r="47" spans="1:8" x14ac:dyDescent="0.25">
      <c r="G47" s="6" t="s">
        <v>1838</v>
      </c>
      <c r="H47" s="4">
        <v>105.57</v>
      </c>
    </row>
    <row r="48" spans="1:8" x14ac:dyDescent="0.25">
      <c r="G48" s="6" t="s">
        <v>952</v>
      </c>
      <c r="H48" s="4">
        <v>573.44000000000005</v>
      </c>
    </row>
    <row r="49" spans="7:8" x14ac:dyDescent="0.25">
      <c r="G49" s="6" t="s">
        <v>406</v>
      </c>
      <c r="H49" s="4">
        <v>9602.7199999999993</v>
      </c>
    </row>
    <row r="50" spans="7:8" x14ac:dyDescent="0.25">
      <c r="G50" s="6" t="s">
        <v>870</v>
      </c>
      <c r="H50" s="4">
        <v>47.07</v>
      </c>
    </row>
    <row r="51" spans="7:8" x14ac:dyDescent="0.25">
      <c r="G51" s="6" t="s">
        <v>1268</v>
      </c>
      <c r="H51" s="4">
        <v>1200.32</v>
      </c>
    </row>
    <row r="52" spans="7:8" x14ac:dyDescent="0.25">
      <c r="G52" s="6" t="s">
        <v>1768</v>
      </c>
      <c r="H52" s="4">
        <v>26250</v>
      </c>
    </row>
    <row r="53" spans="7:8" x14ac:dyDescent="0.25">
      <c r="G53" s="6" t="s">
        <v>1520</v>
      </c>
      <c r="H53" s="4">
        <v>650.55999999999995</v>
      </c>
    </row>
    <row r="54" spans="7:8" x14ac:dyDescent="0.25">
      <c r="G54" s="6" t="s">
        <v>1568</v>
      </c>
      <c r="H54" s="4">
        <v>7502</v>
      </c>
    </row>
    <row r="55" spans="7:8" x14ac:dyDescent="0.25">
      <c r="G55" s="6" t="s">
        <v>1238</v>
      </c>
      <c r="H55" s="4">
        <v>300.08</v>
      </c>
    </row>
    <row r="56" spans="7:8" x14ac:dyDescent="0.25">
      <c r="G56" s="6" t="s">
        <v>1796</v>
      </c>
      <c r="H56" s="4">
        <v>9450</v>
      </c>
    </row>
    <row r="57" spans="7:8" x14ac:dyDescent="0.25">
      <c r="G57" s="6" t="s">
        <v>1222</v>
      </c>
      <c r="H57" s="4">
        <v>20.92</v>
      </c>
    </row>
    <row r="58" spans="7:8" x14ac:dyDescent="0.25">
      <c r="G58" s="6" t="s">
        <v>1084</v>
      </c>
      <c r="H58" s="4">
        <v>40.659999999999997</v>
      </c>
    </row>
    <row r="59" spans="7:8" x14ac:dyDescent="0.25">
      <c r="G59" s="6" t="s">
        <v>920</v>
      </c>
      <c r="H59" s="4">
        <v>300.08</v>
      </c>
    </row>
    <row r="60" spans="7:8" x14ac:dyDescent="0.25">
      <c r="G60" s="6" t="s">
        <v>238</v>
      </c>
      <c r="H60" s="4">
        <v>143.36000000000001</v>
      </c>
    </row>
    <row r="61" spans="7:8" x14ac:dyDescent="0.25">
      <c r="G61" s="6" t="s">
        <v>732</v>
      </c>
      <c r="H61" s="4">
        <v>7502</v>
      </c>
    </row>
    <row r="62" spans="7:8" x14ac:dyDescent="0.25">
      <c r="G62" s="6" t="s">
        <v>420</v>
      </c>
      <c r="H62" s="4">
        <v>2400.6799999999998</v>
      </c>
    </row>
    <row r="63" spans="7:8" x14ac:dyDescent="0.25">
      <c r="G63" s="6" t="s">
        <v>352</v>
      </c>
      <c r="H63" s="4">
        <v>7502</v>
      </c>
    </row>
    <row r="64" spans="7:8" x14ac:dyDescent="0.25">
      <c r="G64" s="6" t="s">
        <v>1878</v>
      </c>
      <c r="H64" s="4">
        <v>130.75</v>
      </c>
    </row>
    <row r="65" spans="7:8" x14ac:dyDescent="0.25">
      <c r="G65" s="6" t="s">
        <v>1144</v>
      </c>
      <c r="H65" s="4">
        <v>136.35000000000002</v>
      </c>
    </row>
    <row r="66" spans="7:8" x14ac:dyDescent="0.25">
      <c r="G66" s="6" t="s">
        <v>1744</v>
      </c>
      <c r="H66" s="4">
        <v>15004.25</v>
      </c>
    </row>
    <row r="67" spans="7:8" x14ac:dyDescent="0.25">
      <c r="G67" s="6" t="s">
        <v>752</v>
      </c>
      <c r="H67" s="4">
        <v>5.23</v>
      </c>
    </row>
    <row r="68" spans="7:8" x14ac:dyDescent="0.25">
      <c r="G68" s="6" t="s">
        <v>226</v>
      </c>
      <c r="H68" s="4">
        <v>4801.28</v>
      </c>
    </row>
    <row r="69" spans="7:8" x14ac:dyDescent="0.25">
      <c r="G69" s="6" t="s">
        <v>2004</v>
      </c>
      <c r="H69" s="4">
        <v>1200.32</v>
      </c>
    </row>
    <row r="70" spans="7:8" x14ac:dyDescent="0.25">
      <c r="G70" s="6" t="s">
        <v>1400</v>
      </c>
      <c r="H70" s="4">
        <v>20.92</v>
      </c>
    </row>
    <row r="71" spans="7:8" x14ac:dyDescent="0.25">
      <c r="G71" s="6" t="s">
        <v>1030</v>
      </c>
      <c r="H71" s="4">
        <v>365.94</v>
      </c>
    </row>
    <row r="72" spans="7:8" x14ac:dyDescent="0.25">
      <c r="G72" s="6" t="s">
        <v>564</v>
      </c>
      <c r="H72" s="4">
        <v>293.25</v>
      </c>
    </row>
    <row r="73" spans="7:8" x14ac:dyDescent="0.25">
      <c r="G73" s="6" t="s">
        <v>1524</v>
      </c>
      <c r="H73" s="4">
        <v>26250</v>
      </c>
    </row>
    <row r="74" spans="7:8" x14ac:dyDescent="0.25">
      <c r="G74" s="6" t="s">
        <v>1270</v>
      </c>
      <c r="H74" s="4">
        <v>26250</v>
      </c>
    </row>
    <row r="75" spans="7:8" x14ac:dyDescent="0.25">
      <c r="G75" s="6" t="s">
        <v>652</v>
      </c>
      <c r="H75" s="4">
        <v>1200.32</v>
      </c>
    </row>
    <row r="76" spans="7:8" x14ac:dyDescent="0.25">
      <c r="G76" s="6" t="s">
        <v>476</v>
      </c>
      <c r="H76" s="4">
        <v>1200.32</v>
      </c>
    </row>
    <row r="77" spans="7:8" x14ac:dyDescent="0.25">
      <c r="G77" s="6" t="s">
        <v>1126</v>
      </c>
      <c r="H77" s="4">
        <v>187.68</v>
      </c>
    </row>
    <row r="78" spans="7:8" x14ac:dyDescent="0.25">
      <c r="G78" s="6" t="s">
        <v>286</v>
      </c>
      <c r="H78" s="4">
        <v>40.659999999999997</v>
      </c>
    </row>
    <row r="79" spans="7:8" x14ac:dyDescent="0.25">
      <c r="G79" s="6" t="s">
        <v>1274</v>
      </c>
      <c r="H79" s="4">
        <v>1200.32</v>
      </c>
    </row>
    <row r="80" spans="7:8" x14ac:dyDescent="0.25">
      <c r="G80" s="6" t="s">
        <v>1010</v>
      </c>
      <c r="H80" s="4">
        <v>5401.53</v>
      </c>
    </row>
    <row r="81" spans="7:8" x14ac:dyDescent="0.25">
      <c r="G81" s="6" t="s">
        <v>206</v>
      </c>
      <c r="H81" s="4">
        <v>365.94</v>
      </c>
    </row>
    <row r="82" spans="7:8" x14ac:dyDescent="0.25">
      <c r="G82" s="6" t="s">
        <v>914</v>
      </c>
      <c r="H82" s="4">
        <v>2700.7200000000003</v>
      </c>
    </row>
    <row r="83" spans="7:8" x14ac:dyDescent="0.25">
      <c r="G83" s="6" t="s">
        <v>1300</v>
      </c>
      <c r="H83" s="4">
        <v>136.35000000000002</v>
      </c>
    </row>
    <row r="84" spans="7:8" x14ac:dyDescent="0.25">
      <c r="G84" s="6" t="s">
        <v>2014</v>
      </c>
      <c r="H84" s="4">
        <v>20.92</v>
      </c>
    </row>
    <row r="85" spans="7:8" x14ac:dyDescent="0.25">
      <c r="G85" s="6" t="s">
        <v>1190</v>
      </c>
      <c r="H85" s="4">
        <v>242.4</v>
      </c>
    </row>
    <row r="86" spans="7:8" x14ac:dyDescent="0.25">
      <c r="G86" s="6" t="s">
        <v>1380</v>
      </c>
      <c r="H86" s="4">
        <v>300.08</v>
      </c>
    </row>
    <row r="87" spans="7:8" x14ac:dyDescent="0.25">
      <c r="G87" s="6" t="s">
        <v>1216</v>
      </c>
      <c r="H87" s="4">
        <v>5401.53</v>
      </c>
    </row>
    <row r="88" spans="7:8" x14ac:dyDescent="0.25">
      <c r="G88" s="6" t="s">
        <v>978</v>
      </c>
      <c r="H88" s="4">
        <v>2400.6799999999998</v>
      </c>
    </row>
    <row r="89" spans="7:8" x14ac:dyDescent="0.25">
      <c r="G89" s="6" t="s">
        <v>1168</v>
      </c>
      <c r="H89" s="4">
        <v>4801.28</v>
      </c>
    </row>
    <row r="90" spans="7:8" x14ac:dyDescent="0.25">
      <c r="G90" s="6" t="s">
        <v>1880</v>
      </c>
      <c r="H90" s="4">
        <v>896</v>
      </c>
    </row>
    <row r="91" spans="7:8" x14ac:dyDescent="0.25">
      <c r="G91" s="6" t="s">
        <v>720</v>
      </c>
      <c r="H91" s="4">
        <v>7502</v>
      </c>
    </row>
    <row r="92" spans="7:8" x14ac:dyDescent="0.25">
      <c r="G92" s="6" t="s">
        <v>168</v>
      </c>
      <c r="H92" s="4">
        <v>7502</v>
      </c>
    </row>
    <row r="93" spans="7:8" x14ac:dyDescent="0.25">
      <c r="G93" s="6" t="s">
        <v>426</v>
      </c>
      <c r="H93" s="4">
        <v>378.75</v>
      </c>
    </row>
    <row r="94" spans="7:8" x14ac:dyDescent="0.25">
      <c r="G94" s="6" t="s">
        <v>32</v>
      </c>
      <c r="H94" s="4">
        <v>300.08</v>
      </c>
    </row>
    <row r="95" spans="7:8" x14ac:dyDescent="0.25">
      <c r="G95" s="6" t="s">
        <v>67</v>
      </c>
      <c r="H95" s="4">
        <v>7502</v>
      </c>
    </row>
    <row r="96" spans="7:8" x14ac:dyDescent="0.25">
      <c r="G96" s="6" t="s">
        <v>128</v>
      </c>
      <c r="H96" s="4">
        <v>7502</v>
      </c>
    </row>
    <row r="97" spans="7:8" x14ac:dyDescent="0.25">
      <c r="G97" s="6" t="s">
        <v>1860</v>
      </c>
      <c r="H97" s="4">
        <v>105.57</v>
      </c>
    </row>
    <row r="98" spans="7:8" x14ac:dyDescent="0.25">
      <c r="G98" s="6" t="s">
        <v>386</v>
      </c>
      <c r="H98" s="4">
        <v>293.25</v>
      </c>
    </row>
    <row r="99" spans="7:8" x14ac:dyDescent="0.25">
      <c r="G99" s="6" t="s">
        <v>1120</v>
      </c>
      <c r="H99" s="4">
        <v>896</v>
      </c>
    </row>
    <row r="100" spans="7:8" x14ac:dyDescent="0.25">
      <c r="G100" s="6" t="s">
        <v>1414</v>
      </c>
      <c r="H100" s="4">
        <v>143.36000000000001</v>
      </c>
    </row>
    <row r="101" spans="7:8" x14ac:dyDescent="0.25">
      <c r="G101" s="6" t="s">
        <v>1550</v>
      </c>
      <c r="H101" s="4">
        <v>2700.7200000000003</v>
      </c>
    </row>
    <row r="102" spans="7:8" x14ac:dyDescent="0.25">
      <c r="G102" s="6" t="s">
        <v>666</v>
      </c>
      <c r="H102" s="4">
        <v>15004.25</v>
      </c>
    </row>
    <row r="103" spans="7:8" x14ac:dyDescent="0.25">
      <c r="G103" s="6" t="s">
        <v>576</v>
      </c>
      <c r="H103" s="4">
        <v>2700.7200000000003</v>
      </c>
    </row>
    <row r="104" spans="7:8" x14ac:dyDescent="0.25">
      <c r="G104" s="6" t="s">
        <v>1110</v>
      </c>
      <c r="H104" s="4">
        <v>136.35000000000002</v>
      </c>
    </row>
    <row r="105" spans="7:8" x14ac:dyDescent="0.25">
      <c r="G105" s="6" t="s">
        <v>1130</v>
      </c>
      <c r="H105" s="4">
        <v>4801.28</v>
      </c>
    </row>
    <row r="106" spans="7:8" x14ac:dyDescent="0.25">
      <c r="G106" s="6" t="s">
        <v>1592</v>
      </c>
      <c r="H106" s="4">
        <v>7502</v>
      </c>
    </row>
    <row r="107" spans="7:8" x14ac:dyDescent="0.25">
      <c r="G107" s="6" t="s">
        <v>834</v>
      </c>
      <c r="H107" s="4">
        <v>4801.28</v>
      </c>
    </row>
    <row r="108" spans="7:8" x14ac:dyDescent="0.25">
      <c r="G108" s="6" t="s">
        <v>1590</v>
      </c>
      <c r="H108" s="4">
        <v>650.55999999999995</v>
      </c>
    </row>
    <row r="109" spans="7:8" x14ac:dyDescent="0.25">
      <c r="G109" s="6" t="s">
        <v>1292</v>
      </c>
      <c r="H109" s="4">
        <v>2700.7200000000003</v>
      </c>
    </row>
    <row r="110" spans="7:8" x14ac:dyDescent="0.25">
      <c r="G110" s="6" t="s">
        <v>884</v>
      </c>
      <c r="H110" s="4">
        <v>2700.7200000000003</v>
      </c>
    </row>
    <row r="111" spans="7:8" x14ac:dyDescent="0.25">
      <c r="G111" s="6" t="s">
        <v>1390</v>
      </c>
      <c r="H111" s="4">
        <v>4801.28</v>
      </c>
    </row>
    <row r="112" spans="7:8" x14ac:dyDescent="0.25">
      <c r="G112" s="6" t="s">
        <v>1344</v>
      </c>
      <c r="H112" s="4">
        <v>40.659999999999997</v>
      </c>
    </row>
    <row r="113" spans="7:8" x14ac:dyDescent="0.25">
      <c r="G113" s="6" t="s">
        <v>966</v>
      </c>
      <c r="H113" s="4">
        <v>322.56</v>
      </c>
    </row>
    <row r="114" spans="7:8" x14ac:dyDescent="0.25">
      <c r="G114" s="6" t="s">
        <v>1180</v>
      </c>
      <c r="H114" s="4">
        <v>2700.7200000000003</v>
      </c>
    </row>
    <row r="115" spans="7:8" x14ac:dyDescent="0.25">
      <c r="G115" s="6" t="s">
        <v>172</v>
      </c>
      <c r="H115" s="4">
        <v>365.94</v>
      </c>
    </row>
    <row r="116" spans="7:8" x14ac:dyDescent="0.25">
      <c r="G116" s="6" t="s">
        <v>290</v>
      </c>
      <c r="H116" s="4">
        <v>322.56</v>
      </c>
    </row>
    <row r="117" spans="7:8" x14ac:dyDescent="0.25">
      <c r="G117" s="6" t="s">
        <v>1754</v>
      </c>
      <c r="H117" s="4">
        <v>2700.7200000000003</v>
      </c>
    </row>
    <row r="118" spans="7:8" x14ac:dyDescent="0.25">
      <c r="G118" s="6" t="s">
        <v>1830</v>
      </c>
      <c r="H118" s="4">
        <v>162.63999999999999</v>
      </c>
    </row>
    <row r="119" spans="7:8" x14ac:dyDescent="0.25">
      <c r="G119" s="6" t="s">
        <v>782</v>
      </c>
      <c r="H119" s="4">
        <v>1200.32</v>
      </c>
    </row>
    <row r="120" spans="7:8" x14ac:dyDescent="0.25">
      <c r="G120" s="6" t="s">
        <v>328</v>
      </c>
      <c r="H120" s="4">
        <v>1200.32</v>
      </c>
    </row>
    <row r="121" spans="7:8" x14ac:dyDescent="0.25">
      <c r="G121" s="6" t="s">
        <v>554</v>
      </c>
      <c r="H121" s="4">
        <v>136.35000000000002</v>
      </c>
    </row>
    <row r="122" spans="7:8" x14ac:dyDescent="0.25">
      <c r="G122" s="6" t="s">
        <v>1922</v>
      </c>
      <c r="H122" s="4">
        <v>9450</v>
      </c>
    </row>
    <row r="123" spans="7:8" x14ac:dyDescent="0.25">
      <c r="G123" s="6" t="s">
        <v>410</v>
      </c>
      <c r="H123" s="4">
        <v>322.56</v>
      </c>
    </row>
    <row r="124" spans="7:8" x14ac:dyDescent="0.25">
      <c r="G124" s="6" t="s">
        <v>130</v>
      </c>
      <c r="H124" s="4">
        <v>162.63999999999999</v>
      </c>
    </row>
    <row r="125" spans="7:8" x14ac:dyDescent="0.25">
      <c r="G125" s="6" t="s">
        <v>804</v>
      </c>
      <c r="H125" s="4">
        <v>322.56</v>
      </c>
    </row>
    <row r="126" spans="7:8" x14ac:dyDescent="0.25">
      <c r="G126" s="6" t="s">
        <v>690</v>
      </c>
      <c r="H126" s="4">
        <v>1200.32</v>
      </c>
    </row>
    <row r="127" spans="7:8" x14ac:dyDescent="0.25">
      <c r="G127" s="6" t="s">
        <v>480</v>
      </c>
      <c r="H127" s="4">
        <v>1200.32</v>
      </c>
    </row>
    <row r="128" spans="7:8" x14ac:dyDescent="0.25">
      <c r="G128" s="6" t="s">
        <v>1298</v>
      </c>
      <c r="H128" s="4">
        <v>293.25</v>
      </c>
    </row>
    <row r="129" spans="7:8" x14ac:dyDescent="0.25">
      <c r="G129" s="6" t="s">
        <v>442</v>
      </c>
      <c r="H129" s="4">
        <v>136.35000000000002</v>
      </c>
    </row>
    <row r="130" spans="7:8" x14ac:dyDescent="0.25">
      <c r="G130" s="6" t="s">
        <v>11</v>
      </c>
      <c r="H130" s="4">
        <v>1200.32</v>
      </c>
    </row>
    <row r="131" spans="7:8" x14ac:dyDescent="0.25">
      <c r="G131" s="6" t="s">
        <v>800</v>
      </c>
      <c r="H131" s="4">
        <v>162.63999999999999</v>
      </c>
    </row>
    <row r="132" spans="7:8" x14ac:dyDescent="0.25">
      <c r="G132" s="6" t="s">
        <v>1284</v>
      </c>
      <c r="H132" s="4">
        <v>1200.32</v>
      </c>
    </row>
    <row r="133" spans="7:8" x14ac:dyDescent="0.25">
      <c r="G133" s="6" t="s">
        <v>306</v>
      </c>
      <c r="H133" s="4">
        <v>365.94</v>
      </c>
    </row>
    <row r="134" spans="7:8" x14ac:dyDescent="0.25">
      <c r="G134" s="6" t="s">
        <v>1792</v>
      </c>
      <c r="H134" s="4">
        <v>7502</v>
      </c>
    </row>
    <row r="135" spans="7:8" x14ac:dyDescent="0.25">
      <c r="G135" s="6" t="s">
        <v>1738</v>
      </c>
      <c r="H135" s="4">
        <v>300.08</v>
      </c>
    </row>
    <row r="136" spans="7:8" x14ac:dyDescent="0.25">
      <c r="G136" s="6" t="s">
        <v>470</v>
      </c>
      <c r="H136" s="4">
        <v>573.44000000000005</v>
      </c>
    </row>
    <row r="137" spans="7:8" x14ac:dyDescent="0.25">
      <c r="G137" s="6" t="s">
        <v>1258</v>
      </c>
      <c r="H137" s="4">
        <v>2700.7200000000003</v>
      </c>
    </row>
    <row r="138" spans="7:8" x14ac:dyDescent="0.25">
      <c r="G138" s="6" t="s">
        <v>252</v>
      </c>
      <c r="H138" s="4">
        <v>1050</v>
      </c>
    </row>
    <row r="139" spans="7:8" x14ac:dyDescent="0.25">
      <c r="G139" s="6" t="s">
        <v>444</v>
      </c>
      <c r="H139" s="4">
        <v>300.08</v>
      </c>
    </row>
    <row r="140" spans="7:8" x14ac:dyDescent="0.25">
      <c r="G140" s="6" t="s">
        <v>122</v>
      </c>
      <c r="H140" s="4">
        <v>9602.7199999999993</v>
      </c>
    </row>
    <row r="141" spans="7:8" x14ac:dyDescent="0.25">
      <c r="G141" s="6" t="s">
        <v>1422</v>
      </c>
      <c r="H141" s="4">
        <v>35.840000000000003</v>
      </c>
    </row>
    <row r="142" spans="7:8" x14ac:dyDescent="0.25">
      <c r="G142" s="6" t="s">
        <v>340</v>
      </c>
      <c r="H142" s="4">
        <v>300.08</v>
      </c>
    </row>
    <row r="143" spans="7:8" x14ac:dyDescent="0.25">
      <c r="G143" s="6" t="s">
        <v>88</v>
      </c>
      <c r="H143" s="4">
        <v>300.08</v>
      </c>
    </row>
    <row r="144" spans="7:8" x14ac:dyDescent="0.25">
      <c r="G144" s="6" t="s">
        <v>1116</v>
      </c>
      <c r="H144" s="4">
        <v>35.840000000000003</v>
      </c>
    </row>
    <row r="145" spans="7:8" x14ac:dyDescent="0.25">
      <c r="G145" s="6" t="s">
        <v>142</v>
      </c>
      <c r="H145" s="4">
        <v>1016.5</v>
      </c>
    </row>
    <row r="146" spans="7:8" x14ac:dyDescent="0.25">
      <c r="G146" s="6" t="s">
        <v>1486</v>
      </c>
      <c r="H146" s="4">
        <v>162.63999999999999</v>
      </c>
    </row>
    <row r="147" spans="7:8" x14ac:dyDescent="0.25">
      <c r="G147" s="6" t="s">
        <v>1602</v>
      </c>
      <c r="H147" s="4">
        <v>26250</v>
      </c>
    </row>
    <row r="148" spans="7:8" x14ac:dyDescent="0.25">
      <c r="G148" s="6" t="s">
        <v>612</v>
      </c>
      <c r="H148" s="4">
        <v>130.75</v>
      </c>
    </row>
    <row r="149" spans="7:8" x14ac:dyDescent="0.25">
      <c r="G149" s="6" t="s">
        <v>7</v>
      </c>
      <c r="H149" s="4">
        <v>1016.5</v>
      </c>
    </row>
    <row r="150" spans="7:8" x14ac:dyDescent="0.25">
      <c r="G150" s="6" t="s">
        <v>626</v>
      </c>
      <c r="H150" s="4">
        <v>5.23</v>
      </c>
    </row>
    <row r="151" spans="7:8" x14ac:dyDescent="0.25">
      <c r="G151" s="6" t="s">
        <v>1436</v>
      </c>
      <c r="H151" s="4">
        <v>15.15</v>
      </c>
    </row>
    <row r="152" spans="7:8" x14ac:dyDescent="0.25">
      <c r="G152" s="6" t="s">
        <v>528</v>
      </c>
      <c r="H152" s="4">
        <v>896</v>
      </c>
    </row>
    <row r="153" spans="7:8" x14ac:dyDescent="0.25">
      <c r="G153" s="6" t="s">
        <v>1564</v>
      </c>
      <c r="H153" s="4">
        <v>4801.28</v>
      </c>
    </row>
    <row r="154" spans="7:8" x14ac:dyDescent="0.25">
      <c r="G154" s="6" t="s">
        <v>1610</v>
      </c>
      <c r="H154" s="4">
        <v>7502</v>
      </c>
    </row>
    <row r="155" spans="7:8" x14ac:dyDescent="0.25">
      <c r="G155" s="6" t="s">
        <v>1940</v>
      </c>
      <c r="H155" s="4">
        <v>1200.32</v>
      </c>
    </row>
    <row r="156" spans="7:8" x14ac:dyDescent="0.25">
      <c r="G156" s="6" t="s">
        <v>1964</v>
      </c>
      <c r="H156" s="4">
        <v>600.16999999999996</v>
      </c>
    </row>
    <row r="157" spans="7:8" x14ac:dyDescent="0.25">
      <c r="G157" s="6" t="s">
        <v>1058</v>
      </c>
      <c r="H157" s="4">
        <v>293.25</v>
      </c>
    </row>
    <row r="158" spans="7:8" x14ac:dyDescent="0.25">
      <c r="G158" s="6" t="s">
        <v>1098</v>
      </c>
      <c r="H158" s="4">
        <v>1016.5</v>
      </c>
    </row>
    <row r="159" spans="7:8" x14ac:dyDescent="0.25">
      <c r="G159" s="6" t="s">
        <v>570</v>
      </c>
      <c r="H159" s="4">
        <v>130.75</v>
      </c>
    </row>
    <row r="160" spans="7:8" x14ac:dyDescent="0.25">
      <c r="G160" s="6" t="s">
        <v>54</v>
      </c>
      <c r="H160" s="4">
        <v>26250</v>
      </c>
    </row>
    <row r="161" spans="7:8" x14ac:dyDescent="0.25">
      <c r="G161" s="6" t="s">
        <v>1740</v>
      </c>
      <c r="H161" s="4">
        <v>300.08</v>
      </c>
    </row>
    <row r="162" spans="7:8" x14ac:dyDescent="0.25">
      <c r="G162" s="6" t="s">
        <v>1032</v>
      </c>
      <c r="H162" s="4">
        <v>20.92</v>
      </c>
    </row>
    <row r="163" spans="7:8" x14ac:dyDescent="0.25">
      <c r="G163" s="6" t="s">
        <v>230</v>
      </c>
      <c r="H163" s="4">
        <v>650.55999999999995</v>
      </c>
    </row>
    <row r="164" spans="7:8" x14ac:dyDescent="0.25">
      <c r="G164" s="6" t="s">
        <v>678</v>
      </c>
      <c r="H164" s="4">
        <v>4200</v>
      </c>
    </row>
    <row r="165" spans="7:8" x14ac:dyDescent="0.25">
      <c r="G165" s="6" t="s">
        <v>936</v>
      </c>
      <c r="H165" s="4">
        <v>15.15</v>
      </c>
    </row>
    <row r="166" spans="7:8" x14ac:dyDescent="0.25">
      <c r="G166" s="6" t="s">
        <v>164</v>
      </c>
      <c r="H166" s="4">
        <v>40.659999999999997</v>
      </c>
    </row>
    <row r="167" spans="7:8" x14ac:dyDescent="0.25">
      <c r="G167" s="6" t="s">
        <v>1104</v>
      </c>
      <c r="H167" s="4">
        <v>1200.32</v>
      </c>
    </row>
    <row r="168" spans="7:8" x14ac:dyDescent="0.25">
      <c r="G168" s="6" t="s">
        <v>512</v>
      </c>
      <c r="H168" s="4">
        <v>4801.28</v>
      </c>
    </row>
    <row r="169" spans="7:8" x14ac:dyDescent="0.25">
      <c r="G169" s="6" t="s">
        <v>288</v>
      </c>
      <c r="H169" s="4">
        <v>365.94</v>
      </c>
    </row>
    <row r="170" spans="7:8" x14ac:dyDescent="0.25">
      <c r="G170" s="6" t="s">
        <v>1288</v>
      </c>
      <c r="H170" s="4">
        <v>600.16999999999996</v>
      </c>
    </row>
    <row r="171" spans="7:8" x14ac:dyDescent="0.25">
      <c r="G171" s="6" t="s">
        <v>1848</v>
      </c>
      <c r="H171" s="4">
        <v>2400.6799999999998</v>
      </c>
    </row>
    <row r="172" spans="7:8" x14ac:dyDescent="0.25">
      <c r="G172" s="6" t="s">
        <v>760</v>
      </c>
      <c r="H172" s="4">
        <v>242.4</v>
      </c>
    </row>
    <row r="173" spans="7:8" x14ac:dyDescent="0.25">
      <c r="G173" s="6" t="s">
        <v>1230</v>
      </c>
      <c r="H173" s="4">
        <v>365.94</v>
      </c>
    </row>
    <row r="174" spans="7:8" x14ac:dyDescent="0.25">
      <c r="G174" s="6" t="s">
        <v>1158</v>
      </c>
      <c r="H174" s="4">
        <v>7502</v>
      </c>
    </row>
    <row r="175" spans="7:8" x14ac:dyDescent="0.25">
      <c r="G175" s="6" t="s">
        <v>988</v>
      </c>
      <c r="H175" s="4">
        <v>143.36000000000001</v>
      </c>
    </row>
    <row r="176" spans="7:8" x14ac:dyDescent="0.25">
      <c r="G176" s="6" t="s">
        <v>1896</v>
      </c>
      <c r="H176" s="4">
        <v>573.44000000000005</v>
      </c>
    </row>
    <row r="177" spans="7:8" x14ac:dyDescent="0.25">
      <c r="G177" s="6" t="s">
        <v>1730</v>
      </c>
      <c r="H177" s="4">
        <v>650.55999999999995</v>
      </c>
    </row>
    <row r="178" spans="7:8" x14ac:dyDescent="0.25">
      <c r="G178" s="6" t="s">
        <v>894</v>
      </c>
      <c r="H178" s="4">
        <v>242.4</v>
      </c>
    </row>
    <row r="179" spans="7:8" x14ac:dyDescent="0.25">
      <c r="G179" s="6" t="s">
        <v>1750</v>
      </c>
      <c r="H179" s="4">
        <v>5401.53</v>
      </c>
    </row>
    <row r="180" spans="7:8" x14ac:dyDescent="0.25">
      <c r="G180" s="6" t="s">
        <v>962</v>
      </c>
      <c r="H180" s="4">
        <v>26250</v>
      </c>
    </row>
    <row r="181" spans="7:8" x14ac:dyDescent="0.25">
      <c r="G181" s="6" t="s">
        <v>138</v>
      </c>
      <c r="H181" s="4">
        <v>300.08</v>
      </c>
    </row>
    <row r="182" spans="7:8" x14ac:dyDescent="0.25">
      <c r="G182" s="6" t="s">
        <v>20</v>
      </c>
      <c r="H182" s="4">
        <v>16800</v>
      </c>
    </row>
    <row r="183" spans="7:8" x14ac:dyDescent="0.25">
      <c r="G183" s="6" t="s">
        <v>1170</v>
      </c>
      <c r="H183" s="4">
        <v>322.56</v>
      </c>
    </row>
    <row r="184" spans="7:8" x14ac:dyDescent="0.25">
      <c r="G184" s="6" t="s">
        <v>322</v>
      </c>
      <c r="H184" s="4">
        <v>143.36000000000001</v>
      </c>
    </row>
    <row r="185" spans="7:8" x14ac:dyDescent="0.25">
      <c r="G185" s="6" t="s">
        <v>1112</v>
      </c>
      <c r="H185" s="4">
        <v>2400.6799999999998</v>
      </c>
    </row>
    <row r="186" spans="7:8" x14ac:dyDescent="0.25">
      <c r="G186" s="6" t="s">
        <v>498</v>
      </c>
      <c r="H186" s="4">
        <v>35.840000000000003</v>
      </c>
    </row>
    <row r="187" spans="7:8" x14ac:dyDescent="0.25">
      <c r="G187" s="6" t="s">
        <v>992</v>
      </c>
      <c r="H187" s="4">
        <v>650.55999999999995</v>
      </c>
    </row>
    <row r="188" spans="7:8" x14ac:dyDescent="0.25">
      <c r="G188" s="6" t="s">
        <v>1846</v>
      </c>
      <c r="H188" s="4">
        <v>4801.28</v>
      </c>
    </row>
    <row r="189" spans="7:8" x14ac:dyDescent="0.25">
      <c r="G189" s="6" t="s">
        <v>558</v>
      </c>
      <c r="H189" s="4">
        <v>47.07</v>
      </c>
    </row>
    <row r="190" spans="7:8" x14ac:dyDescent="0.25">
      <c r="G190" s="6" t="s">
        <v>866</v>
      </c>
      <c r="H190" s="4">
        <v>1016.5</v>
      </c>
    </row>
    <row r="191" spans="7:8" x14ac:dyDescent="0.25">
      <c r="G191" s="6" t="s">
        <v>244</v>
      </c>
      <c r="H191" s="4">
        <v>47.07</v>
      </c>
    </row>
    <row r="192" spans="7:8" x14ac:dyDescent="0.25">
      <c r="G192" s="6" t="s">
        <v>1684</v>
      </c>
      <c r="H192" s="4">
        <v>7502</v>
      </c>
    </row>
    <row r="193" spans="7:8" x14ac:dyDescent="0.25">
      <c r="G193" s="6" t="s">
        <v>874</v>
      </c>
      <c r="H193" s="4">
        <v>162.63999999999999</v>
      </c>
    </row>
    <row r="194" spans="7:8" x14ac:dyDescent="0.25">
      <c r="G194" s="6" t="s">
        <v>1114</v>
      </c>
      <c r="H194" s="4">
        <v>300.08</v>
      </c>
    </row>
    <row r="195" spans="7:8" x14ac:dyDescent="0.25">
      <c r="G195" s="6" t="s">
        <v>236</v>
      </c>
      <c r="H195" s="4">
        <v>1200.32</v>
      </c>
    </row>
    <row r="196" spans="7:8" x14ac:dyDescent="0.25">
      <c r="G196" s="6" t="s">
        <v>1416</v>
      </c>
      <c r="H196" s="4">
        <v>187.68</v>
      </c>
    </row>
    <row r="197" spans="7:8" x14ac:dyDescent="0.25">
      <c r="G197" s="6" t="s">
        <v>1250</v>
      </c>
      <c r="H197" s="4">
        <v>365.94</v>
      </c>
    </row>
    <row r="198" spans="7:8" x14ac:dyDescent="0.25">
      <c r="G198" s="6" t="s">
        <v>104</v>
      </c>
      <c r="H198" s="4">
        <v>7502</v>
      </c>
    </row>
    <row r="199" spans="7:8" x14ac:dyDescent="0.25">
      <c r="G199" s="6" t="s">
        <v>1672</v>
      </c>
      <c r="H199" s="4">
        <v>573.44000000000005</v>
      </c>
    </row>
    <row r="200" spans="7:8" x14ac:dyDescent="0.25">
      <c r="G200" s="6" t="s">
        <v>1676</v>
      </c>
      <c r="H200" s="4">
        <v>7502</v>
      </c>
    </row>
    <row r="201" spans="7:8" x14ac:dyDescent="0.25">
      <c r="G201" s="6" t="s">
        <v>916</v>
      </c>
      <c r="H201" s="4">
        <v>9450</v>
      </c>
    </row>
    <row r="202" spans="7:8" x14ac:dyDescent="0.25">
      <c r="G202" s="6" t="s">
        <v>506</v>
      </c>
      <c r="H202" s="4">
        <v>1200.32</v>
      </c>
    </row>
    <row r="203" spans="7:8" x14ac:dyDescent="0.25">
      <c r="G203" s="6" t="s">
        <v>378</v>
      </c>
      <c r="H203" s="4">
        <v>46.92</v>
      </c>
    </row>
    <row r="204" spans="7:8" x14ac:dyDescent="0.25">
      <c r="G204" s="6" t="s">
        <v>1918</v>
      </c>
      <c r="H204" s="4">
        <v>83.68</v>
      </c>
    </row>
    <row r="205" spans="7:8" x14ac:dyDescent="0.25">
      <c r="G205" s="6" t="s">
        <v>928</v>
      </c>
      <c r="H205" s="4">
        <v>573.44000000000005</v>
      </c>
    </row>
    <row r="206" spans="7:8" x14ac:dyDescent="0.25">
      <c r="G206" s="6" t="s">
        <v>1976</v>
      </c>
      <c r="H206" s="4">
        <v>7502</v>
      </c>
    </row>
    <row r="207" spans="7:8" x14ac:dyDescent="0.25">
      <c r="G207" s="6" t="s">
        <v>492</v>
      </c>
      <c r="H207" s="4">
        <v>2700.7200000000003</v>
      </c>
    </row>
    <row r="208" spans="7:8" x14ac:dyDescent="0.25">
      <c r="G208" s="6" t="s">
        <v>818</v>
      </c>
      <c r="H208" s="4">
        <v>300.08</v>
      </c>
    </row>
    <row r="209" spans="7:8" x14ac:dyDescent="0.25">
      <c r="G209" s="6" t="s">
        <v>1840</v>
      </c>
      <c r="H209" s="4">
        <v>35.840000000000003</v>
      </c>
    </row>
    <row r="210" spans="7:8" x14ac:dyDescent="0.25">
      <c r="G210" s="6" t="s">
        <v>1734</v>
      </c>
      <c r="H210" s="4">
        <v>15.15</v>
      </c>
    </row>
    <row r="211" spans="7:8" x14ac:dyDescent="0.25">
      <c r="G211" s="6" t="s">
        <v>1056</v>
      </c>
      <c r="H211" s="4">
        <v>4801.28</v>
      </c>
    </row>
    <row r="212" spans="7:8" x14ac:dyDescent="0.25">
      <c r="G212" s="6" t="s">
        <v>1082</v>
      </c>
      <c r="H212" s="4">
        <v>162.63999999999999</v>
      </c>
    </row>
    <row r="213" spans="7:8" x14ac:dyDescent="0.25">
      <c r="G213" s="6" t="s">
        <v>636</v>
      </c>
      <c r="H213" s="4">
        <v>136.35000000000002</v>
      </c>
    </row>
    <row r="214" spans="7:8" x14ac:dyDescent="0.25">
      <c r="G214" s="6" t="s">
        <v>1450</v>
      </c>
      <c r="H214" s="4">
        <v>365.94</v>
      </c>
    </row>
    <row r="215" spans="7:8" x14ac:dyDescent="0.25">
      <c r="G215" s="6" t="s">
        <v>1248</v>
      </c>
      <c r="H215" s="4">
        <v>60.6</v>
      </c>
    </row>
    <row r="216" spans="7:8" x14ac:dyDescent="0.25">
      <c r="G216" s="6" t="s">
        <v>1002</v>
      </c>
      <c r="H216" s="4">
        <v>136.35000000000002</v>
      </c>
    </row>
    <row r="217" spans="7:8" x14ac:dyDescent="0.25">
      <c r="G217" s="6" t="s">
        <v>1280</v>
      </c>
      <c r="H217" s="4">
        <v>365.94</v>
      </c>
    </row>
    <row r="218" spans="7:8" x14ac:dyDescent="0.25">
      <c r="G218" s="6" t="s">
        <v>638</v>
      </c>
      <c r="H218" s="4">
        <v>1200.32</v>
      </c>
    </row>
    <row r="219" spans="7:8" x14ac:dyDescent="0.25">
      <c r="G219" s="6" t="s">
        <v>1182</v>
      </c>
      <c r="H219" s="4">
        <v>600.16999999999996</v>
      </c>
    </row>
    <row r="220" spans="7:8" x14ac:dyDescent="0.25">
      <c r="G220" s="6" t="s">
        <v>1806</v>
      </c>
      <c r="H220" s="4">
        <v>5.23</v>
      </c>
    </row>
    <row r="221" spans="7:8" x14ac:dyDescent="0.25">
      <c r="G221" s="6" t="s">
        <v>1278</v>
      </c>
      <c r="H221" s="4">
        <v>600.16999999999996</v>
      </c>
    </row>
    <row r="222" spans="7:8" x14ac:dyDescent="0.25">
      <c r="G222" s="6" t="s">
        <v>1290</v>
      </c>
      <c r="H222" s="4">
        <v>5.23</v>
      </c>
    </row>
    <row r="223" spans="7:8" x14ac:dyDescent="0.25">
      <c r="G223" s="6" t="s">
        <v>1122</v>
      </c>
      <c r="H223" s="4">
        <v>365.94</v>
      </c>
    </row>
    <row r="224" spans="7:8" x14ac:dyDescent="0.25">
      <c r="G224" s="6" t="s">
        <v>482</v>
      </c>
      <c r="H224" s="4">
        <v>4801.28</v>
      </c>
    </row>
    <row r="225" spans="7:8" x14ac:dyDescent="0.25">
      <c r="G225" s="6" t="s">
        <v>1866</v>
      </c>
      <c r="H225" s="4">
        <v>1200.32</v>
      </c>
    </row>
    <row r="226" spans="7:8" x14ac:dyDescent="0.25">
      <c r="G226" s="6" t="s">
        <v>136</v>
      </c>
      <c r="H226" s="4">
        <v>300.08</v>
      </c>
    </row>
    <row r="227" spans="7:8" x14ac:dyDescent="0.25">
      <c r="G227" s="6" t="s">
        <v>1854</v>
      </c>
      <c r="H227" s="4">
        <v>573.44000000000005</v>
      </c>
    </row>
    <row r="228" spans="7:8" x14ac:dyDescent="0.25">
      <c r="G228" s="6" t="s">
        <v>102</v>
      </c>
      <c r="H228" s="4">
        <v>4801.28</v>
      </c>
    </row>
    <row r="229" spans="7:8" x14ac:dyDescent="0.25">
      <c r="G229" s="6" t="s">
        <v>1500</v>
      </c>
      <c r="H229" s="4">
        <v>650.55999999999995</v>
      </c>
    </row>
    <row r="230" spans="7:8" x14ac:dyDescent="0.25">
      <c r="G230" s="6" t="s">
        <v>826</v>
      </c>
      <c r="H230" s="4">
        <v>4801.28</v>
      </c>
    </row>
    <row r="231" spans="7:8" x14ac:dyDescent="0.25">
      <c r="G231" s="6" t="s">
        <v>1688</v>
      </c>
      <c r="H231" s="4">
        <v>650.55999999999995</v>
      </c>
    </row>
    <row r="232" spans="7:8" x14ac:dyDescent="0.25">
      <c r="G232" s="6" t="s">
        <v>806</v>
      </c>
      <c r="H232" s="4">
        <v>2700.7200000000003</v>
      </c>
    </row>
    <row r="233" spans="7:8" x14ac:dyDescent="0.25">
      <c r="G233" s="6" t="s">
        <v>1726</v>
      </c>
      <c r="H233" s="4">
        <v>4801.28</v>
      </c>
    </row>
    <row r="234" spans="7:8" x14ac:dyDescent="0.25">
      <c r="G234" s="6" t="s">
        <v>1386</v>
      </c>
      <c r="H234" s="4">
        <v>5401.53</v>
      </c>
    </row>
    <row r="235" spans="7:8" x14ac:dyDescent="0.25">
      <c r="G235" s="6" t="s">
        <v>780</v>
      </c>
      <c r="H235" s="4">
        <v>20.92</v>
      </c>
    </row>
    <row r="236" spans="7:8" x14ac:dyDescent="0.25">
      <c r="G236" s="6" t="s">
        <v>1636</v>
      </c>
      <c r="H236" s="4">
        <v>26250</v>
      </c>
    </row>
    <row r="237" spans="7:8" x14ac:dyDescent="0.25">
      <c r="G237" s="6" t="s">
        <v>982</v>
      </c>
      <c r="H237" s="4">
        <v>1200.32</v>
      </c>
    </row>
    <row r="238" spans="7:8" x14ac:dyDescent="0.25">
      <c r="G238" s="6" t="s">
        <v>694</v>
      </c>
      <c r="H238" s="4">
        <v>2700.7200000000003</v>
      </c>
    </row>
    <row r="239" spans="7:8" x14ac:dyDescent="0.25">
      <c r="G239" s="6" t="s">
        <v>1504</v>
      </c>
      <c r="H239" s="4">
        <v>83.68</v>
      </c>
    </row>
    <row r="240" spans="7:8" x14ac:dyDescent="0.25">
      <c r="G240" s="6" t="s">
        <v>1926</v>
      </c>
      <c r="H240" s="4">
        <v>162.63999999999999</v>
      </c>
    </row>
    <row r="241" spans="7:8" x14ac:dyDescent="0.25">
      <c r="G241" s="6" t="s">
        <v>744</v>
      </c>
      <c r="H241" s="4">
        <v>5.23</v>
      </c>
    </row>
    <row r="242" spans="7:8" x14ac:dyDescent="0.25">
      <c r="G242" s="6" t="s">
        <v>1706</v>
      </c>
      <c r="H242" s="4">
        <v>47.07</v>
      </c>
    </row>
    <row r="243" spans="7:8" x14ac:dyDescent="0.25">
      <c r="G243" s="6" t="s">
        <v>1282</v>
      </c>
      <c r="H243" s="4">
        <v>130.75</v>
      </c>
    </row>
    <row r="244" spans="7:8" x14ac:dyDescent="0.25">
      <c r="G244" s="6" t="s">
        <v>972</v>
      </c>
      <c r="H244" s="4">
        <v>11.73</v>
      </c>
    </row>
    <row r="245" spans="7:8" x14ac:dyDescent="0.25">
      <c r="G245" s="6" t="s">
        <v>698</v>
      </c>
      <c r="H245" s="4">
        <v>9602.7199999999993</v>
      </c>
    </row>
    <row r="246" spans="7:8" x14ac:dyDescent="0.25">
      <c r="G246" s="6" t="s">
        <v>96</v>
      </c>
      <c r="H246" s="4">
        <v>2700.7200000000003</v>
      </c>
    </row>
    <row r="247" spans="7:8" x14ac:dyDescent="0.25">
      <c r="G247" s="6" t="s">
        <v>270</v>
      </c>
      <c r="H247" s="4">
        <v>5.23</v>
      </c>
    </row>
    <row r="248" spans="7:8" x14ac:dyDescent="0.25">
      <c r="G248" s="6" t="s">
        <v>1212</v>
      </c>
      <c r="H248" s="4">
        <v>187.68</v>
      </c>
    </row>
    <row r="249" spans="7:8" x14ac:dyDescent="0.25">
      <c r="G249" s="6" t="s">
        <v>572</v>
      </c>
      <c r="H249" s="4">
        <v>4801.28</v>
      </c>
    </row>
    <row r="250" spans="7:8" x14ac:dyDescent="0.25">
      <c r="G250" s="6" t="s">
        <v>1408</v>
      </c>
      <c r="H250" s="4">
        <v>83.68</v>
      </c>
    </row>
    <row r="251" spans="7:8" x14ac:dyDescent="0.25">
      <c r="G251" s="6" t="s">
        <v>2010</v>
      </c>
      <c r="H251" s="4">
        <v>650.55999999999995</v>
      </c>
    </row>
    <row r="252" spans="7:8" x14ac:dyDescent="0.25">
      <c r="G252" s="6" t="s">
        <v>1286</v>
      </c>
      <c r="H252" s="4">
        <v>7502</v>
      </c>
    </row>
    <row r="253" spans="7:8" x14ac:dyDescent="0.25">
      <c r="G253" s="6" t="s">
        <v>906</v>
      </c>
      <c r="H253" s="4">
        <v>650.55999999999995</v>
      </c>
    </row>
    <row r="254" spans="7:8" x14ac:dyDescent="0.25">
      <c r="G254" s="6" t="s">
        <v>1446</v>
      </c>
      <c r="H254" s="4">
        <v>7502</v>
      </c>
    </row>
    <row r="255" spans="7:8" x14ac:dyDescent="0.25">
      <c r="G255" s="6" t="s">
        <v>650</v>
      </c>
      <c r="H255" s="4">
        <v>1016.5</v>
      </c>
    </row>
    <row r="256" spans="7:8" x14ac:dyDescent="0.25">
      <c r="G256" s="6" t="s">
        <v>1354</v>
      </c>
      <c r="H256" s="4">
        <v>15004.25</v>
      </c>
    </row>
    <row r="257" spans="7:8" x14ac:dyDescent="0.25">
      <c r="G257" s="6" t="s">
        <v>1746</v>
      </c>
      <c r="H257" s="4">
        <v>300.08</v>
      </c>
    </row>
    <row r="258" spans="7:8" x14ac:dyDescent="0.25">
      <c r="G258" s="6" t="s">
        <v>1542</v>
      </c>
      <c r="H258" s="4">
        <v>300.08</v>
      </c>
    </row>
    <row r="259" spans="7:8" x14ac:dyDescent="0.25">
      <c r="G259" s="6" t="s">
        <v>384</v>
      </c>
      <c r="H259" s="4">
        <v>5.23</v>
      </c>
    </row>
    <row r="260" spans="7:8" x14ac:dyDescent="0.25">
      <c r="G260" s="6" t="s">
        <v>1804</v>
      </c>
      <c r="H260" s="4">
        <v>1200.32</v>
      </c>
    </row>
    <row r="261" spans="7:8" x14ac:dyDescent="0.25">
      <c r="G261" s="6" t="s">
        <v>348</v>
      </c>
      <c r="H261" s="4">
        <v>1200.32</v>
      </c>
    </row>
    <row r="262" spans="7:8" x14ac:dyDescent="0.25">
      <c r="G262" s="6" t="s">
        <v>202</v>
      </c>
      <c r="H262" s="4">
        <v>1200.32</v>
      </c>
    </row>
    <row r="263" spans="7:8" x14ac:dyDescent="0.25">
      <c r="G263" s="6" t="s">
        <v>1438</v>
      </c>
      <c r="H263" s="4">
        <v>16800</v>
      </c>
    </row>
    <row r="264" spans="7:8" x14ac:dyDescent="0.25">
      <c r="G264" s="6" t="s">
        <v>472</v>
      </c>
      <c r="H264" s="4">
        <v>1016.5</v>
      </c>
    </row>
    <row r="265" spans="7:8" x14ac:dyDescent="0.25">
      <c r="G265" s="6" t="s">
        <v>1858</v>
      </c>
      <c r="H265" s="4">
        <v>187.68</v>
      </c>
    </row>
    <row r="266" spans="7:8" x14ac:dyDescent="0.25">
      <c r="G266" s="6" t="s">
        <v>336</v>
      </c>
      <c r="H266" s="4">
        <v>40.659999999999997</v>
      </c>
    </row>
    <row r="267" spans="7:8" x14ac:dyDescent="0.25">
      <c r="G267" s="6" t="s">
        <v>1756</v>
      </c>
      <c r="H267" s="4">
        <v>365.94</v>
      </c>
    </row>
    <row r="268" spans="7:8" x14ac:dyDescent="0.25">
      <c r="G268" s="6" t="s">
        <v>880</v>
      </c>
      <c r="H268" s="4">
        <v>2700.7200000000003</v>
      </c>
    </row>
    <row r="269" spans="7:8" x14ac:dyDescent="0.25">
      <c r="G269" s="6" t="s">
        <v>790</v>
      </c>
      <c r="H269" s="4">
        <v>4801.28</v>
      </c>
    </row>
    <row r="270" spans="7:8" x14ac:dyDescent="0.25">
      <c r="G270" s="6" t="s">
        <v>1296</v>
      </c>
      <c r="H270" s="4">
        <v>573.44000000000005</v>
      </c>
    </row>
    <row r="271" spans="7:8" x14ac:dyDescent="0.25">
      <c r="G271" s="6" t="s">
        <v>608</v>
      </c>
      <c r="H271" s="4">
        <v>300.08</v>
      </c>
    </row>
    <row r="272" spans="7:8" x14ac:dyDescent="0.25">
      <c r="G272" s="6" t="s">
        <v>776</v>
      </c>
      <c r="H272" s="4">
        <v>2700.7200000000003</v>
      </c>
    </row>
    <row r="273" spans="7:8" x14ac:dyDescent="0.25">
      <c r="G273" s="6" t="s">
        <v>1166</v>
      </c>
      <c r="H273" s="4">
        <v>83.68</v>
      </c>
    </row>
    <row r="274" spans="7:8" x14ac:dyDescent="0.25">
      <c r="G274" s="6" t="s">
        <v>134</v>
      </c>
      <c r="H274" s="4">
        <v>5.23</v>
      </c>
    </row>
    <row r="275" spans="7:8" x14ac:dyDescent="0.25">
      <c r="G275" s="6" t="s">
        <v>994</v>
      </c>
      <c r="H275" s="4">
        <v>20.92</v>
      </c>
    </row>
    <row r="276" spans="7:8" x14ac:dyDescent="0.25">
      <c r="G276" s="6" t="s">
        <v>216</v>
      </c>
      <c r="H276" s="4">
        <v>7502</v>
      </c>
    </row>
    <row r="277" spans="7:8" x14ac:dyDescent="0.25">
      <c r="G277" s="6" t="s">
        <v>1608</v>
      </c>
      <c r="H277" s="4">
        <v>896</v>
      </c>
    </row>
    <row r="278" spans="7:8" x14ac:dyDescent="0.25">
      <c r="G278" s="6" t="s">
        <v>1070</v>
      </c>
      <c r="H278" s="4">
        <v>1200.32</v>
      </c>
    </row>
    <row r="279" spans="7:8" x14ac:dyDescent="0.25">
      <c r="G279" s="6" t="s">
        <v>1624</v>
      </c>
      <c r="H279" s="4">
        <v>1200.32</v>
      </c>
    </row>
    <row r="280" spans="7:8" x14ac:dyDescent="0.25">
      <c r="G280" s="6" t="s">
        <v>860</v>
      </c>
      <c r="H280" s="4">
        <v>896</v>
      </c>
    </row>
    <row r="281" spans="7:8" x14ac:dyDescent="0.25">
      <c r="G281" s="6" t="s">
        <v>1616</v>
      </c>
      <c r="H281" s="4">
        <v>20.92</v>
      </c>
    </row>
    <row r="282" spans="7:8" x14ac:dyDescent="0.25">
      <c r="G282" s="6" t="s">
        <v>1218</v>
      </c>
      <c r="H282" s="4">
        <v>162.63999999999999</v>
      </c>
    </row>
    <row r="283" spans="7:8" x14ac:dyDescent="0.25">
      <c r="G283" s="6" t="s">
        <v>422</v>
      </c>
      <c r="H283" s="4">
        <v>573.44000000000005</v>
      </c>
    </row>
    <row r="284" spans="7:8" x14ac:dyDescent="0.25">
      <c r="G284" s="6" t="s">
        <v>454</v>
      </c>
      <c r="H284" s="4">
        <v>162.63999999999999</v>
      </c>
    </row>
    <row r="285" spans="7:8" x14ac:dyDescent="0.25">
      <c r="G285" s="6" t="s">
        <v>560</v>
      </c>
      <c r="H285" s="4">
        <v>20.92</v>
      </c>
    </row>
    <row r="286" spans="7:8" x14ac:dyDescent="0.25">
      <c r="G286" s="6" t="s">
        <v>828</v>
      </c>
      <c r="H286" s="4">
        <v>573.44000000000005</v>
      </c>
    </row>
    <row r="287" spans="7:8" x14ac:dyDescent="0.25">
      <c r="G287" s="6" t="s">
        <v>1136</v>
      </c>
      <c r="H287" s="4">
        <v>83.68</v>
      </c>
    </row>
    <row r="288" spans="7:8" x14ac:dyDescent="0.25">
      <c r="G288" s="6" t="s">
        <v>1332</v>
      </c>
      <c r="H288" s="4">
        <v>15004.25</v>
      </c>
    </row>
    <row r="289" spans="7:8" x14ac:dyDescent="0.25">
      <c r="G289" s="6" t="s">
        <v>1788</v>
      </c>
      <c r="H289" s="4">
        <v>16800</v>
      </c>
    </row>
    <row r="290" spans="7:8" x14ac:dyDescent="0.25">
      <c r="G290" s="6" t="s">
        <v>1772</v>
      </c>
      <c r="H290" s="4">
        <v>2700.7200000000003</v>
      </c>
    </row>
    <row r="291" spans="7:8" x14ac:dyDescent="0.25">
      <c r="G291" s="6" t="s">
        <v>852</v>
      </c>
      <c r="H291" s="4">
        <v>1200.32</v>
      </c>
    </row>
    <row r="292" spans="7:8" x14ac:dyDescent="0.25">
      <c r="G292" s="6" t="s">
        <v>1916</v>
      </c>
      <c r="H292" s="4">
        <v>2700.7200000000003</v>
      </c>
    </row>
    <row r="293" spans="7:8" x14ac:dyDescent="0.25">
      <c r="G293" s="6" t="s">
        <v>150</v>
      </c>
      <c r="H293" s="4">
        <v>83.68</v>
      </c>
    </row>
    <row r="294" spans="7:8" x14ac:dyDescent="0.25">
      <c r="G294" s="6" t="s">
        <v>1260</v>
      </c>
      <c r="H294" s="4">
        <v>7502</v>
      </c>
    </row>
    <row r="295" spans="7:8" x14ac:dyDescent="0.25">
      <c r="G295" s="6" t="s">
        <v>1376</v>
      </c>
      <c r="H295" s="4">
        <v>4801.28</v>
      </c>
    </row>
    <row r="296" spans="7:8" x14ac:dyDescent="0.25">
      <c r="G296" s="6" t="s">
        <v>224</v>
      </c>
      <c r="H296" s="4">
        <v>650.55999999999995</v>
      </c>
    </row>
    <row r="297" spans="7:8" x14ac:dyDescent="0.25">
      <c r="G297" s="6" t="s">
        <v>1106</v>
      </c>
      <c r="H297" s="4">
        <v>162.63999999999999</v>
      </c>
    </row>
    <row r="298" spans="7:8" x14ac:dyDescent="0.25">
      <c r="G298" s="6" t="s">
        <v>520</v>
      </c>
      <c r="H298" s="4">
        <v>300.08</v>
      </c>
    </row>
    <row r="299" spans="7:8" x14ac:dyDescent="0.25">
      <c r="G299" s="6" t="s">
        <v>1308</v>
      </c>
      <c r="H299" s="4">
        <v>573.44000000000005</v>
      </c>
    </row>
    <row r="300" spans="7:8" x14ac:dyDescent="0.25">
      <c r="G300" s="6" t="s">
        <v>1906</v>
      </c>
      <c r="H300" s="4">
        <v>40.659999999999997</v>
      </c>
    </row>
    <row r="301" spans="7:8" x14ac:dyDescent="0.25">
      <c r="G301" s="6" t="s">
        <v>1262</v>
      </c>
      <c r="H301" s="4">
        <v>896</v>
      </c>
    </row>
    <row r="302" spans="7:8" x14ac:dyDescent="0.25">
      <c r="G302" s="6" t="s">
        <v>850</v>
      </c>
      <c r="H302" s="4">
        <v>4801.28</v>
      </c>
    </row>
    <row r="303" spans="7:8" x14ac:dyDescent="0.25">
      <c r="G303" s="6" t="s">
        <v>1350</v>
      </c>
      <c r="H303" s="4">
        <v>2700.7200000000003</v>
      </c>
    </row>
    <row r="304" spans="7:8" x14ac:dyDescent="0.25">
      <c r="G304" s="6" t="s">
        <v>624</v>
      </c>
      <c r="H304" s="4">
        <v>365.94</v>
      </c>
    </row>
    <row r="305" spans="7:8" x14ac:dyDescent="0.25">
      <c r="G305" s="6" t="s">
        <v>1050</v>
      </c>
      <c r="H305" s="4">
        <v>46.92</v>
      </c>
    </row>
    <row r="306" spans="7:8" x14ac:dyDescent="0.25">
      <c r="G306" s="6" t="s">
        <v>1022</v>
      </c>
      <c r="H306" s="4">
        <v>322.56</v>
      </c>
    </row>
    <row r="307" spans="7:8" x14ac:dyDescent="0.25">
      <c r="G307" s="6" t="s">
        <v>1954</v>
      </c>
      <c r="H307" s="4">
        <v>4801.28</v>
      </c>
    </row>
    <row r="308" spans="7:8" x14ac:dyDescent="0.25">
      <c r="G308" s="6" t="s">
        <v>682</v>
      </c>
      <c r="H308" s="4">
        <v>1200.32</v>
      </c>
    </row>
    <row r="309" spans="7:8" x14ac:dyDescent="0.25">
      <c r="G309" s="6" t="s">
        <v>1540</v>
      </c>
      <c r="H309" s="4">
        <v>300.08</v>
      </c>
    </row>
    <row r="310" spans="7:8" x14ac:dyDescent="0.25">
      <c r="G310" s="6" t="s">
        <v>1266</v>
      </c>
      <c r="H310" s="4">
        <v>7502</v>
      </c>
    </row>
    <row r="311" spans="7:8" x14ac:dyDescent="0.25">
      <c r="G311" s="6" t="s">
        <v>1910</v>
      </c>
      <c r="H311" s="4">
        <v>162.63999999999999</v>
      </c>
    </row>
    <row r="312" spans="7:8" x14ac:dyDescent="0.25">
      <c r="G312" s="6" t="s">
        <v>620</v>
      </c>
      <c r="H312" s="4">
        <v>40.659999999999997</v>
      </c>
    </row>
    <row r="313" spans="7:8" x14ac:dyDescent="0.25">
      <c r="G313" s="6" t="s">
        <v>254</v>
      </c>
      <c r="H313" s="4">
        <v>7502</v>
      </c>
    </row>
    <row r="314" spans="7:8" x14ac:dyDescent="0.25">
      <c r="G314" s="6" t="s">
        <v>1188</v>
      </c>
      <c r="H314" s="4">
        <v>600.16999999999996</v>
      </c>
    </row>
    <row r="315" spans="7:8" x14ac:dyDescent="0.25">
      <c r="G315" s="6" t="s">
        <v>1352</v>
      </c>
      <c r="H315" s="4">
        <v>322.56</v>
      </c>
    </row>
    <row r="316" spans="7:8" x14ac:dyDescent="0.25">
      <c r="G316" s="6" t="s">
        <v>124</v>
      </c>
      <c r="H316" s="4">
        <v>5.23</v>
      </c>
    </row>
    <row r="317" spans="7:8" x14ac:dyDescent="0.25">
      <c r="G317" s="6" t="s">
        <v>1488</v>
      </c>
      <c r="H317" s="4">
        <v>1200.32</v>
      </c>
    </row>
    <row r="318" spans="7:8" x14ac:dyDescent="0.25">
      <c r="G318" s="6" t="s">
        <v>1618</v>
      </c>
      <c r="H318" s="4">
        <v>187.68</v>
      </c>
    </row>
    <row r="319" spans="7:8" x14ac:dyDescent="0.25">
      <c r="G319" s="6" t="s">
        <v>1714</v>
      </c>
      <c r="H319" s="4">
        <v>650.55999999999995</v>
      </c>
    </row>
    <row r="320" spans="7:8" x14ac:dyDescent="0.25">
      <c r="G320" s="6" t="s">
        <v>320</v>
      </c>
      <c r="H320" s="4">
        <v>293.25</v>
      </c>
    </row>
    <row r="321" spans="7:8" x14ac:dyDescent="0.25">
      <c r="G321" s="6" t="s">
        <v>536</v>
      </c>
      <c r="H321" s="4">
        <v>136.35000000000002</v>
      </c>
    </row>
    <row r="322" spans="7:8" x14ac:dyDescent="0.25">
      <c r="G322" s="6" t="s">
        <v>1932</v>
      </c>
      <c r="H322" s="4">
        <v>46.92</v>
      </c>
    </row>
    <row r="323" spans="7:8" x14ac:dyDescent="0.25">
      <c r="G323" s="6" t="s">
        <v>1490</v>
      </c>
      <c r="H323" s="4">
        <v>9450</v>
      </c>
    </row>
    <row r="324" spans="7:8" x14ac:dyDescent="0.25">
      <c r="G324" s="6" t="s">
        <v>1826</v>
      </c>
      <c r="H324" s="4">
        <v>7502</v>
      </c>
    </row>
    <row r="325" spans="7:8" x14ac:dyDescent="0.25">
      <c r="G325" s="6" t="s">
        <v>494</v>
      </c>
      <c r="H325" s="4">
        <v>143.36000000000001</v>
      </c>
    </row>
    <row r="326" spans="7:8" x14ac:dyDescent="0.25">
      <c r="G326" s="6" t="s">
        <v>110</v>
      </c>
      <c r="H326" s="4">
        <v>130.75</v>
      </c>
    </row>
    <row r="327" spans="7:8" x14ac:dyDescent="0.25">
      <c r="G327" s="6" t="s">
        <v>382</v>
      </c>
      <c r="H327" s="4">
        <v>20.92</v>
      </c>
    </row>
    <row r="328" spans="7:8" x14ac:dyDescent="0.25">
      <c r="G328" s="6" t="s">
        <v>706</v>
      </c>
      <c r="H328" s="4">
        <v>9602.7199999999993</v>
      </c>
    </row>
    <row r="329" spans="7:8" x14ac:dyDescent="0.25">
      <c r="G329" s="6" t="s">
        <v>1454</v>
      </c>
      <c r="H329" s="4">
        <v>83.68</v>
      </c>
    </row>
    <row r="330" spans="7:8" x14ac:dyDescent="0.25">
      <c r="G330" s="6" t="s">
        <v>1660</v>
      </c>
      <c r="H330" s="4">
        <v>600.16999999999996</v>
      </c>
    </row>
    <row r="331" spans="7:8" x14ac:dyDescent="0.25">
      <c r="G331" s="6" t="s">
        <v>324</v>
      </c>
      <c r="H331" s="4">
        <v>2700.7200000000003</v>
      </c>
    </row>
    <row r="332" spans="7:8" x14ac:dyDescent="0.25">
      <c r="G332" s="6" t="s">
        <v>1844</v>
      </c>
      <c r="H332" s="4">
        <v>7502</v>
      </c>
    </row>
    <row r="333" spans="7:8" x14ac:dyDescent="0.25">
      <c r="G333" s="6" t="s">
        <v>742</v>
      </c>
      <c r="H333" s="4">
        <v>5.23</v>
      </c>
    </row>
    <row r="334" spans="7:8" x14ac:dyDescent="0.25">
      <c r="G334" s="6" t="s">
        <v>1226</v>
      </c>
      <c r="H334" s="4">
        <v>7502</v>
      </c>
    </row>
    <row r="335" spans="7:8" x14ac:dyDescent="0.25">
      <c r="G335" s="6" t="s">
        <v>1054</v>
      </c>
      <c r="H335" s="4">
        <v>15004.25</v>
      </c>
    </row>
    <row r="336" spans="7:8" x14ac:dyDescent="0.25">
      <c r="G336" s="6" t="s">
        <v>892</v>
      </c>
      <c r="H336" s="4">
        <v>7502</v>
      </c>
    </row>
    <row r="337" spans="7:8" x14ac:dyDescent="0.25">
      <c r="G337" s="6" t="s">
        <v>432</v>
      </c>
      <c r="H337" s="4">
        <v>7502</v>
      </c>
    </row>
    <row r="338" spans="7:8" x14ac:dyDescent="0.25">
      <c r="G338" s="6" t="s">
        <v>162</v>
      </c>
      <c r="H338" s="4">
        <v>5401.53</v>
      </c>
    </row>
    <row r="339" spans="7:8" x14ac:dyDescent="0.25">
      <c r="G339" s="6" t="s">
        <v>1210</v>
      </c>
      <c r="H339" s="4">
        <v>242.4</v>
      </c>
    </row>
    <row r="340" spans="7:8" x14ac:dyDescent="0.25">
      <c r="G340" s="6" t="s">
        <v>1638</v>
      </c>
      <c r="H340" s="4">
        <v>2400.6799999999998</v>
      </c>
    </row>
    <row r="341" spans="7:8" x14ac:dyDescent="0.25">
      <c r="G341" s="6" t="s">
        <v>1</v>
      </c>
      <c r="H341" s="4">
        <v>7502</v>
      </c>
    </row>
    <row r="342" spans="7:8" x14ac:dyDescent="0.25">
      <c r="G342" s="6" t="s">
        <v>1812</v>
      </c>
      <c r="H342" s="4">
        <v>60.6</v>
      </c>
    </row>
    <row r="343" spans="7:8" x14ac:dyDescent="0.25">
      <c r="G343" s="6" t="s">
        <v>108</v>
      </c>
      <c r="H343" s="4">
        <v>9602.7199999999993</v>
      </c>
    </row>
    <row r="344" spans="7:8" x14ac:dyDescent="0.25">
      <c r="G344" s="6" t="s">
        <v>1074</v>
      </c>
      <c r="H344" s="4">
        <v>4801.28</v>
      </c>
    </row>
    <row r="345" spans="7:8" x14ac:dyDescent="0.25">
      <c r="G345" s="6" t="s">
        <v>248</v>
      </c>
      <c r="H345" s="4">
        <v>5.23</v>
      </c>
    </row>
    <row r="346" spans="7:8" x14ac:dyDescent="0.25">
      <c r="G346" s="6" t="s">
        <v>312</v>
      </c>
      <c r="H346" s="4">
        <v>365.94</v>
      </c>
    </row>
    <row r="347" spans="7:8" x14ac:dyDescent="0.25">
      <c r="G347" s="6" t="s">
        <v>656</v>
      </c>
      <c r="H347" s="4">
        <v>1200.32</v>
      </c>
    </row>
    <row r="348" spans="7:8" x14ac:dyDescent="0.25">
      <c r="G348" s="6" t="s">
        <v>1024</v>
      </c>
      <c r="H348" s="4">
        <v>300.08</v>
      </c>
    </row>
    <row r="349" spans="7:8" x14ac:dyDescent="0.25">
      <c r="G349" s="6" t="s">
        <v>964</v>
      </c>
      <c r="H349" s="4">
        <v>896</v>
      </c>
    </row>
    <row r="350" spans="7:8" x14ac:dyDescent="0.25">
      <c r="G350" s="6" t="s">
        <v>654</v>
      </c>
      <c r="H350" s="4">
        <v>300.08</v>
      </c>
    </row>
    <row r="351" spans="7:8" x14ac:dyDescent="0.25">
      <c r="G351" s="6" t="s">
        <v>1814</v>
      </c>
      <c r="H351" s="4">
        <v>1016.5</v>
      </c>
    </row>
    <row r="352" spans="7:8" x14ac:dyDescent="0.25">
      <c r="G352" s="6" t="s">
        <v>1478</v>
      </c>
      <c r="H352" s="4">
        <v>60.6</v>
      </c>
    </row>
    <row r="353" spans="7:8" x14ac:dyDescent="0.25">
      <c r="G353" s="6" t="s">
        <v>1316</v>
      </c>
      <c r="H353" s="4">
        <v>322.56</v>
      </c>
    </row>
    <row r="354" spans="7:8" x14ac:dyDescent="0.25">
      <c r="G354" s="6" t="s">
        <v>630</v>
      </c>
      <c r="H354" s="4">
        <v>1200.32</v>
      </c>
    </row>
    <row r="355" spans="7:8" x14ac:dyDescent="0.25">
      <c r="G355" s="6" t="s">
        <v>1398</v>
      </c>
      <c r="H355" s="4">
        <v>600.16999999999996</v>
      </c>
    </row>
    <row r="356" spans="7:8" x14ac:dyDescent="0.25">
      <c r="G356" s="6" t="s">
        <v>932</v>
      </c>
      <c r="H356" s="4">
        <v>105.57</v>
      </c>
    </row>
    <row r="357" spans="7:8" x14ac:dyDescent="0.25">
      <c r="G357" s="6" t="s">
        <v>1724</v>
      </c>
      <c r="H357" s="4">
        <v>2700.7200000000003</v>
      </c>
    </row>
    <row r="358" spans="7:8" x14ac:dyDescent="0.25">
      <c r="G358" s="6" t="s">
        <v>1340</v>
      </c>
      <c r="H358" s="4">
        <v>4801.28</v>
      </c>
    </row>
    <row r="359" spans="7:8" x14ac:dyDescent="0.25">
      <c r="G359" s="6" t="s">
        <v>166</v>
      </c>
      <c r="H359" s="4">
        <v>5.23</v>
      </c>
    </row>
    <row r="360" spans="7:8" x14ac:dyDescent="0.25">
      <c r="G360" s="6" t="s">
        <v>1998</v>
      </c>
      <c r="H360" s="4">
        <v>60.6</v>
      </c>
    </row>
    <row r="361" spans="7:8" x14ac:dyDescent="0.25">
      <c r="G361" s="6" t="s">
        <v>1692</v>
      </c>
      <c r="H361" s="4">
        <v>2700.7200000000003</v>
      </c>
    </row>
    <row r="362" spans="7:8" x14ac:dyDescent="0.25">
      <c r="G362" s="6" t="s">
        <v>1374</v>
      </c>
      <c r="H362" s="4">
        <v>300.08</v>
      </c>
    </row>
    <row r="363" spans="7:8" x14ac:dyDescent="0.25">
      <c r="G363" s="6" t="s">
        <v>1172</v>
      </c>
      <c r="H363" s="4">
        <v>4200</v>
      </c>
    </row>
    <row r="364" spans="7:8" x14ac:dyDescent="0.25">
      <c r="G364" s="6" t="s">
        <v>1152</v>
      </c>
      <c r="H364" s="4">
        <v>4801.28</v>
      </c>
    </row>
    <row r="365" spans="7:8" x14ac:dyDescent="0.25">
      <c r="G365" s="6" t="s">
        <v>1302</v>
      </c>
      <c r="H365" s="4">
        <v>35.840000000000003</v>
      </c>
    </row>
    <row r="366" spans="7:8" x14ac:dyDescent="0.25">
      <c r="G366" s="6" t="s">
        <v>1984</v>
      </c>
      <c r="H366" s="4">
        <v>5.23</v>
      </c>
    </row>
    <row r="367" spans="7:8" x14ac:dyDescent="0.25">
      <c r="G367" s="6" t="s">
        <v>944</v>
      </c>
      <c r="H367" s="4">
        <v>4801.28</v>
      </c>
    </row>
    <row r="368" spans="7:8" x14ac:dyDescent="0.25">
      <c r="G368" s="6" t="s">
        <v>798</v>
      </c>
      <c r="H368" s="4">
        <v>187.68</v>
      </c>
    </row>
    <row r="369" spans="7:8" x14ac:dyDescent="0.25">
      <c r="G369" s="6" t="s">
        <v>1242</v>
      </c>
      <c r="H369" s="4">
        <v>83.68</v>
      </c>
    </row>
    <row r="370" spans="7:8" x14ac:dyDescent="0.25">
      <c r="G370" s="6" t="s">
        <v>550</v>
      </c>
      <c r="H370" s="4">
        <v>7502</v>
      </c>
    </row>
    <row r="371" spans="7:8" x14ac:dyDescent="0.25">
      <c r="G371" s="6" t="s">
        <v>1736</v>
      </c>
      <c r="H371" s="4">
        <v>1016.5</v>
      </c>
    </row>
    <row r="372" spans="7:8" x14ac:dyDescent="0.25">
      <c r="G372" s="6" t="s">
        <v>1264</v>
      </c>
      <c r="H372" s="4">
        <v>1200.32</v>
      </c>
    </row>
    <row r="373" spans="7:8" x14ac:dyDescent="0.25">
      <c r="G373" s="6" t="s">
        <v>362</v>
      </c>
      <c r="H373" s="4">
        <v>47.07</v>
      </c>
    </row>
    <row r="374" spans="7:8" x14ac:dyDescent="0.25">
      <c r="G374" s="6" t="s">
        <v>896</v>
      </c>
      <c r="H374" s="4">
        <v>47.07</v>
      </c>
    </row>
    <row r="375" spans="7:8" x14ac:dyDescent="0.25">
      <c r="G375" s="6" t="s">
        <v>976</v>
      </c>
      <c r="H375" s="4">
        <v>162.63999999999999</v>
      </c>
    </row>
    <row r="376" spans="7:8" x14ac:dyDescent="0.25">
      <c r="G376" s="6" t="s">
        <v>1240</v>
      </c>
      <c r="H376" s="4">
        <v>4801.28</v>
      </c>
    </row>
    <row r="377" spans="7:8" x14ac:dyDescent="0.25">
      <c r="G377" s="6" t="s">
        <v>186</v>
      </c>
      <c r="H377" s="4">
        <v>7502</v>
      </c>
    </row>
    <row r="378" spans="7:8" x14ac:dyDescent="0.25">
      <c r="G378" s="6" t="s">
        <v>392</v>
      </c>
      <c r="H378" s="4">
        <v>365.94</v>
      </c>
    </row>
    <row r="379" spans="7:8" x14ac:dyDescent="0.25">
      <c r="G379" s="6" t="s">
        <v>1536</v>
      </c>
      <c r="H379" s="4">
        <v>293.25</v>
      </c>
    </row>
    <row r="380" spans="7:8" x14ac:dyDescent="0.25">
      <c r="G380" s="6" t="s">
        <v>1468</v>
      </c>
      <c r="H380" s="4">
        <v>7502</v>
      </c>
    </row>
    <row r="381" spans="7:8" x14ac:dyDescent="0.25">
      <c r="G381" s="6" t="s">
        <v>990</v>
      </c>
      <c r="H381" s="4">
        <v>4801.28</v>
      </c>
    </row>
    <row r="382" spans="7:8" x14ac:dyDescent="0.25">
      <c r="G382" s="6" t="s">
        <v>974</v>
      </c>
      <c r="H382" s="4">
        <v>2700.7200000000003</v>
      </c>
    </row>
    <row r="383" spans="7:8" x14ac:dyDescent="0.25">
      <c r="G383" s="6" t="s">
        <v>2002</v>
      </c>
      <c r="H383" s="4">
        <v>322.56</v>
      </c>
    </row>
    <row r="384" spans="7:8" x14ac:dyDescent="0.25">
      <c r="G384" s="6" t="s">
        <v>1708</v>
      </c>
      <c r="H384" s="4">
        <v>1200.32</v>
      </c>
    </row>
    <row r="385" spans="7:8" x14ac:dyDescent="0.25">
      <c r="G385" s="6" t="s">
        <v>1834</v>
      </c>
      <c r="H385" s="4">
        <v>600.16999999999996</v>
      </c>
    </row>
    <row r="386" spans="7:8" x14ac:dyDescent="0.25">
      <c r="G386" s="6" t="s">
        <v>1902</v>
      </c>
      <c r="H386" s="4">
        <v>40.659999999999997</v>
      </c>
    </row>
    <row r="387" spans="7:8" x14ac:dyDescent="0.25">
      <c r="G387" s="6" t="s">
        <v>802</v>
      </c>
      <c r="H387" s="4">
        <v>130.75</v>
      </c>
    </row>
    <row r="388" spans="7:8" x14ac:dyDescent="0.25">
      <c r="G388" s="6" t="s">
        <v>1424</v>
      </c>
      <c r="H388" s="4">
        <v>9602.7199999999993</v>
      </c>
    </row>
    <row r="389" spans="7:8" x14ac:dyDescent="0.25">
      <c r="G389" s="6" t="s">
        <v>330</v>
      </c>
      <c r="H389" s="4">
        <v>300.08</v>
      </c>
    </row>
    <row r="390" spans="7:8" x14ac:dyDescent="0.25">
      <c r="G390" s="6" t="s">
        <v>344</v>
      </c>
      <c r="H390" s="4">
        <v>9602.7199999999993</v>
      </c>
    </row>
    <row r="391" spans="7:8" x14ac:dyDescent="0.25">
      <c r="G391" s="6" t="s">
        <v>170</v>
      </c>
      <c r="H391" s="4">
        <v>15004.25</v>
      </c>
    </row>
    <row r="392" spans="7:8" x14ac:dyDescent="0.25">
      <c r="G392" s="6" t="s">
        <v>342</v>
      </c>
      <c r="H392" s="4">
        <v>650.55999999999995</v>
      </c>
    </row>
    <row r="393" spans="7:8" x14ac:dyDescent="0.25">
      <c r="G393" s="6" t="s">
        <v>1968</v>
      </c>
      <c r="H393" s="4">
        <v>896</v>
      </c>
    </row>
    <row r="394" spans="7:8" x14ac:dyDescent="0.25">
      <c r="G394" s="6" t="s">
        <v>388</v>
      </c>
      <c r="H394" s="4">
        <v>47.07</v>
      </c>
    </row>
    <row r="395" spans="7:8" x14ac:dyDescent="0.25">
      <c r="G395" s="6" t="s">
        <v>1818</v>
      </c>
      <c r="H395" s="4">
        <v>4801.28</v>
      </c>
    </row>
    <row r="396" spans="7:8" x14ac:dyDescent="0.25">
      <c r="G396" s="6" t="s">
        <v>456</v>
      </c>
      <c r="H396" s="4">
        <v>1200.32</v>
      </c>
    </row>
    <row r="397" spans="7:8" x14ac:dyDescent="0.25">
      <c r="G397" s="6" t="s">
        <v>1580</v>
      </c>
      <c r="H397" s="4">
        <v>143.36000000000001</v>
      </c>
    </row>
    <row r="398" spans="7:8" x14ac:dyDescent="0.25">
      <c r="G398" s="6" t="s">
        <v>672</v>
      </c>
      <c r="H398" s="4">
        <v>650.55999999999995</v>
      </c>
    </row>
    <row r="399" spans="7:8" x14ac:dyDescent="0.25">
      <c r="G399" s="6" t="s">
        <v>1214</v>
      </c>
      <c r="H399" s="4">
        <v>7502</v>
      </c>
    </row>
    <row r="400" spans="7:8" x14ac:dyDescent="0.25">
      <c r="G400" s="6" t="s">
        <v>930</v>
      </c>
      <c r="H400" s="4">
        <v>4801.28</v>
      </c>
    </row>
    <row r="401" spans="7:8" x14ac:dyDescent="0.25">
      <c r="G401" s="6" t="s">
        <v>1882</v>
      </c>
      <c r="H401" s="4">
        <v>130.75</v>
      </c>
    </row>
    <row r="402" spans="7:8" x14ac:dyDescent="0.25">
      <c r="G402" s="6" t="s">
        <v>676</v>
      </c>
      <c r="H402" s="4">
        <v>46.92</v>
      </c>
    </row>
    <row r="403" spans="7:8" x14ac:dyDescent="0.25">
      <c r="G403" s="6" t="s">
        <v>1786</v>
      </c>
      <c r="H403" s="4">
        <v>300.08</v>
      </c>
    </row>
    <row r="404" spans="7:8" x14ac:dyDescent="0.25">
      <c r="G404" s="6" t="s">
        <v>1898</v>
      </c>
      <c r="H404" s="4">
        <v>1016.5</v>
      </c>
    </row>
    <row r="405" spans="7:8" x14ac:dyDescent="0.25">
      <c r="G405" s="6" t="s">
        <v>40</v>
      </c>
      <c r="H405" s="4">
        <v>365.94</v>
      </c>
    </row>
    <row r="406" spans="7:8" x14ac:dyDescent="0.25">
      <c r="G406" s="6" t="s">
        <v>592</v>
      </c>
      <c r="H406" s="4">
        <v>5401.53</v>
      </c>
    </row>
    <row r="407" spans="7:8" x14ac:dyDescent="0.25">
      <c r="G407" s="6" t="s">
        <v>1040</v>
      </c>
      <c r="H407" s="4">
        <v>4200</v>
      </c>
    </row>
    <row r="408" spans="7:8" x14ac:dyDescent="0.25">
      <c r="G408" s="6" t="s">
        <v>1614</v>
      </c>
      <c r="H408" s="4">
        <v>1016.5</v>
      </c>
    </row>
    <row r="409" spans="7:8" x14ac:dyDescent="0.25">
      <c r="G409" s="6" t="s">
        <v>1256</v>
      </c>
      <c r="H409" s="4">
        <v>130.75</v>
      </c>
    </row>
    <row r="410" spans="7:8" x14ac:dyDescent="0.25">
      <c r="G410" s="6" t="s">
        <v>1466</v>
      </c>
      <c r="H410" s="4">
        <v>365.94</v>
      </c>
    </row>
    <row r="411" spans="7:8" x14ac:dyDescent="0.25">
      <c r="G411" s="6" t="s">
        <v>334</v>
      </c>
      <c r="H411" s="4">
        <v>600.16999999999996</v>
      </c>
    </row>
    <row r="412" spans="7:8" x14ac:dyDescent="0.25">
      <c r="G412" s="6" t="s">
        <v>1892</v>
      </c>
      <c r="H412" s="4">
        <v>322.56</v>
      </c>
    </row>
    <row r="413" spans="7:8" x14ac:dyDescent="0.25">
      <c r="G413" s="6" t="s">
        <v>968</v>
      </c>
      <c r="H413" s="4">
        <v>650.55999999999995</v>
      </c>
    </row>
    <row r="414" spans="7:8" x14ac:dyDescent="0.25">
      <c r="G414" s="6" t="s">
        <v>1432</v>
      </c>
      <c r="H414" s="4">
        <v>5.23</v>
      </c>
    </row>
    <row r="415" spans="7:8" x14ac:dyDescent="0.25">
      <c r="G415" s="6" t="s">
        <v>908</v>
      </c>
      <c r="H415" s="4">
        <v>650.55999999999995</v>
      </c>
    </row>
    <row r="416" spans="7:8" x14ac:dyDescent="0.25">
      <c r="G416" s="6" t="s">
        <v>152</v>
      </c>
      <c r="H416" s="4">
        <v>7502</v>
      </c>
    </row>
    <row r="417" spans="7:8" x14ac:dyDescent="0.25">
      <c r="G417" s="6" t="s">
        <v>1680</v>
      </c>
      <c r="H417" s="4">
        <v>2700.7200000000003</v>
      </c>
    </row>
    <row r="418" spans="7:8" x14ac:dyDescent="0.25">
      <c r="G418" s="6" t="s">
        <v>1146</v>
      </c>
      <c r="H418" s="4">
        <v>1016.5</v>
      </c>
    </row>
    <row r="419" spans="7:8" x14ac:dyDescent="0.25">
      <c r="G419" s="6" t="s">
        <v>606</v>
      </c>
      <c r="H419" s="4">
        <v>130.75</v>
      </c>
    </row>
    <row r="420" spans="7:8" x14ac:dyDescent="0.25">
      <c r="G420" s="6" t="s">
        <v>648</v>
      </c>
      <c r="H420" s="4">
        <v>322.56</v>
      </c>
    </row>
    <row r="421" spans="7:8" x14ac:dyDescent="0.25">
      <c r="G421" s="6" t="s">
        <v>1482</v>
      </c>
      <c r="H421" s="4">
        <v>1200.32</v>
      </c>
    </row>
    <row r="422" spans="7:8" x14ac:dyDescent="0.25">
      <c r="G422" s="6" t="s">
        <v>1410</v>
      </c>
      <c r="H422" s="4">
        <v>2700.7200000000003</v>
      </c>
    </row>
    <row r="423" spans="7:8" x14ac:dyDescent="0.25">
      <c r="G423" s="6" t="s">
        <v>132</v>
      </c>
      <c r="H423" s="4">
        <v>300.08</v>
      </c>
    </row>
    <row r="424" spans="7:8" x14ac:dyDescent="0.25">
      <c r="G424" s="6" t="s">
        <v>556</v>
      </c>
      <c r="H424" s="4">
        <v>573.44000000000005</v>
      </c>
    </row>
    <row r="425" spans="7:8" x14ac:dyDescent="0.25">
      <c r="G425" s="6" t="s">
        <v>526</v>
      </c>
      <c r="H425" s="4">
        <v>365.94</v>
      </c>
    </row>
    <row r="426" spans="7:8" x14ac:dyDescent="0.25">
      <c r="G426" s="6" t="s">
        <v>546</v>
      </c>
      <c r="H426" s="4">
        <v>9602.7199999999993</v>
      </c>
    </row>
    <row r="427" spans="7:8" x14ac:dyDescent="0.25">
      <c r="G427" s="6" t="s">
        <v>1798</v>
      </c>
      <c r="H427" s="4">
        <v>4200</v>
      </c>
    </row>
    <row r="428" spans="7:8" x14ac:dyDescent="0.25">
      <c r="G428" s="6" t="s">
        <v>260</v>
      </c>
      <c r="H428" s="4">
        <v>130.75</v>
      </c>
    </row>
    <row r="429" spans="7:8" x14ac:dyDescent="0.25">
      <c r="G429" s="6" t="s">
        <v>628</v>
      </c>
      <c r="H429" s="4">
        <v>40.659999999999997</v>
      </c>
    </row>
    <row r="430" spans="7:8" x14ac:dyDescent="0.25">
      <c r="G430" s="6" t="s">
        <v>310</v>
      </c>
      <c r="H430" s="4">
        <v>15004.25</v>
      </c>
    </row>
    <row r="431" spans="7:8" x14ac:dyDescent="0.25">
      <c r="G431" s="6" t="s">
        <v>1186</v>
      </c>
      <c r="H431" s="4">
        <v>1200.32</v>
      </c>
    </row>
    <row r="432" spans="7:8" x14ac:dyDescent="0.25">
      <c r="G432" s="6" t="s">
        <v>42</v>
      </c>
      <c r="H432" s="4">
        <v>1200.32</v>
      </c>
    </row>
    <row r="433" spans="7:8" x14ac:dyDescent="0.25">
      <c r="G433" s="6" t="s">
        <v>1208</v>
      </c>
      <c r="H433" s="4">
        <v>4801.28</v>
      </c>
    </row>
    <row r="434" spans="7:8" x14ac:dyDescent="0.25">
      <c r="G434" s="6" t="s">
        <v>65</v>
      </c>
      <c r="H434" s="4">
        <v>2400.6799999999998</v>
      </c>
    </row>
    <row r="435" spans="7:8" x14ac:dyDescent="0.25">
      <c r="G435" s="6" t="s">
        <v>1192</v>
      </c>
      <c r="H435" s="4">
        <v>46.92</v>
      </c>
    </row>
    <row r="436" spans="7:8" x14ac:dyDescent="0.25">
      <c r="G436" s="6" t="s">
        <v>844</v>
      </c>
      <c r="H436" s="4">
        <v>40.659999999999997</v>
      </c>
    </row>
    <row r="437" spans="7:8" x14ac:dyDescent="0.25">
      <c r="G437" s="6" t="s">
        <v>346</v>
      </c>
      <c r="H437" s="4">
        <v>322.56</v>
      </c>
    </row>
    <row r="438" spans="7:8" x14ac:dyDescent="0.25">
      <c r="G438" s="6" t="s">
        <v>1306</v>
      </c>
      <c r="H438" s="4">
        <v>5.23</v>
      </c>
    </row>
    <row r="439" spans="7:8" x14ac:dyDescent="0.25">
      <c r="G439" s="6" t="s">
        <v>78</v>
      </c>
      <c r="H439" s="4">
        <v>7502</v>
      </c>
    </row>
    <row r="440" spans="7:8" x14ac:dyDescent="0.25">
      <c r="G440" s="6" t="s">
        <v>1970</v>
      </c>
      <c r="H440" s="4">
        <v>896</v>
      </c>
    </row>
    <row r="441" spans="7:8" x14ac:dyDescent="0.25">
      <c r="G441" s="6" t="s">
        <v>188</v>
      </c>
      <c r="H441" s="4">
        <v>187.68</v>
      </c>
    </row>
    <row r="442" spans="7:8" x14ac:dyDescent="0.25">
      <c r="G442" s="6" t="s">
        <v>1008</v>
      </c>
      <c r="H442" s="4">
        <v>15.15</v>
      </c>
    </row>
    <row r="443" spans="7:8" x14ac:dyDescent="0.25">
      <c r="G443" s="6" t="s">
        <v>764</v>
      </c>
      <c r="H443" s="4">
        <v>1200.32</v>
      </c>
    </row>
    <row r="444" spans="7:8" x14ac:dyDescent="0.25">
      <c r="G444" s="6" t="s">
        <v>616</v>
      </c>
      <c r="H444" s="4">
        <v>9602.7199999999993</v>
      </c>
    </row>
    <row r="445" spans="7:8" x14ac:dyDescent="0.25">
      <c r="G445" s="6" t="s">
        <v>1532</v>
      </c>
      <c r="H445" s="4">
        <v>4801.28</v>
      </c>
    </row>
    <row r="446" spans="7:8" x14ac:dyDescent="0.25">
      <c r="G446" s="6" t="s">
        <v>1518</v>
      </c>
      <c r="H446" s="4">
        <v>7502</v>
      </c>
    </row>
    <row r="447" spans="7:8" x14ac:dyDescent="0.25">
      <c r="G447" s="6" t="s">
        <v>1776</v>
      </c>
      <c r="H447" s="4">
        <v>322.56</v>
      </c>
    </row>
    <row r="448" spans="7:8" x14ac:dyDescent="0.25">
      <c r="G448" s="6" t="s">
        <v>452</v>
      </c>
      <c r="H448" s="4">
        <v>16800</v>
      </c>
    </row>
    <row r="449" spans="7:8" x14ac:dyDescent="0.25">
      <c r="G449" s="6" t="s">
        <v>262</v>
      </c>
      <c r="H449" s="4">
        <v>1200.32</v>
      </c>
    </row>
    <row r="450" spans="7:8" x14ac:dyDescent="0.25">
      <c r="G450" s="6" t="s">
        <v>910</v>
      </c>
      <c r="H450" s="4">
        <v>1200.32</v>
      </c>
    </row>
    <row r="451" spans="7:8" x14ac:dyDescent="0.25">
      <c r="G451" s="6" t="s">
        <v>1994</v>
      </c>
      <c r="H451" s="4">
        <v>130.75</v>
      </c>
    </row>
    <row r="452" spans="7:8" x14ac:dyDescent="0.25">
      <c r="G452" s="6" t="s">
        <v>590</v>
      </c>
      <c r="H452" s="4">
        <v>143.36000000000001</v>
      </c>
    </row>
    <row r="453" spans="7:8" x14ac:dyDescent="0.25">
      <c r="G453" s="6" t="s">
        <v>1764</v>
      </c>
      <c r="H453" s="4">
        <v>1200.32</v>
      </c>
    </row>
    <row r="454" spans="7:8" x14ac:dyDescent="0.25">
      <c r="G454" s="6" t="s">
        <v>544</v>
      </c>
      <c r="H454" s="4">
        <v>60.6</v>
      </c>
    </row>
    <row r="455" spans="7:8" x14ac:dyDescent="0.25">
      <c r="G455" s="6" t="s">
        <v>98</v>
      </c>
      <c r="H455" s="4">
        <v>15004.25</v>
      </c>
    </row>
    <row r="456" spans="7:8" x14ac:dyDescent="0.25">
      <c r="G456" s="6" t="s">
        <v>294</v>
      </c>
      <c r="H456" s="4">
        <v>46.92</v>
      </c>
    </row>
    <row r="457" spans="7:8" x14ac:dyDescent="0.25">
      <c r="G457" s="6" t="s">
        <v>1202</v>
      </c>
      <c r="H457" s="4">
        <v>650.55999999999995</v>
      </c>
    </row>
    <row r="458" spans="7:8" x14ac:dyDescent="0.25">
      <c r="G458" s="6" t="s">
        <v>364</v>
      </c>
      <c r="H458" s="4">
        <v>4801.28</v>
      </c>
    </row>
    <row r="459" spans="7:8" x14ac:dyDescent="0.25">
      <c r="G459" s="6" t="s">
        <v>276</v>
      </c>
      <c r="H459" s="4">
        <v>20.92</v>
      </c>
    </row>
    <row r="460" spans="7:8" x14ac:dyDescent="0.25">
      <c r="G460" s="6" t="s">
        <v>428</v>
      </c>
      <c r="H460" s="4">
        <v>322.56</v>
      </c>
    </row>
    <row r="461" spans="7:8" x14ac:dyDescent="0.25">
      <c r="G461" s="6" t="s">
        <v>956</v>
      </c>
      <c r="H461" s="4">
        <v>7502</v>
      </c>
    </row>
    <row r="462" spans="7:8" x14ac:dyDescent="0.25">
      <c r="G462" s="6" t="s">
        <v>584</v>
      </c>
      <c r="H462" s="4">
        <v>365.94</v>
      </c>
    </row>
    <row r="463" spans="7:8" x14ac:dyDescent="0.25">
      <c r="G463" s="6" t="s">
        <v>1384</v>
      </c>
      <c r="H463" s="4">
        <v>2400.6799999999998</v>
      </c>
    </row>
    <row r="464" spans="7:8" x14ac:dyDescent="0.25">
      <c r="G464" s="6" t="s">
        <v>842</v>
      </c>
      <c r="H464" s="4">
        <v>162.63999999999999</v>
      </c>
    </row>
    <row r="465" spans="7:8" x14ac:dyDescent="0.25">
      <c r="G465" s="6" t="s">
        <v>530</v>
      </c>
      <c r="H465" s="4">
        <v>47.07</v>
      </c>
    </row>
    <row r="466" spans="7:8" x14ac:dyDescent="0.25">
      <c r="G466" s="6" t="s">
        <v>90</v>
      </c>
      <c r="H466" s="4">
        <v>365.94</v>
      </c>
    </row>
    <row r="467" spans="7:8" x14ac:dyDescent="0.25">
      <c r="G467" s="6" t="s">
        <v>1856</v>
      </c>
      <c r="H467" s="4">
        <v>130.75</v>
      </c>
    </row>
    <row r="468" spans="7:8" x14ac:dyDescent="0.25">
      <c r="G468" s="6" t="s">
        <v>332</v>
      </c>
      <c r="H468" s="4">
        <v>4801.28</v>
      </c>
    </row>
    <row r="469" spans="7:8" x14ac:dyDescent="0.25">
      <c r="G469" s="6" t="s">
        <v>588</v>
      </c>
      <c r="H469" s="4">
        <v>60.6</v>
      </c>
    </row>
    <row r="470" spans="7:8" x14ac:dyDescent="0.25">
      <c r="G470" s="6" t="s">
        <v>856</v>
      </c>
      <c r="H470" s="4">
        <v>242.4</v>
      </c>
    </row>
    <row r="471" spans="7:8" x14ac:dyDescent="0.25">
      <c r="G471" s="6" t="s">
        <v>688</v>
      </c>
      <c r="H471" s="4">
        <v>7502</v>
      </c>
    </row>
    <row r="472" spans="7:8" x14ac:dyDescent="0.25">
      <c r="G472" s="6" t="s">
        <v>670</v>
      </c>
      <c r="H472" s="4">
        <v>322.56</v>
      </c>
    </row>
    <row r="473" spans="7:8" x14ac:dyDescent="0.25">
      <c r="G473" s="6" t="s">
        <v>1460</v>
      </c>
      <c r="H473" s="4">
        <v>1200.32</v>
      </c>
    </row>
    <row r="474" spans="7:8" x14ac:dyDescent="0.25">
      <c r="G474" s="6" t="s">
        <v>100</v>
      </c>
      <c r="H474" s="4">
        <v>1200.32</v>
      </c>
    </row>
    <row r="475" spans="7:8" x14ac:dyDescent="0.25">
      <c r="G475" s="6" t="s">
        <v>786</v>
      </c>
      <c r="H475" s="4">
        <v>9450</v>
      </c>
    </row>
    <row r="476" spans="7:8" x14ac:dyDescent="0.25">
      <c r="G476" s="6" t="s">
        <v>356</v>
      </c>
      <c r="H476" s="4">
        <v>35.840000000000003</v>
      </c>
    </row>
    <row r="477" spans="7:8" x14ac:dyDescent="0.25">
      <c r="G477" s="6" t="s">
        <v>156</v>
      </c>
      <c r="H477" s="4">
        <v>1200.32</v>
      </c>
    </row>
    <row r="478" spans="7:8" x14ac:dyDescent="0.25">
      <c r="G478" s="6" t="s">
        <v>772</v>
      </c>
      <c r="H478" s="4">
        <v>2700.7200000000003</v>
      </c>
    </row>
    <row r="479" spans="7:8" x14ac:dyDescent="0.25">
      <c r="G479" s="6" t="s">
        <v>1650</v>
      </c>
      <c r="H479" s="4">
        <v>40.659999999999997</v>
      </c>
    </row>
    <row r="480" spans="7:8" x14ac:dyDescent="0.25">
      <c r="G480" s="6" t="s">
        <v>1516</v>
      </c>
      <c r="H480" s="4">
        <v>1016.5</v>
      </c>
    </row>
    <row r="481" spans="7:8" x14ac:dyDescent="0.25">
      <c r="G481" s="6" t="s">
        <v>418</v>
      </c>
      <c r="H481" s="4">
        <v>4200</v>
      </c>
    </row>
    <row r="482" spans="7:8" x14ac:dyDescent="0.25">
      <c r="G482" s="6" t="s">
        <v>1600</v>
      </c>
      <c r="H482" s="4">
        <v>15004.25</v>
      </c>
    </row>
    <row r="483" spans="7:8" x14ac:dyDescent="0.25">
      <c r="G483" s="6" t="s">
        <v>182</v>
      </c>
      <c r="H483" s="4">
        <v>365.94</v>
      </c>
    </row>
    <row r="484" spans="7:8" x14ac:dyDescent="0.25">
      <c r="G484" s="6" t="s">
        <v>1224</v>
      </c>
      <c r="H484" s="4">
        <v>83.68</v>
      </c>
    </row>
    <row r="485" spans="7:8" x14ac:dyDescent="0.25">
      <c r="G485" s="6" t="s">
        <v>862</v>
      </c>
      <c r="H485" s="4">
        <v>136.35000000000002</v>
      </c>
    </row>
    <row r="486" spans="7:8" x14ac:dyDescent="0.25">
      <c r="G486" s="6" t="s">
        <v>232</v>
      </c>
      <c r="H486" s="4">
        <v>365.94</v>
      </c>
    </row>
    <row r="487" spans="7:8" x14ac:dyDescent="0.25">
      <c r="G487" s="6" t="s">
        <v>646</v>
      </c>
      <c r="H487" s="4">
        <v>300.08</v>
      </c>
    </row>
    <row r="488" spans="7:8" x14ac:dyDescent="0.25">
      <c r="G488" s="6" t="s">
        <v>1434</v>
      </c>
      <c r="H488" s="4">
        <v>1200.32</v>
      </c>
    </row>
    <row r="489" spans="7:8" x14ac:dyDescent="0.25">
      <c r="G489" s="6" t="s">
        <v>1430</v>
      </c>
      <c r="H489" s="4">
        <v>300.08</v>
      </c>
    </row>
    <row r="490" spans="7:8" x14ac:dyDescent="0.25">
      <c r="G490" s="6" t="s">
        <v>1966</v>
      </c>
      <c r="H490" s="4">
        <v>573.44000000000005</v>
      </c>
    </row>
    <row r="491" spans="7:8" x14ac:dyDescent="0.25">
      <c r="G491" s="6" t="s">
        <v>2008</v>
      </c>
      <c r="H491" s="4">
        <v>130.75</v>
      </c>
    </row>
    <row r="492" spans="7:8" x14ac:dyDescent="0.25">
      <c r="G492" s="6" t="s">
        <v>274</v>
      </c>
      <c r="H492" s="4">
        <v>1200.32</v>
      </c>
    </row>
    <row r="493" spans="7:8" x14ac:dyDescent="0.25">
      <c r="G493" s="6" t="s">
        <v>1244</v>
      </c>
      <c r="H493" s="4">
        <v>136.35000000000002</v>
      </c>
    </row>
    <row r="494" spans="7:8" x14ac:dyDescent="0.25">
      <c r="G494" s="6" t="s">
        <v>1512</v>
      </c>
      <c r="H494" s="4">
        <v>300.08</v>
      </c>
    </row>
    <row r="495" spans="7:8" x14ac:dyDescent="0.25">
      <c r="G495" s="6" t="s">
        <v>1294</v>
      </c>
      <c r="H495" s="4">
        <v>83.68</v>
      </c>
    </row>
    <row r="496" spans="7:8" x14ac:dyDescent="0.25">
      <c r="G496" s="6" t="s">
        <v>16</v>
      </c>
      <c r="H496" s="4">
        <v>136.35000000000002</v>
      </c>
    </row>
    <row r="497" spans="7:8" x14ac:dyDescent="0.25">
      <c r="G497" s="6" t="s">
        <v>1502</v>
      </c>
      <c r="H497" s="4">
        <v>322.56</v>
      </c>
    </row>
    <row r="498" spans="7:8" x14ac:dyDescent="0.25">
      <c r="G498" s="6" t="s">
        <v>404</v>
      </c>
      <c r="H498" s="4">
        <v>300.08</v>
      </c>
    </row>
    <row r="499" spans="7:8" x14ac:dyDescent="0.25">
      <c r="G499" s="6" t="s">
        <v>900</v>
      </c>
      <c r="H499" s="4">
        <v>143.36000000000001</v>
      </c>
    </row>
    <row r="500" spans="7:8" x14ac:dyDescent="0.25">
      <c r="G500" s="6" t="s">
        <v>1946</v>
      </c>
      <c r="H500" s="4">
        <v>20.92</v>
      </c>
    </row>
    <row r="501" spans="7:8" x14ac:dyDescent="0.25">
      <c r="G501" s="6" t="s">
        <v>1328</v>
      </c>
      <c r="H501" s="4">
        <v>40.659999999999997</v>
      </c>
    </row>
    <row r="502" spans="7:8" x14ac:dyDescent="0.25">
      <c r="G502" s="6" t="s">
        <v>840</v>
      </c>
      <c r="H502" s="4">
        <v>162.63999999999999</v>
      </c>
    </row>
    <row r="503" spans="7:8" x14ac:dyDescent="0.25">
      <c r="G503" s="6" t="s">
        <v>71</v>
      </c>
      <c r="H503" s="4">
        <v>143.36000000000001</v>
      </c>
    </row>
    <row r="504" spans="7:8" x14ac:dyDescent="0.25">
      <c r="G504" s="6" t="s">
        <v>1558</v>
      </c>
      <c r="H504" s="4">
        <v>2700.7200000000003</v>
      </c>
    </row>
    <row r="505" spans="7:8" x14ac:dyDescent="0.25">
      <c r="G505" s="6" t="s">
        <v>80</v>
      </c>
      <c r="H505" s="4">
        <v>83.68</v>
      </c>
    </row>
    <row r="506" spans="7:8" x14ac:dyDescent="0.25">
      <c r="G506" s="6" t="s">
        <v>922</v>
      </c>
      <c r="H506" s="4">
        <v>7502</v>
      </c>
    </row>
    <row r="507" spans="7:8" x14ac:dyDescent="0.25">
      <c r="G507" s="6" t="s">
        <v>1722</v>
      </c>
      <c r="H507" s="4">
        <v>300.08</v>
      </c>
    </row>
    <row r="508" spans="7:8" x14ac:dyDescent="0.25">
      <c r="G508" s="6" t="s">
        <v>176</v>
      </c>
      <c r="H508" s="4">
        <v>1200.32</v>
      </c>
    </row>
    <row r="509" spans="7:8" x14ac:dyDescent="0.25">
      <c r="G509" s="6" t="s">
        <v>234</v>
      </c>
      <c r="H509" s="4">
        <v>2400.6799999999998</v>
      </c>
    </row>
    <row r="510" spans="7:8" x14ac:dyDescent="0.25">
      <c r="G510" s="6" t="s">
        <v>1196</v>
      </c>
      <c r="H510" s="4">
        <v>300.08</v>
      </c>
    </row>
    <row r="511" spans="7:8" x14ac:dyDescent="0.25">
      <c r="G511" s="6" t="s">
        <v>1138</v>
      </c>
      <c r="H511" s="4">
        <v>365.94</v>
      </c>
    </row>
    <row r="512" spans="7:8" x14ac:dyDescent="0.25">
      <c r="G512" s="6" t="s">
        <v>360</v>
      </c>
      <c r="H512" s="4">
        <v>2700.7200000000003</v>
      </c>
    </row>
    <row r="513" spans="7:8" x14ac:dyDescent="0.25">
      <c r="G513" s="6" t="s">
        <v>634</v>
      </c>
      <c r="H513" s="4">
        <v>9602.7199999999993</v>
      </c>
    </row>
    <row r="514" spans="7:8" x14ac:dyDescent="0.25">
      <c r="G514" s="6" t="s">
        <v>280</v>
      </c>
      <c r="H514" s="4">
        <v>130.75</v>
      </c>
    </row>
    <row r="515" spans="7:8" x14ac:dyDescent="0.25">
      <c r="G515" s="6" t="s">
        <v>552</v>
      </c>
      <c r="H515" s="4">
        <v>1200.32</v>
      </c>
    </row>
    <row r="516" spans="7:8" x14ac:dyDescent="0.25">
      <c r="G516" s="6" t="s">
        <v>924</v>
      </c>
      <c r="H516" s="4">
        <v>1200.32</v>
      </c>
    </row>
    <row r="517" spans="7:8" x14ac:dyDescent="0.25">
      <c r="G517" s="6" t="s">
        <v>734</v>
      </c>
      <c r="H517" s="4">
        <v>1200.32</v>
      </c>
    </row>
    <row r="518" spans="7:8" x14ac:dyDescent="0.25">
      <c r="G518" s="6" t="s">
        <v>1864</v>
      </c>
      <c r="H518" s="4">
        <v>4801.28</v>
      </c>
    </row>
    <row r="519" spans="7:8" x14ac:dyDescent="0.25">
      <c r="G519" s="6" t="s">
        <v>1356</v>
      </c>
      <c r="H519" s="4">
        <v>11.73</v>
      </c>
    </row>
    <row r="520" spans="7:8" x14ac:dyDescent="0.25">
      <c r="G520" s="6" t="s">
        <v>1666</v>
      </c>
      <c r="H520" s="4">
        <v>46.92</v>
      </c>
    </row>
    <row r="521" spans="7:8" x14ac:dyDescent="0.25">
      <c r="G521" s="6" t="s">
        <v>2020</v>
      </c>
      <c r="H521" s="4">
        <v>1200.32</v>
      </c>
    </row>
    <row r="522" spans="7:8" x14ac:dyDescent="0.25">
      <c r="G522" s="6" t="s">
        <v>1862</v>
      </c>
      <c r="H522" s="4">
        <v>600.16999999999996</v>
      </c>
    </row>
    <row r="523" spans="7:8" x14ac:dyDescent="0.25">
      <c r="G523" s="6" t="s">
        <v>1392</v>
      </c>
      <c r="H523" s="4">
        <v>4801.28</v>
      </c>
    </row>
    <row r="524" spans="7:8" x14ac:dyDescent="0.25">
      <c r="G524" s="6" t="s">
        <v>1758</v>
      </c>
      <c r="H524" s="4">
        <v>105.57</v>
      </c>
    </row>
    <row r="525" spans="7:8" x14ac:dyDescent="0.25">
      <c r="G525" s="6" t="s">
        <v>642</v>
      </c>
      <c r="H525" s="4">
        <v>650.55999999999995</v>
      </c>
    </row>
    <row r="526" spans="7:8" x14ac:dyDescent="0.25">
      <c r="G526" s="6" t="s">
        <v>660</v>
      </c>
      <c r="H526" s="4">
        <v>322.56</v>
      </c>
    </row>
    <row r="527" spans="7:8" x14ac:dyDescent="0.25">
      <c r="G527" s="6" t="s">
        <v>1096</v>
      </c>
      <c r="H527" s="4">
        <v>1200.32</v>
      </c>
    </row>
    <row r="528" spans="7:8" x14ac:dyDescent="0.25">
      <c r="G528" s="6" t="s">
        <v>1052</v>
      </c>
      <c r="H528" s="4">
        <v>40.659999999999997</v>
      </c>
    </row>
    <row r="529" spans="7:8" x14ac:dyDescent="0.25">
      <c r="G529" s="6" t="s">
        <v>394</v>
      </c>
      <c r="H529" s="4">
        <v>4801.28</v>
      </c>
    </row>
    <row r="530" spans="7:8" x14ac:dyDescent="0.25">
      <c r="G530" s="6" t="s">
        <v>1694</v>
      </c>
      <c r="H530" s="4">
        <v>20.92</v>
      </c>
    </row>
    <row r="531" spans="7:8" x14ac:dyDescent="0.25">
      <c r="G531" s="6" t="s">
        <v>604</v>
      </c>
      <c r="H531" s="4">
        <v>7502</v>
      </c>
    </row>
    <row r="532" spans="7:8" x14ac:dyDescent="0.25">
      <c r="G532" s="6" t="s">
        <v>1632</v>
      </c>
      <c r="H532" s="4">
        <v>5.23</v>
      </c>
    </row>
    <row r="533" spans="7:8" x14ac:dyDescent="0.25">
      <c r="G533" s="6" t="s">
        <v>1698</v>
      </c>
      <c r="H533" s="4">
        <v>20.92</v>
      </c>
    </row>
    <row r="534" spans="7:8" x14ac:dyDescent="0.25">
      <c r="G534" s="6" t="s">
        <v>574</v>
      </c>
      <c r="H534" s="4">
        <v>40.659999999999997</v>
      </c>
    </row>
    <row r="535" spans="7:8" x14ac:dyDescent="0.25">
      <c r="G535" s="6" t="s">
        <v>770</v>
      </c>
      <c r="H535" s="4">
        <v>47.07</v>
      </c>
    </row>
    <row r="536" spans="7:8" x14ac:dyDescent="0.25">
      <c r="G536" s="6" t="s">
        <v>1950</v>
      </c>
      <c r="H536" s="4">
        <v>16800</v>
      </c>
    </row>
    <row r="537" spans="7:8" x14ac:dyDescent="0.25">
      <c r="G537" s="6" t="s">
        <v>1988</v>
      </c>
      <c r="H537" s="4">
        <v>83.68</v>
      </c>
    </row>
    <row r="538" spans="7:8" x14ac:dyDescent="0.25">
      <c r="G538" s="6" t="s">
        <v>566</v>
      </c>
      <c r="H538" s="4">
        <v>7502</v>
      </c>
    </row>
    <row r="539" spans="7:8" x14ac:dyDescent="0.25">
      <c r="G539" s="6" t="s">
        <v>1770</v>
      </c>
      <c r="H539" s="4">
        <v>600.16999999999996</v>
      </c>
    </row>
    <row r="540" spans="7:8" x14ac:dyDescent="0.25">
      <c r="G540" s="6" t="s">
        <v>1160</v>
      </c>
      <c r="H540" s="4">
        <v>573.44000000000005</v>
      </c>
    </row>
    <row r="541" spans="7:8" x14ac:dyDescent="0.25">
      <c r="G541" s="6" t="s">
        <v>408</v>
      </c>
      <c r="H541" s="4">
        <v>47.07</v>
      </c>
    </row>
    <row r="542" spans="7:8" x14ac:dyDescent="0.25">
      <c r="G542" s="6" t="s">
        <v>954</v>
      </c>
      <c r="H542" s="4">
        <v>300.08</v>
      </c>
    </row>
    <row r="543" spans="7:8" x14ac:dyDescent="0.25">
      <c r="G543" s="6" t="s">
        <v>1622</v>
      </c>
      <c r="H543" s="4">
        <v>4801.28</v>
      </c>
    </row>
    <row r="544" spans="7:8" x14ac:dyDescent="0.25">
      <c r="G544" s="6" t="s">
        <v>1952</v>
      </c>
      <c r="H544" s="4">
        <v>600.16999999999996</v>
      </c>
    </row>
    <row r="545" spans="7:8" x14ac:dyDescent="0.25">
      <c r="G545" s="6" t="s">
        <v>300</v>
      </c>
      <c r="H545" s="4">
        <v>365.94</v>
      </c>
    </row>
    <row r="546" spans="7:8" x14ac:dyDescent="0.25">
      <c r="G546" s="6" t="s">
        <v>1174</v>
      </c>
      <c r="H546" s="4">
        <v>365.94</v>
      </c>
    </row>
    <row r="547" spans="7:8" x14ac:dyDescent="0.25">
      <c r="G547" s="6" t="s">
        <v>430</v>
      </c>
      <c r="H547" s="4">
        <v>1016.5</v>
      </c>
    </row>
    <row r="548" spans="7:8" x14ac:dyDescent="0.25">
      <c r="G548" s="6" t="s">
        <v>810</v>
      </c>
      <c r="H548" s="4">
        <v>7502</v>
      </c>
    </row>
    <row r="549" spans="7:8" x14ac:dyDescent="0.25">
      <c r="G549" s="6" t="s">
        <v>278</v>
      </c>
      <c r="H549" s="4">
        <v>40.659999999999997</v>
      </c>
    </row>
    <row r="550" spans="7:8" x14ac:dyDescent="0.25">
      <c r="G550" s="6" t="s">
        <v>1942</v>
      </c>
      <c r="H550" s="4">
        <v>5401.53</v>
      </c>
    </row>
    <row r="551" spans="7:8" x14ac:dyDescent="0.25">
      <c r="G551" s="6" t="s">
        <v>996</v>
      </c>
      <c r="H551" s="4">
        <v>300.08</v>
      </c>
    </row>
    <row r="552" spans="7:8" x14ac:dyDescent="0.25">
      <c r="G552" s="6" t="s">
        <v>890</v>
      </c>
      <c r="H552" s="4">
        <v>365.94</v>
      </c>
    </row>
    <row r="553" spans="7:8" x14ac:dyDescent="0.25">
      <c r="G553" s="6" t="s">
        <v>120</v>
      </c>
      <c r="H553" s="4">
        <v>300.08</v>
      </c>
    </row>
    <row r="554" spans="7:8" x14ac:dyDescent="0.25">
      <c r="G554" s="6" t="s">
        <v>1894</v>
      </c>
      <c r="H554" s="4">
        <v>2700.7200000000003</v>
      </c>
    </row>
    <row r="555" spans="7:8" x14ac:dyDescent="0.25">
      <c r="G555" s="6" t="s">
        <v>474</v>
      </c>
      <c r="H555" s="4">
        <v>46.92</v>
      </c>
    </row>
    <row r="556" spans="7:8" x14ac:dyDescent="0.25">
      <c r="G556" s="6" t="s">
        <v>1474</v>
      </c>
      <c r="H556" s="4">
        <v>136.35000000000002</v>
      </c>
    </row>
    <row r="557" spans="7:8" x14ac:dyDescent="0.25">
      <c r="G557" s="6" t="s">
        <v>488</v>
      </c>
      <c r="H557" s="4">
        <v>1200.32</v>
      </c>
    </row>
    <row r="558" spans="7:8" x14ac:dyDescent="0.25">
      <c r="G558" s="6" t="s">
        <v>1990</v>
      </c>
      <c r="H558" s="4">
        <v>40.659999999999997</v>
      </c>
    </row>
    <row r="559" spans="7:8" x14ac:dyDescent="0.25">
      <c r="G559" s="6" t="s">
        <v>1604</v>
      </c>
      <c r="H559" s="4">
        <v>46.92</v>
      </c>
    </row>
    <row r="560" spans="7:8" x14ac:dyDescent="0.25">
      <c r="G560" s="6" t="s">
        <v>522</v>
      </c>
      <c r="H560" s="4">
        <v>650.55999999999995</v>
      </c>
    </row>
    <row r="561" spans="7:8" x14ac:dyDescent="0.25">
      <c r="G561" s="6" t="s">
        <v>1886</v>
      </c>
      <c r="H561" s="4">
        <v>1016.5</v>
      </c>
    </row>
    <row r="562" spans="7:8" x14ac:dyDescent="0.25">
      <c r="G562" s="6" t="s">
        <v>820</v>
      </c>
      <c r="H562" s="4">
        <v>136.35000000000002</v>
      </c>
    </row>
    <row r="563" spans="7:8" x14ac:dyDescent="0.25">
      <c r="G563" s="6" t="s">
        <v>586</v>
      </c>
      <c r="H563" s="4">
        <v>47.07</v>
      </c>
    </row>
    <row r="564" spans="7:8" x14ac:dyDescent="0.25">
      <c r="G564" s="6" t="s">
        <v>114</v>
      </c>
      <c r="H564" s="4">
        <v>15004.25</v>
      </c>
    </row>
    <row r="565" spans="7:8" x14ac:dyDescent="0.25">
      <c r="G565" s="6" t="s">
        <v>1000</v>
      </c>
      <c r="H565" s="4">
        <v>4801.28</v>
      </c>
    </row>
    <row r="566" spans="7:8" x14ac:dyDescent="0.25">
      <c r="G566" s="6" t="s">
        <v>398</v>
      </c>
      <c r="H566" s="4">
        <v>1200.32</v>
      </c>
    </row>
    <row r="567" spans="7:8" x14ac:dyDescent="0.25">
      <c r="G567" s="6" t="s">
        <v>668</v>
      </c>
      <c r="H567" s="4">
        <v>5.23</v>
      </c>
    </row>
    <row r="568" spans="7:8" x14ac:dyDescent="0.25">
      <c r="G568" s="6" t="s">
        <v>1982</v>
      </c>
      <c r="H568" s="4">
        <v>600.16999999999996</v>
      </c>
    </row>
    <row r="569" spans="7:8" x14ac:dyDescent="0.25">
      <c r="G569" s="6" t="s">
        <v>784</v>
      </c>
      <c r="H569" s="4">
        <v>83.68</v>
      </c>
    </row>
    <row r="570" spans="7:8" x14ac:dyDescent="0.25">
      <c r="G570" s="6" t="s">
        <v>268</v>
      </c>
      <c r="H570" s="4">
        <v>130.75</v>
      </c>
    </row>
    <row r="571" spans="7:8" x14ac:dyDescent="0.25">
      <c r="G571" s="6" t="s">
        <v>748</v>
      </c>
      <c r="H571" s="4">
        <v>365.94</v>
      </c>
    </row>
    <row r="572" spans="7:8" x14ac:dyDescent="0.25">
      <c r="G572" s="6" t="s">
        <v>846</v>
      </c>
      <c r="H572" s="4">
        <v>5401.53</v>
      </c>
    </row>
    <row r="573" spans="7:8" x14ac:dyDescent="0.25">
      <c r="G573" s="6" t="s">
        <v>1276</v>
      </c>
      <c r="H573" s="4">
        <v>4801.28</v>
      </c>
    </row>
    <row r="574" spans="7:8" x14ac:dyDescent="0.25">
      <c r="G574" s="6" t="s">
        <v>1508</v>
      </c>
      <c r="H574" s="4">
        <v>143.36000000000001</v>
      </c>
    </row>
    <row r="575" spans="7:8" x14ac:dyDescent="0.25">
      <c r="G575" s="6" t="s">
        <v>716</v>
      </c>
      <c r="H575" s="4">
        <v>1200.32</v>
      </c>
    </row>
    <row r="576" spans="7:8" x14ac:dyDescent="0.25">
      <c r="G576" s="6" t="s">
        <v>1358</v>
      </c>
      <c r="H576" s="4">
        <v>7502</v>
      </c>
    </row>
    <row r="577" spans="7:8" x14ac:dyDescent="0.25">
      <c r="G577" s="6" t="s">
        <v>282</v>
      </c>
      <c r="H577" s="4">
        <v>9602.7199999999993</v>
      </c>
    </row>
    <row r="578" spans="7:8" x14ac:dyDescent="0.25">
      <c r="G578" s="6" t="s">
        <v>1548</v>
      </c>
      <c r="H578" s="4">
        <v>1200.32</v>
      </c>
    </row>
    <row r="579" spans="7:8" x14ac:dyDescent="0.25">
      <c r="G579" s="6" t="s">
        <v>400</v>
      </c>
      <c r="H579" s="4">
        <v>896</v>
      </c>
    </row>
    <row r="580" spans="7:8" x14ac:dyDescent="0.25">
      <c r="G580" s="6" t="s">
        <v>272</v>
      </c>
      <c r="H580" s="4">
        <v>322.56</v>
      </c>
    </row>
    <row r="581" spans="7:8" x14ac:dyDescent="0.25">
      <c r="G581" s="6" t="s">
        <v>58</v>
      </c>
      <c r="H581" s="4">
        <v>378.75</v>
      </c>
    </row>
    <row r="582" spans="7:8" x14ac:dyDescent="0.25">
      <c r="G582" s="6" t="s">
        <v>1682</v>
      </c>
      <c r="H582" s="4">
        <v>896</v>
      </c>
    </row>
    <row r="583" spans="7:8" x14ac:dyDescent="0.25">
      <c r="G583" s="6" t="s">
        <v>514</v>
      </c>
      <c r="H583" s="4">
        <v>143.36000000000001</v>
      </c>
    </row>
    <row r="584" spans="7:8" x14ac:dyDescent="0.25">
      <c r="G584" s="6" t="s">
        <v>1094</v>
      </c>
      <c r="H584" s="4">
        <v>136.35000000000002</v>
      </c>
    </row>
    <row r="585" spans="7:8" x14ac:dyDescent="0.25">
      <c r="G585" s="6" t="s">
        <v>380</v>
      </c>
      <c r="H585" s="4">
        <v>105.57</v>
      </c>
    </row>
    <row r="586" spans="7:8" x14ac:dyDescent="0.25">
      <c r="G586" s="6" t="s">
        <v>984</v>
      </c>
      <c r="H586" s="4">
        <v>1200.32</v>
      </c>
    </row>
    <row r="587" spans="7:8" x14ac:dyDescent="0.25">
      <c r="G587" s="6" t="s">
        <v>1934</v>
      </c>
      <c r="H587" s="4">
        <v>2400.6799999999998</v>
      </c>
    </row>
    <row r="588" spans="7:8" x14ac:dyDescent="0.25">
      <c r="G588" s="6" t="s">
        <v>548</v>
      </c>
      <c r="H588" s="4">
        <v>378.75</v>
      </c>
    </row>
    <row r="589" spans="7:8" x14ac:dyDescent="0.25">
      <c r="G589" s="6" t="s">
        <v>1338</v>
      </c>
      <c r="H589" s="4">
        <v>20.92</v>
      </c>
    </row>
    <row r="590" spans="7:8" x14ac:dyDescent="0.25">
      <c r="G590" s="6" t="s">
        <v>1402</v>
      </c>
      <c r="H590" s="4">
        <v>47.07</v>
      </c>
    </row>
    <row r="591" spans="7:8" x14ac:dyDescent="0.25">
      <c r="G591" s="6" t="s">
        <v>1996</v>
      </c>
      <c r="H591" s="4">
        <v>143.36000000000001</v>
      </c>
    </row>
    <row r="592" spans="7:8" x14ac:dyDescent="0.25">
      <c r="G592" s="6" t="s">
        <v>370</v>
      </c>
      <c r="H592" s="4">
        <v>300.08</v>
      </c>
    </row>
    <row r="593" spans="7:8" x14ac:dyDescent="0.25">
      <c r="G593" s="6" t="s">
        <v>180</v>
      </c>
      <c r="H593" s="4">
        <v>1050</v>
      </c>
    </row>
    <row r="594" spans="7:8" x14ac:dyDescent="0.25">
      <c r="G594" s="6" t="s">
        <v>746</v>
      </c>
      <c r="H594" s="4">
        <v>40.659999999999997</v>
      </c>
    </row>
    <row r="595" spans="7:8" x14ac:dyDescent="0.25">
      <c r="G595" s="6" t="s">
        <v>864</v>
      </c>
      <c r="H595" s="4">
        <v>300.08</v>
      </c>
    </row>
    <row r="596" spans="7:8" x14ac:dyDescent="0.25">
      <c r="G596" s="6" t="s">
        <v>144</v>
      </c>
      <c r="H596" s="4">
        <v>378.75</v>
      </c>
    </row>
    <row r="597" spans="7:8" x14ac:dyDescent="0.25">
      <c r="G597" s="6" t="s">
        <v>728</v>
      </c>
      <c r="H597" s="4">
        <v>2700.7200000000003</v>
      </c>
    </row>
    <row r="598" spans="7:8" x14ac:dyDescent="0.25">
      <c r="G598" s="6" t="s">
        <v>214</v>
      </c>
      <c r="H598" s="4">
        <v>47.07</v>
      </c>
    </row>
    <row r="599" spans="7:8" x14ac:dyDescent="0.25">
      <c r="G599" s="6" t="s">
        <v>29</v>
      </c>
      <c r="H599" s="4">
        <v>83.68</v>
      </c>
    </row>
    <row r="600" spans="7:8" hidden="1" x14ac:dyDescent="0.25">
      <c r="G600" s="6" t="s">
        <v>1572</v>
      </c>
      <c r="H600" s="4">
        <v>15004.25</v>
      </c>
    </row>
    <row r="601" spans="7:8" hidden="1" x14ac:dyDescent="0.25">
      <c r="G601" s="6" t="s">
        <v>1850</v>
      </c>
      <c r="H601" s="4">
        <v>136.35000000000002</v>
      </c>
    </row>
    <row r="602" spans="7:8" hidden="1" x14ac:dyDescent="0.25">
      <c r="G602" s="6" t="s">
        <v>1148</v>
      </c>
      <c r="H602" s="4">
        <v>15004.25</v>
      </c>
    </row>
    <row r="603" spans="7:8" hidden="1" x14ac:dyDescent="0.25">
      <c r="G603" s="6" t="s">
        <v>1020</v>
      </c>
      <c r="H603" s="4">
        <v>300.08</v>
      </c>
    </row>
    <row r="604" spans="7:8" x14ac:dyDescent="0.25">
      <c r="G604" s="6" t="s">
        <v>1712</v>
      </c>
      <c r="H604" s="4">
        <v>1200.32</v>
      </c>
    </row>
    <row r="605" spans="7:8" x14ac:dyDescent="0.25">
      <c r="G605" s="6" t="s">
        <v>1654</v>
      </c>
      <c r="H605" s="4">
        <v>322.56</v>
      </c>
    </row>
    <row r="606" spans="7:8" x14ac:dyDescent="0.25">
      <c r="G606" s="6" t="s">
        <v>832</v>
      </c>
      <c r="H606" s="4">
        <v>143.36000000000001</v>
      </c>
    </row>
    <row r="607" spans="7:8" x14ac:dyDescent="0.25">
      <c r="G607" s="6" t="s">
        <v>1134</v>
      </c>
      <c r="H607" s="4">
        <v>2700.7200000000003</v>
      </c>
    </row>
    <row r="608" spans="7:8" x14ac:dyDescent="0.25">
      <c r="G608" s="6" t="s">
        <v>1076</v>
      </c>
      <c r="H608" s="4">
        <v>293.25</v>
      </c>
    </row>
    <row r="609" spans="7:8" x14ac:dyDescent="0.25">
      <c r="G609" s="6" t="s">
        <v>228</v>
      </c>
      <c r="H609" s="4">
        <v>20.92</v>
      </c>
    </row>
    <row r="610" spans="7:8" x14ac:dyDescent="0.25">
      <c r="G610" s="6" t="s">
        <v>1464</v>
      </c>
      <c r="H610" s="4">
        <v>4801.28</v>
      </c>
    </row>
    <row r="611" spans="7:8" x14ac:dyDescent="0.25">
      <c r="G611" s="6" t="s">
        <v>580</v>
      </c>
      <c r="H611" s="4">
        <v>162.63999999999999</v>
      </c>
    </row>
    <row r="612" spans="7:8" x14ac:dyDescent="0.25">
      <c r="G612" s="6" t="s">
        <v>1320</v>
      </c>
      <c r="H612" s="4">
        <v>650.55999999999995</v>
      </c>
    </row>
    <row r="613" spans="7:8" x14ac:dyDescent="0.25">
      <c r="G613" s="6" t="s">
        <v>1470</v>
      </c>
      <c r="H613" s="4">
        <v>1050</v>
      </c>
    </row>
    <row r="614" spans="7:8" x14ac:dyDescent="0.25">
      <c r="G614" s="6" t="s">
        <v>1456</v>
      </c>
      <c r="H614" s="4">
        <v>143.36000000000001</v>
      </c>
    </row>
    <row r="615" spans="7:8" x14ac:dyDescent="0.25">
      <c r="G615" s="6" t="s">
        <v>158</v>
      </c>
      <c r="H615" s="4">
        <v>105.57</v>
      </c>
    </row>
    <row r="616" spans="7:8" x14ac:dyDescent="0.25">
      <c r="G616" s="6" t="s">
        <v>1342</v>
      </c>
      <c r="H616" s="4">
        <v>1016.5</v>
      </c>
    </row>
    <row r="617" spans="7:8" x14ac:dyDescent="0.25">
      <c r="G617" s="6" t="s">
        <v>1252</v>
      </c>
      <c r="H617" s="4">
        <v>293.25</v>
      </c>
    </row>
    <row r="618" spans="7:8" x14ac:dyDescent="0.25">
      <c r="G618" s="6" t="s">
        <v>1406</v>
      </c>
      <c r="H618" s="4">
        <v>573.44000000000005</v>
      </c>
    </row>
    <row r="619" spans="7:8" x14ac:dyDescent="0.25">
      <c r="G619" s="6" t="s">
        <v>918</v>
      </c>
      <c r="H619" s="4">
        <v>16800</v>
      </c>
    </row>
    <row r="620" spans="7:8" x14ac:dyDescent="0.25">
      <c r="G620" s="6" t="s">
        <v>1870</v>
      </c>
      <c r="H620" s="4">
        <v>365.94</v>
      </c>
    </row>
    <row r="621" spans="7:8" x14ac:dyDescent="0.25">
      <c r="G621" s="6" t="s">
        <v>1322</v>
      </c>
      <c r="H621" s="4">
        <v>1200.32</v>
      </c>
    </row>
    <row r="622" spans="7:8" x14ac:dyDescent="0.25">
      <c r="G622" s="6" t="s">
        <v>468</v>
      </c>
      <c r="H622" s="4">
        <v>300.08</v>
      </c>
    </row>
    <row r="623" spans="7:8" x14ac:dyDescent="0.25">
      <c r="G623" s="6" t="s">
        <v>1458</v>
      </c>
      <c r="H623" s="4">
        <v>15004.25</v>
      </c>
    </row>
    <row r="624" spans="7:8" x14ac:dyDescent="0.25">
      <c r="G624" s="6" t="s">
        <v>1066</v>
      </c>
      <c r="H624" s="4">
        <v>40.659999999999997</v>
      </c>
    </row>
    <row r="625" spans="7:8" x14ac:dyDescent="0.25">
      <c r="G625" s="6" t="s">
        <v>2022</v>
      </c>
      <c r="H625" s="4">
        <v>650.55999999999995</v>
      </c>
    </row>
    <row r="626" spans="7:8" x14ac:dyDescent="0.25">
      <c r="G626" s="6" t="s">
        <v>948</v>
      </c>
      <c r="H626" s="4">
        <v>83.68</v>
      </c>
    </row>
    <row r="627" spans="7:8" x14ac:dyDescent="0.25">
      <c r="G627" s="6" t="s">
        <v>126</v>
      </c>
      <c r="H627" s="4">
        <v>300.08</v>
      </c>
    </row>
    <row r="628" spans="7:8" x14ac:dyDescent="0.25">
      <c r="G628" s="6" t="s">
        <v>2016</v>
      </c>
      <c r="H628" s="4">
        <v>136.35000000000002</v>
      </c>
    </row>
    <row r="629" spans="7:8" x14ac:dyDescent="0.25">
      <c r="G629" s="6" t="s">
        <v>1702</v>
      </c>
      <c r="H629" s="4">
        <v>5401.53</v>
      </c>
    </row>
    <row r="630" spans="7:8" x14ac:dyDescent="0.25">
      <c r="G630" s="6" t="s">
        <v>1412</v>
      </c>
      <c r="H630" s="4">
        <v>1200.32</v>
      </c>
    </row>
    <row r="631" spans="7:8" x14ac:dyDescent="0.25">
      <c r="G631" s="6" t="s">
        <v>940</v>
      </c>
      <c r="H631" s="4">
        <v>35.840000000000003</v>
      </c>
    </row>
    <row r="632" spans="7:8" x14ac:dyDescent="0.25">
      <c r="G632" s="6" t="s">
        <v>1816</v>
      </c>
      <c r="H632" s="4">
        <v>40.659999999999997</v>
      </c>
    </row>
    <row r="633" spans="7:8" x14ac:dyDescent="0.25">
      <c r="G633" s="6" t="s">
        <v>1634</v>
      </c>
      <c r="H633" s="4">
        <v>4801.28</v>
      </c>
    </row>
    <row r="634" spans="7:8" x14ac:dyDescent="0.25">
      <c r="G634" s="6" t="s">
        <v>1914</v>
      </c>
      <c r="H634" s="4">
        <v>300.08</v>
      </c>
    </row>
    <row r="635" spans="7:8" x14ac:dyDescent="0.25">
      <c r="G635" s="6" t="s">
        <v>242</v>
      </c>
      <c r="H635" s="4">
        <v>7502</v>
      </c>
    </row>
    <row r="636" spans="7:8" x14ac:dyDescent="0.25">
      <c r="G636" s="6" t="s">
        <v>2012</v>
      </c>
      <c r="H636" s="4">
        <v>4801.28</v>
      </c>
    </row>
    <row r="637" spans="7:8" x14ac:dyDescent="0.25">
      <c r="G637" s="6" t="s">
        <v>1178</v>
      </c>
      <c r="H637" s="4">
        <v>9602.7199999999993</v>
      </c>
    </row>
    <row r="638" spans="7:8" x14ac:dyDescent="0.25">
      <c r="G638" s="6" t="s">
        <v>1836</v>
      </c>
      <c r="H638" s="4">
        <v>300.08</v>
      </c>
    </row>
    <row r="639" spans="7:8" x14ac:dyDescent="0.25">
      <c r="G639" s="6" t="s">
        <v>450</v>
      </c>
      <c r="H639" s="4">
        <v>4801.28</v>
      </c>
    </row>
    <row r="640" spans="7:8" x14ac:dyDescent="0.25">
      <c r="G640" s="6" t="s">
        <v>680</v>
      </c>
      <c r="H640" s="4">
        <v>300.08</v>
      </c>
    </row>
    <row r="641" spans="7:8" x14ac:dyDescent="0.25">
      <c r="G641" s="6" t="s">
        <v>540</v>
      </c>
      <c r="H641" s="4">
        <v>650.55999999999995</v>
      </c>
    </row>
    <row r="642" spans="7:8" x14ac:dyDescent="0.25">
      <c r="G642" s="6" t="s">
        <v>284</v>
      </c>
      <c r="H642" s="4">
        <v>5401.53</v>
      </c>
    </row>
    <row r="643" spans="7:8" x14ac:dyDescent="0.25">
      <c r="G643" s="6" t="s">
        <v>196</v>
      </c>
      <c r="H643" s="4">
        <v>896</v>
      </c>
    </row>
    <row r="644" spans="7:8" x14ac:dyDescent="0.25">
      <c r="G644" s="6" t="s">
        <v>45</v>
      </c>
      <c r="H644" s="4">
        <v>105.57</v>
      </c>
    </row>
    <row r="645" spans="7:8" x14ac:dyDescent="0.25">
      <c r="G645" s="6" t="s">
        <v>1526</v>
      </c>
      <c r="H645" s="4">
        <v>4801.28</v>
      </c>
    </row>
    <row r="646" spans="7:8" x14ac:dyDescent="0.25">
      <c r="G646" s="6" t="s">
        <v>722</v>
      </c>
      <c r="H646" s="4">
        <v>293.25</v>
      </c>
    </row>
    <row r="647" spans="7:8" x14ac:dyDescent="0.25">
      <c r="G647" s="6" t="s">
        <v>794</v>
      </c>
      <c r="H647" s="4">
        <v>5.23</v>
      </c>
    </row>
    <row r="648" spans="7:8" x14ac:dyDescent="0.25">
      <c r="G648" s="6" t="s">
        <v>1362</v>
      </c>
      <c r="H648" s="4">
        <v>7502</v>
      </c>
    </row>
    <row r="649" spans="7:8" x14ac:dyDescent="0.25">
      <c r="G649" s="6" t="s">
        <v>934</v>
      </c>
      <c r="H649" s="4">
        <v>143.36000000000001</v>
      </c>
    </row>
    <row r="650" spans="7:8" x14ac:dyDescent="0.25">
      <c r="G650" s="6" t="s">
        <v>308</v>
      </c>
      <c r="H650" s="4">
        <v>650.55999999999995</v>
      </c>
    </row>
    <row r="651" spans="7:8" x14ac:dyDescent="0.25">
      <c r="G651" s="6" t="s">
        <v>1944</v>
      </c>
      <c r="H651" s="4">
        <v>322.56</v>
      </c>
    </row>
    <row r="652" spans="7:8" x14ac:dyDescent="0.25">
      <c r="G652" s="6" t="s">
        <v>266</v>
      </c>
      <c r="H652" s="4">
        <v>300.08</v>
      </c>
    </row>
    <row r="653" spans="7:8" x14ac:dyDescent="0.25">
      <c r="G653" s="6" t="s">
        <v>1566</v>
      </c>
      <c r="H653" s="4">
        <v>16800</v>
      </c>
    </row>
    <row r="654" spans="7:8" x14ac:dyDescent="0.25">
      <c r="G654" s="6" t="s">
        <v>766</v>
      </c>
      <c r="H654" s="4">
        <v>15.15</v>
      </c>
    </row>
    <row r="655" spans="7:8" x14ac:dyDescent="0.25">
      <c r="G655" s="6" t="s">
        <v>1936</v>
      </c>
      <c r="H655" s="4">
        <v>15004.25</v>
      </c>
    </row>
    <row r="656" spans="7:8" x14ac:dyDescent="0.25">
      <c r="G656" s="6" t="s">
        <v>758</v>
      </c>
      <c r="H656" s="4">
        <v>162.63999999999999</v>
      </c>
    </row>
    <row r="657" spans="7:8" x14ac:dyDescent="0.25">
      <c r="G657" s="6" t="s">
        <v>1044</v>
      </c>
      <c r="H657" s="4">
        <v>4801.28</v>
      </c>
    </row>
    <row r="658" spans="7:8" x14ac:dyDescent="0.25">
      <c r="G658" s="6" t="s">
        <v>1330</v>
      </c>
      <c r="H658" s="4">
        <v>105.57</v>
      </c>
    </row>
    <row r="659" spans="7:8" x14ac:dyDescent="0.25">
      <c r="G659" s="6" t="s">
        <v>37</v>
      </c>
      <c r="H659" s="4">
        <v>600.16999999999996</v>
      </c>
    </row>
    <row r="660" spans="7:8" x14ac:dyDescent="0.25">
      <c r="G660" s="6" t="s">
        <v>756</v>
      </c>
      <c r="H660" s="4">
        <v>130.75</v>
      </c>
    </row>
    <row r="661" spans="7:8" x14ac:dyDescent="0.25">
      <c r="G661" s="6" t="s">
        <v>712</v>
      </c>
      <c r="H661" s="4">
        <v>47.07</v>
      </c>
    </row>
    <row r="662" spans="7:8" x14ac:dyDescent="0.25">
      <c r="G662" s="6" t="s">
        <v>1484</v>
      </c>
      <c r="H662" s="4">
        <v>9602.7199999999993</v>
      </c>
    </row>
    <row r="663" spans="7:8" x14ac:dyDescent="0.25">
      <c r="G663" s="6" t="s">
        <v>754</v>
      </c>
      <c r="H663" s="4">
        <v>896</v>
      </c>
    </row>
    <row r="664" spans="7:8" x14ac:dyDescent="0.25">
      <c r="G664" s="6" t="s">
        <v>1752</v>
      </c>
      <c r="H664" s="4">
        <v>300.08</v>
      </c>
    </row>
    <row r="665" spans="7:8" x14ac:dyDescent="0.25">
      <c r="G665" s="6" t="s">
        <v>1626</v>
      </c>
      <c r="H665" s="4">
        <v>300.08</v>
      </c>
    </row>
    <row r="666" spans="7:8" x14ac:dyDescent="0.25">
      <c r="G666" s="6" t="s">
        <v>1372</v>
      </c>
      <c r="H666" s="4">
        <v>300.08</v>
      </c>
    </row>
    <row r="667" spans="7:8" x14ac:dyDescent="0.25">
      <c r="G667" s="6" t="s">
        <v>618</v>
      </c>
      <c r="H667" s="4">
        <v>5.23</v>
      </c>
    </row>
    <row r="668" spans="7:8" x14ac:dyDescent="0.25">
      <c r="G668" s="6" t="s">
        <v>192</v>
      </c>
      <c r="H668" s="4">
        <v>650.55999999999995</v>
      </c>
    </row>
    <row r="669" spans="7:8" x14ac:dyDescent="0.25">
      <c r="G669" s="6" t="s">
        <v>1184</v>
      </c>
      <c r="H669" s="4">
        <v>7502</v>
      </c>
    </row>
    <row r="670" spans="7:8" x14ac:dyDescent="0.25">
      <c r="G670" s="6" t="s">
        <v>750</v>
      </c>
      <c r="H670" s="4">
        <v>46.92</v>
      </c>
    </row>
    <row r="671" spans="7:8" x14ac:dyDescent="0.25">
      <c r="G671" s="6" t="s">
        <v>1444</v>
      </c>
      <c r="H671" s="4">
        <v>4801.28</v>
      </c>
    </row>
    <row r="672" spans="7:8" x14ac:dyDescent="0.25">
      <c r="G672" s="6" t="s">
        <v>704</v>
      </c>
      <c r="H672" s="4">
        <v>4801.28</v>
      </c>
    </row>
    <row r="673" spans="7:8" x14ac:dyDescent="0.25">
      <c r="G673" s="6" t="s">
        <v>1068</v>
      </c>
      <c r="H673" s="4">
        <v>365.94</v>
      </c>
    </row>
    <row r="674" spans="7:8" x14ac:dyDescent="0.25">
      <c r="G674" s="6" t="s">
        <v>998</v>
      </c>
      <c r="H674" s="4">
        <v>136.35000000000002</v>
      </c>
    </row>
    <row r="675" spans="7:8" x14ac:dyDescent="0.25">
      <c r="G675" s="6" t="s">
        <v>582</v>
      </c>
      <c r="H675" s="4">
        <v>20.92</v>
      </c>
    </row>
    <row r="676" spans="7:8" x14ac:dyDescent="0.25">
      <c r="G676" s="6" t="s">
        <v>534</v>
      </c>
      <c r="H676" s="4">
        <v>322.56</v>
      </c>
    </row>
    <row r="677" spans="7:8" x14ac:dyDescent="0.25">
      <c r="G677" s="6" t="s">
        <v>724</v>
      </c>
      <c r="H677" s="4">
        <v>20.92</v>
      </c>
    </row>
    <row r="678" spans="7:8" x14ac:dyDescent="0.25">
      <c r="G678" s="6" t="s">
        <v>1496</v>
      </c>
      <c r="H678" s="4">
        <v>105.57</v>
      </c>
    </row>
    <row r="679" spans="7:8" x14ac:dyDescent="0.25">
      <c r="G679" s="6" t="s">
        <v>1234</v>
      </c>
      <c r="H679" s="4">
        <v>187.68</v>
      </c>
    </row>
    <row r="680" spans="7:8" x14ac:dyDescent="0.25">
      <c r="G680" s="6" t="s">
        <v>1716</v>
      </c>
      <c r="H680" s="4">
        <v>2400.6799999999998</v>
      </c>
    </row>
    <row r="681" spans="7:8" x14ac:dyDescent="0.25">
      <c r="G681" s="6" t="s">
        <v>1546</v>
      </c>
      <c r="H681" s="4">
        <v>11.73</v>
      </c>
    </row>
    <row r="682" spans="7:8" x14ac:dyDescent="0.25">
      <c r="G682" s="6" t="s">
        <v>1420</v>
      </c>
      <c r="H682" s="4">
        <v>365.94</v>
      </c>
    </row>
    <row r="683" spans="7:8" x14ac:dyDescent="0.25">
      <c r="G683" s="6" t="s">
        <v>1476</v>
      </c>
      <c r="H683" s="4">
        <v>300.08</v>
      </c>
    </row>
    <row r="684" spans="7:8" x14ac:dyDescent="0.25">
      <c r="G684" s="6" t="s">
        <v>1232</v>
      </c>
      <c r="H684" s="4">
        <v>2400.6799999999998</v>
      </c>
    </row>
    <row r="685" spans="7:8" x14ac:dyDescent="0.25">
      <c r="G685" s="6" t="s">
        <v>1140</v>
      </c>
      <c r="H685" s="4">
        <v>130.75</v>
      </c>
    </row>
    <row r="686" spans="7:8" x14ac:dyDescent="0.25">
      <c r="G686" s="6" t="s">
        <v>438</v>
      </c>
      <c r="H686" s="4">
        <v>2700.7200000000003</v>
      </c>
    </row>
    <row r="687" spans="7:8" x14ac:dyDescent="0.25">
      <c r="G687" s="6" t="s">
        <v>316</v>
      </c>
      <c r="H687" s="4">
        <v>300.08</v>
      </c>
    </row>
    <row r="688" spans="7:8" x14ac:dyDescent="0.25">
      <c r="G688" s="6" t="s">
        <v>1668</v>
      </c>
      <c r="H688" s="4">
        <v>2400.6799999999998</v>
      </c>
    </row>
    <row r="689" spans="7:8" x14ac:dyDescent="0.25">
      <c r="G689" s="6" t="s">
        <v>1366</v>
      </c>
      <c r="H689" s="4">
        <v>2700.7200000000003</v>
      </c>
    </row>
    <row r="690" spans="7:8" x14ac:dyDescent="0.25">
      <c r="G690" s="6" t="s">
        <v>1060</v>
      </c>
      <c r="H690" s="4">
        <v>322.56</v>
      </c>
    </row>
    <row r="691" spans="7:8" x14ac:dyDescent="0.25">
      <c r="G691" s="6" t="s">
        <v>1012</v>
      </c>
      <c r="H691" s="4">
        <v>378.75</v>
      </c>
    </row>
    <row r="692" spans="7:8" x14ac:dyDescent="0.25">
      <c r="G692" s="6" t="s">
        <v>1578</v>
      </c>
      <c r="H692" s="4">
        <v>293.25</v>
      </c>
    </row>
    <row r="693" spans="7:8" x14ac:dyDescent="0.25">
      <c r="G693" s="6" t="s">
        <v>1016</v>
      </c>
      <c r="H693" s="4">
        <v>143.36000000000001</v>
      </c>
    </row>
    <row r="694" spans="7:8" x14ac:dyDescent="0.25">
      <c r="G694" s="6" t="s">
        <v>1842</v>
      </c>
      <c r="H694" s="4">
        <v>20.92</v>
      </c>
    </row>
    <row r="695" spans="7:8" x14ac:dyDescent="0.25">
      <c r="G695" s="6" t="s">
        <v>296</v>
      </c>
      <c r="H695" s="4">
        <v>2700.7200000000003</v>
      </c>
    </row>
    <row r="696" spans="7:8" x14ac:dyDescent="0.25">
      <c r="G696" s="6" t="s">
        <v>1150</v>
      </c>
      <c r="H696" s="4">
        <v>15.15</v>
      </c>
    </row>
    <row r="697" spans="7:8" x14ac:dyDescent="0.25">
      <c r="G697" s="6" t="s">
        <v>1642</v>
      </c>
      <c r="H697" s="4">
        <v>130.75</v>
      </c>
    </row>
    <row r="698" spans="7:8" x14ac:dyDescent="0.25">
      <c r="G698" s="6" t="s">
        <v>1588</v>
      </c>
      <c r="H698" s="4">
        <v>35.840000000000003</v>
      </c>
    </row>
    <row r="699" spans="7:8" x14ac:dyDescent="0.25">
      <c r="G699" s="6" t="s">
        <v>898</v>
      </c>
      <c r="H699" s="4">
        <v>378.75</v>
      </c>
    </row>
    <row r="700" spans="7:8" x14ac:dyDescent="0.25">
      <c r="G700" s="6" t="s">
        <v>980</v>
      </c>
      <c r="H700" s="4">
        <v>322.56</v>
      </c>
    </row>
    <row r="701" spans="7:8" x14ac:dyDescent="0.25">
      <c r="G701" s="6" t="s">
        <v>116</v>
      </c>
      <c r="H701" s="4">
        <v>83.68</v>
      </c>
    </row>
    <row r="702" spans="7:8" x14ac:dyDescent="0.25">
      <c r="G702" s="6" t="s">
        <v>374</v>
      </c>
      <c r="H702" s="4">
        <v>2700.7200000000003</v>
      </c>
    </row>
    <row r="703" spans="7:8" x14ac:dyDescent="0.25">
      <c r="G703" s="6" t="s">
        <v>292</v>
      </c>
      <c r="H703" s="4">
        <v>20.92</v>
      </c>
    </row>
    <row r="704" spans="7:8" x14ac:dyDescent="0.25">
      <c r="G704" s="6" t="s">
        <v>858</v>
      </c>
      <c r="H704" s="4">
        <v>896</v>
      </c>
    </row>
    <row r="705" spans="7:8" x14ac:dyDescent="0.25">
      <c r="G705" s="6" t="s">
        <v>1648</v>
      </c>
      <c r="H705" s="4">
        <v>20.92</v>
      </c>
    </row>
    <row r="706" spans="7:8" x14ac:dyDescent="0.25">
      <c r="G706" s="6" t="s">
        <v>926</v>
      </c>
      <c r="H706" s="4">
        <v>1200.32</v>
      </c>
    </row>
    <row r="707" spans="7:8" x14ac:dyDescent="0.25">
      <c r="G707" s="6" t="s">
        <v>868</v>
      </c>
      <c r="H707" s="4">
        <v>365.94</v>
      </c>
    </row>
    <row r="708" spans="7:8" x14ac:dyDescent="0.25">
      <c r="G708" s="6" t="s">
        <v>86</v>
      </c>
      <c r="H708" s="4">
        <v>2700.7200000000003</v>
      </c>
    </row>
    <row r="709" spans="7:8" x14ac:dyDescent="0.25">
      <c r="G709" s="6" t="s">
        <v>662</v>
      </c>
      <c r="H709" s="4">
        <v>5401.53</v>
      </c>
    </row>
    <row r="710" spans="7:8" x14ac:dyDescent="0.25">
      <c r="G710" s="6" t="s">
        <v>708</v>
      </c>
      <c r="H710" s="4">
        <v>5401.53</v>
      </c>
    </row>
    <row r="711" spans="7:8" x14ac:dyDescent="0.25">
      <c r="G711" s="6" t="s">
        <v>112</v>
      </c>
      <c r="H711" s="4">
        <v>1200.32</v>
      </c>
    </row>
    <row r="712" spans="7:8" x14ac:dyDescent="0.25">
      <c r="G712" s="6" t="s">
        <v>190</v>
      </c>
      <c r="H712" s="4">
        <v>162.63999999999999</v>
      </c>
    </row>
    <row r="713" spans="7:8" x14ac:dyDescent="0.25">
      <c r="G713" s="6" t="s">
        <v>1986</v>
      </c>
      <c r="H713" s="4">
        <v>650.55999999999995</v>
      </c>
    </row>
    <row r="714" spans="7:8" x14ac:dyDescent="0.25">
      <c r="G714" s="6" t="s">
        <v>424</v>
      </c>
      <c r="H714" s="4">
        <v>7502</v>
      </c>
    </row>
    <row r="715" spans="7:8" x14ac:dyDescent="0.25">
      <c r="G715" s="6" t="s">
        <v>1674</v>
      </c>
      <c r="H715" s="4">
        <v>300.08</v>
      </c>
    </row>
    <row r="716" spans="7:8" x14ac:dyDescent="0.25">
      <c r="G716" s="6" t="s">
        <v>1928</v>
      </c>
      <c r="H716" s="4">
        <v>187.68</v>
      </c>
    </row>
    <row r="717" spans="7:8" x14ac:dyDescent="0.25">
      <c r="G717" s="6" t="s">
        <v>1364</v>
      </c>
      <c r="H717" s="4">
        <v>9602.7199999999993</v>
      </c>
    </row>
    <row r="718" spans="7:8" x14ac:dyDescent="0.25">
      <c r="G718" s="6" t="s">
        <v>762</v>
      </c>
      <c r="H718" s="4">
        <v>7502</v>
      </c>
    </row>
    <row r="719" spans="7:8" x14ac:dyDescent="0.25">
      <c r="G719" s="6" t="s">
        <v>1554</v>
      </c>
      <c r="H719" s="4">
        <v>650.55999999999995</v>
      </c>
    </row>
    <row r="720" spans="7:8" x14ac:dyDescent="0.25">
      <c r="G720" s="6" t="s">
        <v>1254</v>
      </c>
      <c r="H720" s="4">
        <v>9450</v>
      </c>
    </row>
    <row r="721" spans="7:8" x14ac:dyDescent="0.25">
      <c r="G721" s="6" t="s">
        <v>1652</v>
      </c>
      <c r="H721" s="4">
        <v>365.94</v>
      </c>
    </row>
    <row r="722" spans="7:8" x14ac:dyDescent="0.25">
      <c r="G722" s="6" t="s">
        <v>792</v>
      </c>
      <c r="H722" s="4">
        <v>2700.7200000000003</v>
      </c>
    </row>
    <row r="723" spans="7:8" x14ac:dyDescent="0.25">
      <c r="G723" s="6" t="s">
        <v>1388</v>
      </c>
      <c r="H723" s="4">
        <v>187.68</v>
      </c>
    </row>
    <row r="724" spans="7:8" x14ac:dyDescent="0.25">
      <c r="G724" s="6" t="s">
        <v>1336</v>
      </c>
      <c r="H724" s="4">
        <v>11.73</v>
      </c>
    </row>
    <row r="725" spans="7:8" x14ac:dyDescent="0.25">
      <c r="G725" s="6" t="s">
        <v>1972</v>
      </c>
      <c r="H725" s="4">
        <v>1200.32</v>
      </c>
    </row>
    <row r="726" spans="7:8" x14ac:dyDescent="0.25">
      <c r="G726" s="6" t="s">
        <v>1640</v>
      </c>
      <c r="H726" s="4">
        <v>2700.7200000000003</v>
      </c>
    </row>
    <row r="727" spans="7:8" x14ac:dyDescent="0.25">
      <c r="G727" s="6" t="s">
        <v>1742</v>
      </c>
      <c r="H727" s="4">
        <v>378.75</v>
      </c>
    </row>
    <row r="728" spans="7:8" x14ac:dyDescent="0.25">
      <c r="G728" s="6" t="s">
        <v>1890</v>
      </c>
      <c r="H728" s="4">
        <v>130.75</v>
      </c>
    </row>
    <row r="729" spans="7:8" x14ac:dyDescent="0.25">
      <c r="G729" s="6" t="s">
        <v>1904</v>
      </c>
      <c r="H729" s="4">
        <v>15004.25</v>
      </c>
    </row>
    <row r="730" spans="7:8" x14ac:dyDescent="0.25">
      <c r="G730" s="6" t="s">
        <v>478</v>
      </c>
      <c r="H730" s="4">
        <v>83.68</v>
      </c>
    </row>
    <row r="731" spans="7:8" x14ac:dyDescent="0.25">
      <c r="G731" s="6" t="s">
        <v>1324</v>
      </c>
      <c r="H731" s="4">
        <v>1200.32</v>
      </c>
    </row>
    <row r="732" spans="7:8" x14ac:dyDescent="0.25">
      <c r="G732" s="6" t="s">
        <v>1036</v>
      </c>
      <c r="H732" s="4">
        <v>300.08</v>
      </c>
    </row>
    <row r="733" spans="7:8" x14ac:dyDescent="0.25">
      <c r="G733" s="6" t="s">
        <v>1574</v>
      </c>
      <c r="H733" s="4">
        <v>650.55999999999995</v>
      </c>
    </row>
    <row r="734" spans="7:8" x14ac:dyDescent="0.25">
      <c r="G734" s="6" t="s">
        <v>1900</v>
      </c>
      <c r="H734" s="4">
        <v>5.23</v>
      </c>
    </row>
    <row r="735" spans="7:8" x14ac:dyDescent="0.25">
      <c r="G735" s="6" t="s">
        <v>1118</v>
      </c>
      <c r="H735" s="4">
        <v>5401.53</v>
      </c>
    </row>
    <row r="736" spans="7:8" x14ac:dyDescent="0.25">
      <c r="G736" s="6" t="s">
        <v>1852</v>
      </c>
      <c r="H736" s="4">
        <v>2700.7200000000003</v>
      </c>
    </row>
    <row r="737" spans="7:8" x14ac:dyDescent="0.25">
      <c r="G737" s="6" t="s">
        <v>106</v>
      </c>
      <c r="H737" s="4">
        <v>9602.7199999999993</v>
      </c>
    </row>
    <row r="738" spans="7:8" x14ac:dyDescent="0.25">
      <c r="G738" s="6" t="s">
        <v>872</v>
      </c>
      <c r="H738" s="4">
        <v>15.15</v>
      </c>
    </row>
    <row r="739" spans="7:8" x14ac:dyDescent="0.25">
      <c r="G739" s="6" t="s">
        <v>1924</v>
      </c>
      <c r="H739" s="4">
        <v>2400.6799999999998</v>
      </c>
    </row>
    <row r="740" spans="7:8" x14ac:dyDescent="0.25">
      <c r="G740" s="6" t="s">
        <v>462</v>
      </c>
      <c r="H740" s="4">
        <v>130.75</v>
      </c>
    </row>
    <row r="741" spans="7:8" x14ac:dyDescent="0.25">
      <c r="G741" s="6" t="s">
        <v>140</v>
      </c>
      <c r="H741" s="4">
        <v>130.75</v>
      </c>
    </row>
    <row r="742" spans="7:8" x14ac:dyDescent="0.25">
      <c r="G742" s="6" t="s">
        <v>1080</v>
      </c>
      <c r="H742" s="4">
        <v>187.68</v>
      </c>
    </row>
    <row r="743" spans="7:8" x14ac:dyDescent="0.25">
      <c r="G743" s="6" t="s">
        <v>1156</v>
      </c>
      <c r="H743" s="4">
        <v>300.08</v>
      </c>
    </row>
    <row r="744" spans="7:8" x14ac:dyDescent="0.25">
      <c r="G744" s="6" t="s">
        <v>768</v>
      </c>
      <c r="H744" s="4">
        <v>187.68</v>
      </c>
    </row>
    <row r="745" spans="7:8" x14ac:dyDescent="0.25">
      <c r="G745" s="6" t="s">
        <v>970</v>
      </c>
      <c r="H745" s="4">
        <v>143.36000000000001</v>
      </c>
    </row>
    <row r="746" spans="7:8" x14ac:dyDescent="0.25">
      <c r="G746" s="6" t="s">
        <v>622</v>
      </c>
      <c r="H746" s="4">
        <v>650.55999999999995</v>
      </c>
    </row>
    <row r="747" spans="7:8" x14ac:dyDescent="0.25">
      <c r="G747" s="6" t="s">
        <v>876</v>
      </c>
      <c r="H747" s="4">
        <v>7502</v>
      </c>
    </row>
    <row r="748" spans="7:8" x14ac:dyDescent="0.25">
      <c r="G748" s="6" t="s">
        <v>1164</v>
      </c>
      <c r="H748" s="4">
        <v>300.08</v>
      </c>
    </row>
    <row r="749" spans="7:8" x14ac:dyDescent="0.25">
      <c r="G749" s="6" t="s">
        <v>736</v>
      </c>
      <c r="H749" s="4">
        <v>300.08</v>
      </c>
    </row>
    <row r="750" spans="7:8" x14ac:dyDescent="0.25">
      <c r="G750" s="6" t="s">
        <v>1028</v>
      </c>
      <c r="H750" s="4">
        <v>187.68</v>
      </c>
    </row>
    <row r="751" spans="7:8" x14ac:dyDescent="0.25">
      <c r="G751" s="6" t="s">
        <v>23</v>
      </c>
      <c r="H751" s="4">
        <v>300.08</v>
      </c>
    </row>
    <row r="752" spans="7:8" x14ac:dyDescent="0.25">
      <c r="G752" s="6" t="s">
        <v>1962</v>
      </c>
      <c r="H752" s="4">
        <v>15.15</v>
      </c>
    </row>
    <row r="753" spans="7:8" x14ac:dyDescent="0.25">
      <c r="G753" s="6" t="s">
        <v>658</v>
      </c>
      <c r="H753" s="4">
        <v>15004.25</v>
      </c>
    </row>
    <row r="754" spans="7:8" x14ac:dyDescent="0.25">
      <c r="G754" s="6" t="s">
        <v>35</v>
      </c>
      <c r="H754" s="4">
        <v>365.94</v>
      </c>
    </row>
    <row r="755" spans="7:8" x14ac:dyDescent="0.25">
      <c r="G755" s="6" t="s">
        <v>1426</v>
      </c>
      <c r="H755" s="4">
        <v>650.55999999999995</v>
      </c>
    </row>
    <row r="756" spans="7:8" x14ac:dyDescent="0.25">
      <c r="G756" s="6" t="s">
        <v>1960</v>
      </c>
      <c r="H756" s="4">
        <v>242.4</v>
      </c>
    </row>
    <row r="757" spans="7:8" x14ac:dyDescent="0.25">
      <c r="G757" s="6" t="s">
        <v>542</v>
      </c>
      <c r="H757" s="4">
        <v>365.94</v>
      </c>
    </row>
    <row r="758" spans="7:8" x14ac:dyDescent="0.25">
      <c r="G758" s="6" t="s">
        <v>1428</v>
      </c>
      <c r="H758" s="4">
        <v>573.44000000000005</v>
      </c>
    </row>
    <row r="759" spans="7:8" x14ac:dyDescent="0.25">
      <c r="G759" s="6" t="s">
        <v>1382</v>
      </c>
      <c r="H759" s="4">
        <v>300.08</v>
      </c>
    </row>
    <row r="760" spans="7:8" x14ac:dyDescent="0.25">
      <c r="G760" s="6" t="s">
        <v>714</v>
      </c>
      <c r="H760" s="4">
        <v>1016.5</v>
      </c>
    </row>
    <row r="761" spans="7:8" x14ac:dyDescent="0.25">
      <c r="G761" s="6" t="s">
        <v>1530</v>
      </c>
      <c r="H761" s="4">
        <v>4801.28</v>
      </c>
    </row>
    <row r="762" spans="7:8" x14ac:dyDescent="0.25">
      <c r="G762" s="6" t="s">
        <v>1246</v>
      </c>
      <c r="H762" s="4">
        <v>9450</v>
      </c>
    </row>
    <row r="763" spans="7:8" x14ac:dyDescent="0.25">
      <c r="G763" s="6" t="s">
        <v>1582</v>
      </c>
      <c r="H763" s="4">
        <v>1200.32</v>
      </c>
    </row>
    <row r="764" spans="7:8" x14ac:dyDescent="0.25">
      <c r="G764" s="6" t="s">
        <v>692</v>
      </c>
      <c r="H764" s="4">
        <v>1050</v>
      </c>
    </row>
    <row r="765" spans="7:8" x14ac:dyDescent="0.25">
      <c r="G765" s="6" t="s">
        <v>1378</v>
      </c>
      <c r="H765" s="4">
        <v>5.23</v>
      </c>
    </row>
    <row r="766" spans="7:8" x14ac:dyDescent="0.25">
      <c r="G766" s="6" t="s">
        <v>614</v>
      </c>
      <c r="H766" s="4">
        <v>1050</v>
      </c>
    </row>
    <row r="767" spans="7:8" x14ac:dyDescent="0.25">
      <c r="G767" s="6" t="s">
        <v>1102</v>
      </c>
      <c r="H767" s="4">
        <v>130.75</v>
      </c>
    </row>
    <row r="768" spans="7:8" x14ac:dyDescent="0.25">
      <c r="G768" s="6" t="s">
        <v>632</v>
      </c>
      <c r="H768" s="4">
        <v>300.08</v>
      </c>
    </row>
    <row r="769" spans="7:8" x14ac:dyDescent="0.25">
      <c r="G769" s="6" t="s">
        <v>84</v>
      </c>
      <c r="H769" s="4">
        <v>242.4</v>
      </c>
    </row>
    <row r="770" spans="7:8" x14ac:dyDescent="0.25">
      <c r="G770" s="6" t="s">
        <v>594</v>
      </c>
      <c r="H770" s="4">
        <v>11.73</v>
      </c>
    </row>
    <row r="771" spans="7:8" x14ac:dyDescent="0.25">
      <c r="G771" s="6" t="s">
        <v>184</v>
      </c>
      <c r="H771" s="4">
        <v>300.08</v>
      </c>
    </row>
    <row r="772" spans="7:8" x14ac:dyDescent="0.25">
      <c r="G772" s="6" t="s">
        <v>960</v>
      </c>
      <c r="H772" s="4">
        <v>7502</v>
      </c>
    </row>
    <row r="773" spans="7:8" x14ac:dyDescent="0.25">
      <c r="G773" s="6" t="s">
        <v>1920</v>
      </c>
      <c r="H773" s="4">
        <v>2700.7200000000003</v>
      </c>
    </row>
    <row r="774" spans="7:8" x14ac:dyDescent="0.25">
      <c r="G774" s="6" t="s">
        <v>1808</v>
      </c>
      <c r="H774" s="4">
        <v>40.659999999999997</v>
      </c>
    </row>
    <row r="775" spans="7:8" x14ac:dyDescent="0.25">
      <c r="G775" s="6" t="s">
        <v>1132</v>
      </c>
      <c r="H775" s="4">
        <v>2700.7200000000003</v>
      </c>
    </row>
    <row r="776" spans="7:8" x14ac:dyDescent="0.25">
      <c r="G776" s="6" t="s">
        <v>1556</v>
      </c>
      <c r="H776" s="4">
        <v>9602.7199999999993</v>
      </c>
    </row>
    <row r="777" spans="7:8" x14ac:dyDescent="0.25">
      <c r="G777" s="6" t="s">
        <v>904</v>
      </c>
      <c r="H777" s="4">
        <v>293.25</v>
      </c>
    </row>
    <row r="778" spans="7:8" x14ac:dyDescent="0.25">
      <c r="G778" s="6" t="s">
        <v>1958</v>
      </c>
      <c r="H778" s="4">
        <v>2400.6799999999998</v>
      </c>
    </row>
    <row r="779" spans="7:8" x14ac:dyDescent="0.25">
      <c r="G779" s="6" t="s">
        <v>1442</v>
      </c>
      <c r="H779" s="4">
        <v>40.659999999999997</v>
      </c>
    </row>
    <row r="780" spans="7:8" x14ac:dyDescent="0.25">
      <c r="G780" s="6" t="s">
        <v>1394</v>
      </c>
      <c r="H780" s="4">
        <v>365.94</v>
      </c>
    </row>
    <row r="781" spans="7:8" x14ac:dyDescent="0.25">
      <c r="G781" s="6" t="s">
        <v>644</v>
      </c>
      <c r="H781" s="4">
        <v>9602.7199999999993</v>
      </c>
    </row>
    <row r="782" spans="7:8" x14ac:dyDescent="0.25">
      <c r="G782" s="6" t="s">
        <v>1128</v>
      </c>
      <c r="H782" s="4">
        <v>1016.5</v>
      </c>
    </row>
    <row r="783" spans="7:8" x14ac:dyDescent="0.25">
      <c r="G783" s="6" t="s">
        <v>562</v>
      </c>
      <c r="H783" s="4">
        <v>40.659999999999997</v>
      </c>
    </row>
    <row r="784" spans="7:8" x14ac:dyDescent="0.25">
      <c r="G784" s="6" t="s">
        <v>1370</v>
      </c>
      <c r="H784" s="4">
        <v>365.94</v>
      </c>
    </row>
    <row r="785" spans="7:8" x14ac:dyDescent="0.25">
      <c r="G785" s="6" t="s">
        <v>458</v>
      </c>
      <c r="H785" s="4">
        <v>162.63999999999999</v>
      </c>
    </row>
    <row r="786" spans="7:8" x14ac:dyDescent="0.25">
      <c r="G786" s="6" t="s">
        <v>354</v>
      </c>
      <c r="H786" s="4">
        <v>1050</v>
      </c>
    </row>
    <row r="787" spans="7:8" x14ac:dyDescent="0.25">
      <c r="G787" s="6" t="s">
        <v>1014</v>
      </c>
      <c r="H787" s="4">
        <v>162.63999999999999</v>
      </c>
    </row>
    <row r="788" spans="7:8" x14ac:dyDescent="0.25">
      <c r="G788" s="6" t="s">
        <v>258</v>
      </c>
      <c r="H788" s="4">
        <v>1016.5</v>
      </c>
    </row>
    <row r="789" spans="7:8" x14ac:dyDescent="0.25">
      <c r="G789" s="6" t="s">
        <v>1448</v>
      </c>
      <c r="H789" s="4">
        <v>2700.7200000000003</v>
      </c>
    </row>
    <row r="790" spans="7:8" x14ac:dyDescent="0.25">
      <c r="G790" s="6" t="s">
        <v>1348</v>
      </c>
      <c r="H790" s="4">
        <v>2400.6799999999998</v>
      </c>
    </row>
    <row r="791" spans="7:8" x14ac:dyDescent="0.25">
      <c r="G791" s="6" t="s">
        <v>1760</v>
      </c>
      <c r="H791" s="4">
        <v>20.92</v>
      </c>
    </row>
    <row r="792" spans="7:8" x14ac:dyDescent="0.25">
      <c r="G792" s="6" t="s">
        <v>2000</v>
      </c>
      <c r="H792" s="4">
        <v>300.08</v>
      </c>
    </row>
    <row r="793" spans="7:8" x14ac:dyDescent="0.25">
      <c r="G793" s="6" t="s">
        <v>1200</v>
      </c>
      <c r="H793" s="4">
        <v>5401.53</v>
      </c>
    </row>
    <row r="794" spans="7:8" x14ac:dyDescent="0.25">
      <c r="G794" s="6" t="s">
        <v>1194</v>
      </c>
      <c r="H794" s="4">
        <v>2400.6799999999998</v>
      </c>
    </row>
    <row r="795" spans="7:8" x14ac:dyDescent="0.25">
      <c r="G795" s="6" t="s">
        <v>1092</v>
      </c>
      <c r="H795" s="4">
        <v>47.07</v>
      </c>
    </row>
    <row r="796" spans="7:8" x14ac:dyDescent="0.25">
      <c r="G796" s="6" t="s">
        <v>368</v>
      </c>
      <c r="H796" s="4">
        <v>365.94</v>
      </c>
    </row>
    <row r="797" spans="7:8" x14ac:dyDescent="0.25">
      <c r="G797" s="6" t="s">
        <v>56</v>
      </c>
      <c r="H797" s="4">
        <v>5.23</v>
      </c>
    </row>
    <row r="798" spans="7:8" x14ac:dyDescent="0.25">
      <c r="G798" s="6" t="s">
        <v>62</v>
      </c>
      <c r="H798" s="4">
        <v>46.92</v>
      </c>
    </row>
    <row r="799" spans="7:8" x14ac:dyDescent="0.25">
      <c r="G799" s="6" t="s">
        <v>774</v>
      </c>
      <c r="H799" s="4">
        <v>4200</v>
      </c>
    </row>
    <row r="800" spans="7:8" x14ac:dyDescent="0.25">
      <c r="G800" s="6" t="s">
        <v>1656</v>
      </c>
      <c r="H800" s="4">
        <v>2700.7200000000003</v>
      </c>
    </row>
    <row r="801" spans="7:8" x14ac:dyDescent="0.25">
      <c r="G801" s="6" t="s">
        <v>326</v>
      </c>
      <c r="H801" s="4">
        <v>293.25</v>
      </c>
    </row>
    <row r="802" spans="7:8" x14ac:dyDescent="0.25">
      <c r="G802" s="6" t="s">
        <v>174</v>
      </c>
      <c r="H802" s="4">
        <v>322.56</v>
      </c>
    </row>
    <row r="803" spans="7:8" x14ac:dyDescent="0.25">
      <c r="G803" s="6" t="s">
        <v>1980</v>
      </c>
      <c r="H803" s="4">
        <v>7502</v>
      </c>
    </row>
    <row r="804" spans="7:8" x14ac:dyDescent="0.25">
      <c r="G804" s="6" t="s">
        <v>1662</v>
      </c>
      <c r="H804" s="4">
        <v>365.94</v>
      </c>
    </row>
    <row r="805" spans="7:8" x14ac:dyDescent="0.25">
      <c r="G805" s="6" t="s">
        <v>1494</v>
      </c>
      <c r="H805" s="4">
        <v>7502</v>
      </c>
    </row>
    <row r="806" spans="7:8" x14ac:dyDescent="0.25">
      <c r="G806" s="6" t="s">
        <v>26</v>
      </c>
      <c r="H806" s="4">
        <v>47.07</v>
      </c>
    </row>
    <row r="807" spans="7:8" x14ac:dyDescent="0.25">
      <c r="G807" s="6" t="s">
        <v>1766</v>
      </c>
      <c r="H807" s="4">
        <v>4801.28</v>
      </c>
    </row>
    <row r="808" spans="7:8" x14ac:dyDescent="0.25">
      <c r="G808" s="6" t="s">
        <v>1108</v>
      </c>
      <c r="H808" s="4">
        <v>896</v>
      </c>
    </row>
    <row r="809" spans="7:8" x14ac:dyDescent="0.25">
      <c r="G809" s="6" t="s">
        <v>1594</v>
      </c>
      <c r="H809" s="4">
        <v>4801.28</v>
      </c>
    </row>
    <row r="810" spans="7:8" x14ac:dyDescent="0.25">
      <c r="G810" s="6" t="s">
        <v>1874</v>
      </c>
      <c r="H810" s="4">
        <v>83.68</v>
      </c>
    </row>
    <row r="811" spans="7:8" x14ac:dyDescent="0.25">
      <c r="G811" s="6" t="s">
        <v>1576</v>
      </c>
      <c r="H811" s="4">
        <v>83.68</v>
      </c>
    </row>
    <row r="812" spans="7:8" x14ac:dyDescent="0.25">
      <c r="G812" s="6" t="s">
        <v>1782</v>
      </c>
      <c r="H812" s="4">
        <v>896</v>
      </c>
    </row>
    <row r="813" spans="7:8" x14ac:dyDescent="0.25">
      <c r="G813" s="6" t="s">
        <v>304</v>
      </c>
      <c r="H813" s="4">
        <v>40.659999999999997</v>
      </c>
    </row>
    <row r="814" spans="7:8" x14ac:dyDescent="0.25">
      <c r="G814" s="6" t="s">
        <v>702</v>
      </c>
      <c r="H814" s="4">
        <v>7502</v>
      </c>
    </row>
    <row r="815" spans="7:8" x14ac:dyDescent="0.25">
      <c r="G815" s="6" t="s">
        <v>372</v>
      </c>
      <c r="H815" s="4">
        <v>105.57</v>
      </c>
    </row>
    <row r="816" spans="7:8" x14ac:dyDescent="0.25">
      <c r="G816" s="6" t="s">
        <v>178</v>
      </c>
      <c r="H816" s="4">
        <v>650.55999999999995</v>
      </c>
    </row>
    <row r="817" spans="7:8" x14ac:dyDescent="0.25">
      <c r="G817" s="6" t="s">
        <v>1938</v>
      </c>
      <c r="H817" s="4">
        <v>136.35000000000002</v>
      </c>
    </row>
    <row r="818" spans="7:8" x14ac:dyDescent="0.25">
      <c r="G818" s="6" t="s">
        <v>602</v>
      </c>
      <c r="H818" s="4">
        <v>9602.7199999999993</v>
      </c>
    </row>
    <row r="819" spans="7:8" x14ac:dyDescent="0.25">
      <c r="G819" s="6" t="s">
        <v>1346</v>
      </c>
      <c r="H819" s="4">
        <v>293.25</v>
      </c>
    </row>
    <row r="820" spans="7:8" x14ac:dyDescent="0.25">
      <c r="G820" s="6" t="s">
        <v>1176</v>
      </c>
      <c r="H820" s="4">
        <v>896</v>
      </c>
    </row>
    <row r="821" spans="7:8" x14ac:dyDescent="0.25">
      <c r="G821" s="6" t="s">
        <v>1570</v>
      </c>
      <c r="H821" s="4">
        <v>2400.6799999999998</v>
      </c>
    </row>
    <row r="822" spans="7:8" x14ac:dyDescent="0.25">
      <c r="G822" s="6" t="s">
        <v>1528</v>
      </c>
      <c r="H822" s="4">
        <v>5401.53</v>
      </c>
    </row>
    <row r="823" spans="7:8" x14ac:dyDescent="0.25">
      <c r="G823" s="6" t="s">
        <v>946</v>
      </c>
      <c r="H823" s="4">
        <v>20.92</v>
      </c>
    </row>
    <row r="824" spans="7:8" x14ac:dyDescent="0.25">
      <c r="G824" s="6" t="s">
        <v>1206</v>
      </c>
      <c r="H824" s="4">
        <v>162.63999999999999</v>
      </c>
    </row>
    <row r="825" spans="7:8" x14ac:dyDescent="0.25">
      <c r="G825" s="6" t="s">
        <v>510</v>
      </c>
      <c r="H825" s="4">
        <v>47.07</v>
      </c>
    </row>
    <row r="826" spans="7:8" x14ac:dyDescent="0.25">
      <c r="G826" s="6" t="s">
        <v>1700</v>
      </c>
      <c r="H826" s="4">
        <v>300.08</v>
      </c>
    </row>
    <row r="827" spans="7:8" x14ac:dyDescent="0.25">
      <c r="G827" s="6" t="s">
        <v>878</v>
      </c>
      <c r="H827" s="4">
        <v>2700.7200000000003</v>
      </c>
    </row>
    <row r="828" spans="7:8" x14ac:dyDescent="0.25">
      <c r="G828" s="6" t="s">
        <v>942</v>
      </c>
      <c r="H828" s="4">
        <v>1200.32</v>
      </c>
    </row>
    <row r="829" spans="7:8" x14ac:dyDescent="0.25">
      <c r="G829" s="6" t="s">
        <v>1004</v>
      </c>
      <c r="H829" s="4">
        <v>26250</v>
      </c>
    </row>
    <row r="830" spans="7:8" x14ac:dyDescent="0.25">
      <c r="G830" s="6" t="s">
        <v>204</v>
      </c>
      <c r="H830" s="4">
        <v>47.07</v>
      </c>
    </row>
    <row r="831" spans="7:8" x14ac:dyDescent="0.25">
      <c r="G831" s="6" t="s">
        <v>1686</v>
      </c>
      <c r="H831" s="4">
        <v>300.08</v>
      </c>
    </row>
    <row r="832" spans="7:8" x14ac:dyDescent="0.25">
      <c r="G832" s="6" t="s">
        <v>1784</v>
      </c>
      <c r="H832" s="4">
        <v>1200.32</v>
      </c>
    </row>
    <row r="833" spans="7:8" x14ac:dyDescent="0.25">
      <c r="G833" s="6" t="s">
        <v>1598</v>
      </c>
      <c r="H833" s="4">
        <v>2700.7200000000003</v>
      </c>
    </row>
    <row r="834" spans="7:8" x14ac:dyDescent="0.25">
      <c r="G834" s="6" t="s">
        <v>154</v>
      </c>
      <c r="H834" s="4">
        <v>4801.28</v>
      </c>
    </row>
    <row r="835" spans="7:8" x14ac:dyDescent="0.25">
      <c r="G835" s="6" t="s">
        <v>730</v>
      </c>
      <c r="H835" s="4">
        <v>4801.28</v>
      </c>
    </row>
    <row r="836" spans="7:8" x14ac:dyDescent="0.25">
      <c r="G836" s="6" t="s">
        <v>246</v>
      </c>
      <c r="H836" s="4">
        <v>1016.5</v>
      </c>
    </row>
    <row r="837" spans="7:8" x14ac:dyDescent="0.25">
      <c r="G837" s="6" t="s">
        <v>1552</v>
      </c>
      <c r="H837" s="4">
        <v>365.94</v>
      </c>
    </row>
    <row r="838" spans="7:8" x14ac:dyDescent="0.25">
      <c r="G838" s="6" t="s">
        <v>1396</v>
      </c>
      <c r="H838" s="4">
        <v>143.36000000000001</v>
      </c>
    </row>
    <row r="839" spans="7:8" x14ac:dyDescent="0.25">
      <c r="G839" s="6" t="s">
        <v>448</v>
      </c>
      <c r="H839" s="4">
        <v>7502</v>
      </c>
    </row>
    <row r="840" spans="7:8" x14ac:dyDescent="0.25">
      <c r="G840" s="6" t="s">
        <v>118</v>
      </c>
      <c r="H840" s="4">
        <v>136.35000000000002</v>
      </c>
    </row>
    <row r="841" spans="7:8" x14ac:dyDescent="0.25">
      <c r="G841" s="6" t="s">
        <v>812</v>
      </c>
      <c r="H841" s="4">
        <v>11.73</v>
      </c>
    </row>
    <row r="842" spans="7:8" x14ac:dyDescent="0.25">
      <c r="G842" s="6" t="s">
        <v>824</v>
      </c>
      <c r="H842" s="4">
        <v>1200.32</v>
      </c>
    </row>
    <row r="843" spans="7:8" x14ac:dyDescent="0.25">
      <c r="G843" s="6" t="s">
        <v>578</v>
      </c>
      <c r="H843" s="4">
        <v>47.07</v>
      </c>
    </row>
    <row r="844" spans="7:8" x14ac:dyDescent="0.25">
      <c r="G844" s="6" t="s">
        <v>796</v>
      </c>
      <c r="H844" s="4">
        <v>5.23</v>
      </c>
    </row>
    <row r="845" spans="7:8" x14ac:dyDescent="0.25">
      <c r="G845" s="6" t="s">
        <v>1778</v>
      </c>
      <c r="H845" s="4">
        <v>1050</v>
      </c>
    </row>
    <row r="846" spans="7:8" x14ac:dyDescent="0.25">
      <c r="G846" s="6" t="s">
        <v>1876</v>
      </c>
      <c r="H846" s="4">
        <v>1200.32</v>
      </c>
    </row>
    <row r="847" spans="7:8" x14ac:dyDescent="0.25">
      <c r="G847" s="6" t="s">
        <v>1042</v>
      </c>
      <c r="H847" s="4">
        <v>322.56</v>
      </c>
    </row>
    <row r="848" spans="7:8" x14ac:dyDescent="0.25">
      <c r="G848" s="6" t="s">
        <v>738</v>
      </c>
      <c r="H848" s="4">
        <v>130.75</v>
      </c>
    </row>
    <row r="849" spans="7:8" x14ac:dyDescent="0.25">
      <c r="G849" s="6" t="s">
        <v>256</v>
      </c>
      <c r="H849" s="4">
        <v>365.94</v>
      </c>
    </row>
    <row r="850" spans="7:8" x14ac:dyDescent="0.25">
      <c r="G850" s="6" t="s">
        <v>350</v>
      </c>
      <c r="H850" s="4">
        <v>26250</v>
      </c>
    </row>
    <row r="851" spans="7:8" x14ac:dyDescent="0.25">
      <c r="G851" s="6" t="s">
        <v>1236</v>
      </c>
      <c r="H851" s="4">
        <v>1016.5</v>
      </c>
    </row>
    <row r="852" spans="7:8" x14ac:dyDescent="0.25">
      <c r="G852" s="6" t="s">
        <v>640</v>
      </c>
      <c r="H852" s="4">
        <v>15.15</v>
      </c>
    </row>
    <row r="853" spans="7:8" x14ac:dyDescent="0.25">
      <c r="G853" s="6" t="s">
        <v>886</v>
      </c>
      <c r="H853" s="4">
        <v>143.36000000000001</v>
      </c>
    </row>
    <row r="854" spans="7:8" x14ac:dyDescent="0.25">
      <c r="G854" s="6" t="s">
        <v>1872</v>
      </c>
      <c r="H854" s="4">
        <v>573.44000000000005</v>
      </c>
    </row>
    <row r="855" spans="7:8" x14ac:dyDescent="0.25">
      <c r="G855" s="6" t="s">
        <v>1072</v>
      </c>
      <c r="H855" s="4">
        <v>378.75</v>
      </c>
    </row>
    <row r="856" spans="7:8" x14ac:dyDescent="0.25">
      <c r="G856" s="6" t="s">
        <v>1078</v>
      </c>
      <c r="H856" s="4">
        <v>2700.7200000000003</v>
      </c>
    </row>
    <row r="857" spans="7:8" x14ac:dyDescent="0.25">
      <c r="G857" s="6" t="s">
        <v>1606</v>
      </c>
      <c r="H857" s="4">
        <v>9602.7199999999993</v>
      </c>
    </row>
    <row r="858" spans="7:8" x14ac:dyDescent="0.25">
      <c r="G858" s="6" t="s">
        <v>52</v>
      </c>
      <c r="H858" s="4">
        <v>2700.7200000000003</v>
      </c>
    </row>
    <row r="859" spans="7:8" x14ac:dyDescent="0.25">
      <c r="G859" s="6" t="s">
        <v>1658</v>
      </c>
      <c r="H859" s="4">
        <v>4801.28</v>
      </c>
    </row>
    <row r="860" spans="7:8" x14ac:dyDescent="0.25">
      <c r="G860" s="6" t="s">
        <v>1304</v>
      </c>
      <c r="H860" s="4">
        <v>35.840000000000003</v>
      </c>
    </row>
    <row r="861" spans="7:8" x14ac:dyDescent="0.25">
      <c r="G861" s="6" t="s">
        <v>1646</v>
      </c>
      <c r="H861" s="4">
        <v>242.4</v>
      </c>
    </row>
    <row r="862" spans="7:8" x14ac:dyDescent="0.25">
      <c r="G862" s="6" t="s">
        <v>1544</v>
      </c>
      <c r="H862" s="4">
        <v>5401.53</v>
      </c>
    </row>
    <row r="863" spans="7:8" x14ac:dyDescent="0.25">
      <c r="G863" s="6" t="s">
        <v>1620</v>
      </c>
      <c r="H863" s="4">
        <v>2400.6799999999998</v>
      </c>
    </row>
    <row r="864" spans="7:8" x14ac:dyDescent="0.25">
      <c r="G864" s="6" t="s">
        <v>1312</v>
      </c>
      <c r="H864" s="4">
        <v>365.94</v>
      </c>
    </row>
    <row r="865" spans="7:8" x14ac:dyDescent="0.25">
      <c r="G865" s="6" t="s">
        <v>848</v>
      </c>
      <c r="H865" s="4">
        <v>15004.25</v>
      </c>
    </row>
    <row r="866" spans="7:8" x14ac:dyDescent="0.25">
      <c r="G866" s="6" t="s">
        <v>710</v>
      </c>
      <c r="H866" s="4">
        <v>650.55999999999995</v>
      </c>
    </row>
    <row r="867" spans="7:8" x14ac:dyDescent="0.25">
      <c r="G867" s="6" t="s">
        <v>838</v>
      </c>
      <c r="H867" s="4">
        <v>162.63999999999999</v>
      </c>
    </row>
    <row r="868" spans="7:8" x14ac:dyDescent="0.25">
      <c r="G868" s="6" t="s">
        <v>808</v>
      </c>
      <c r="H868" s="4">
        <v>2400.6799999999998</v>
      </c>
    </row>
    <row r="869" spans="7:8" x14ac:dyDescent="0.25">
      <c r="G869" s="6" t="s">
        <v>1522</v>
      </c>
      <c r="H869" s="4">
        <v>4801.28</v>
      </c>
    </row>
    <row r="870" spans="7:8" x14ac:dyDescent="0.25">
      <c r="G870" s="6" t="s">
        <v>440</v>
      </c>
      <c r="H870" s="4">
        <v>7502</v>
      </c>
    </row>
    <row r="871" spans="7:8" x14ac:dyDescent="0.25">
      <c r="G871" s="6" t="s">
        <v>218</v>
      </c>
      <c r="H871" s="4">
        <v>4801.28</v>
      </c>
    </row>
    <row r="872" spans="7:8" x14ac:dyDescent="0.25">
      <c r="G872" s="6" t="s">
        <v>1948</v>
      </c>
      <c r="H872" s="4">
        <v>5.23</v>
      </c>
    </row>
    <row r="873" spans="7:8" x14ac:dyDescent="0.25">
      <c r="G873" s="6" t="s">
        <v>460</v>
      </c>
      <c r="H873" s="4">
        <v>105.57</v>
      </c>
    </row>
    <row r="874" spans="7:8" x14ac:dyDescent="0.25">
      <c r="G874" s="6" t="s">
        <v>524</v>
      </c>
      <c r="H874" s="4">
        <v>365.94</v>
      </c>
    </row>
    <row r="875" spans="7:8" x14ac:dyDescent="0.25">
      <c r="G875" s="6" t="s">
        <v>1086</v>
      </c>
      <c r="H875" s="4">
        <v>322.56</v>
      </c>
    </row>
    <row r="876" spans="7:8" x14ac:dyDescent="0.25">
      <c r="G876" s="6" t="s">
        <v>1198</v>
      </c>
      <c r="H876" s="4">
        <v>4200</v>
      </c>
    </row>
    <row r="877" spans="7:8" x14ac:dyDescent="0.25">
      <c r="G877" s="6" t="s">
        <v>414</v>
      </c>
      <c r="H877" s="4">
        <v>1200.32</v>
      </c>
    </row>
    <row r="878" spans="7:8" x14ac:dyDescent="0.25">
      <c r="G878" s="6" t="s">
        <v>538</v>
      </c>
      <c r="H878" s="4">
        <v>47.07</v>
      </c>
    </row>
    <row r="879" spans="7:8" x14ac:dyDescent="0.25">
      <c r="G879" s="6" t="s">
        <v>1584</v>
      </c>
      <c r="H879" s="4">
        <v>2700.7200000000003</v>
      </c>
    </row>
    <row r="880" spans="7:8" x14ac:dyDescent="0.25">
      <c r="G880" s="6" t="s">
        <v>1062</v>
      </c>
      <c r="H880" s="4">
        <v>300.08</v>
      </c>
    </row>
    <row r="881" spans="7:8" x14ac:dyDescent="0.25">
      <c r="G881" s="6" t="s">
        <v>1220</v>
      </c>
      <c r="H881" s="4">
        <v>5.23</v>
      </c>
    </row>
    <row r="882" spans="7:8" x14ac:dyDescent="0.25">
      <c r="G882" s="6" t="s">
        <v>1318</v>
      </c>
      <c r="H882" s="4">
        <v>15.15</v>
      </c>
    </row>
    <row r="883" spans="7:8" x14ac:dyDescent="0.25">
      <c r="G883" s="6" t="s">
        <v>1710</v>
      </c>
      <c r="H883" s="4">
        <v>600.16999999999996</v>
      </c>
    </row>
    <row r="884" spans="7:8" x14ac:dyDescent="0.25">
      <c r="G884" s="6" t="s">
        <v>1690</v>
      </c>
      <c r="H884" s="4">
        <v>2400.6799999999998</v>
      </c>
    </row>
    <row r="885" spans="7:8" x14ac:dyDescent="0.25">
      <c r="G885" s="6" t="s">
        <v>1506</v>
      </c>
      <c r="H885" s="4">
        <v>105.57</v>
      </c>
    </row>
    <row r="886" spans="7:8" x14ac:dyDescent="0.25">
      <c r="G886" s="6" t="s">
        <v>1888</v>
      </c>
      <c r="H886" s="4">
        <v>35.840000000000003</v>
      </c>
    </row>
    <row r="887" spans="7:8" x14ac:dyDescent="0.25">
      <c r="G887" s="6" t="s">
        <v>1992</v>
      </c>
      <c r="H887" s="4">
        <v>1200.32</v>
      </c>
    </row>
    <row r="888" spans="7:8" x14ac:dyDescent="0.25">
      <c r="G888" s="6" t="s">
        <v>464</v>
      </c>
      <c r="H888" s="4">
        <v>1200.32</v>
      </c>
    </row>
    <row r="889" spans="7:8" x14ac:dyDescent="0.25">
      <c r="G889" s="6" t="s">
        <v>338</v>
      </c>
      <c r="H889" s="4">
        <v>378.75</v>
      </c>
    </row>
    <row r="890" spans="7:8" x14ac:dyDescent="0.25">
      <c r="G890" s="6" t="s">
        <v>73</v>
      </c>
      <c r="H890" s="4">
        <v>1200.32</v>
      </c>
    </row>
    <row r="891" spans="7:8" x14ac:dyDescent="0.25">
      <c r="G891" s="6" t="s">
        <v>1562</v>
      </c>
      <c r="H891" s="4">
        <v>2700.7200000000003</v>
      </c>
    </row>
    <row r="892" spans="7:8" x14ac:dyDescent="0.25">
      <c r="G892" s="6" t="s">
        <v>958</v>
      </c>
      <c r="H892" s="4">
        <v>2700.7200000000003</v>
      </c>
    </row>
    <row r="893" spans="7:8" x14ac:dyDescent="0.25">
      <c r="G893" s="6" t="s">
        <v>264</v>
      </c>
      <c r="H893" s="4">
        <v>7502</v>
      </c>
    </row>
    <row r="894" spans="7:8" x14ac:dyDescent="0.25">
      <c r="G894" s="6" t="s">
        <v>1732</v>
      </c>
      <c r="H894" s="4">
        <v>2400.6799999999998</v>
      </c>
    </row>
    <row r="895" spans="7:8" x14ac:dyDescent="0.25">
      <c r="G895" s="6" t="s">
        <v>1360</v>
      </c>
      <c r="H895" s="4">
        <v>2400.6799999999998</v>
      </c>
    </row>
    <row r="896" spans="7:8" x14ac:dyDescent="0.25">
      <c r="G896" s="6" t="s">
        <v>1930</v>
      </c>
      <c r="H896" s="4">
        <v>105.57</v>
      </c>
    </row>
    <row r="897" spans="7:8" x14ac:dyDescent="0.25">
      <c r="G897" s="6" t="s">
        <v>1368</v>
      </c>
      <c r="H897" s="4">
        <v>7502</v>
      </c>
    </row>
    <row r="898" spans="7:8" x14ac:dyDescent="0.25">
      <c r="G898" s="6" t="s">
        <v>1956</v>
      </c>
      <c r="H898" s="4">
        <v>4801.28</v>
      </c>
    </row>
    <row r="899" spans="7:8" x14ac:dyDescent="0.25">
      <c r="G899" s="6" t="s">
        <v>1630</v>
      </c>
      <c r="H899" s="4">
        <v>2700.7200000000003</v>
      </c>
    </row>
    <row r="900" spans="7:8" x14ac:dyDescent="0.25">
      <c r="G900" s="6" t="s">
        <v>412</v>
      </c>
      <c r="H900" s="4">
        <v>1200.32</v>
      </c>
    </row>
    <row r="901" spans="7:8" x14ac:dyDescent="0.25">
      <c r="G901" s="6" t="s">
        <v>376</v>
      </c>
      <c r="H901" s="4">
        <v>1200.32</v>
      </c>
    </row>
    <row r="902" spans="7:8" x14ac:dyDescent="0.25">
      <c r="G902" s="6" t="s">
        <v>48</v>
      </c>
      <c r="H902" s="4">
        <v>143.36000000000001</v>
      </c>
    </row>
    <row r="903" spans="7:8" x14ac:dyDescent="0.25">
      <c r="G903" s="6" t="s">
        <v>950</v>
      </c>
      <c r="H903" s="4">
        <v>4801.28</v>
      </c>
    </row>
    <row r="904" spans="7:8" x14ac:dyDescent="0.25">
      <c r="G904" s="6" t="s">
        <v>1794</v>
      </c>
      <c r="H904" s="4">
        <v>9602.7199999999993</v>
      </c>
    </row>
    <row r="905" spans="7:8" x14ac:dyDescent="0.25">
      <c r="G905" s="6" t="s">
        <v>788</v>
      </c>
      <c r="H905" s="4">
        <v>1200.32</v>
      </c>
    </row>
    <row r="906" spans="7:8" x14ac:dyDescent="0.25">
      <c r="G906" s="6" t="s">
        <v>302</v>
      </c>
      <c r="H906" s="4">
        <v>83.68</v>
      </c>
    </row>
    <row r="907" spans="7:8" x14ac:dyDescent="0.25">
      <c r="G907" s="6" t="s">
        <v>888</v>
      </c>
      <c r="H907" s="4">
        <v>136.35000000000002</v>
      </c>
    </row>
    <row r="908" spans="7:8" x14ac:dyDescent="0.25">
      <c r="G908" s="6" t="s">
        <v>912</v>
      </c>
      <c r="H908" s="4">
        <v>40.659999999999997</v>
      </c>
    </row>
    <row r="909" spans="7:8" x14ac:dyDescent="0.25">
      <c r="G909" s="6" t="s">
        <v>402</v>
      </c>
      <c r="H909" s="4">
        <v>300.08</v>
      </c>
    </row>
    <row r="910" spans="7:8" x14ac:dyDescent="0.25">
      <c r="G910" s="6" t="s">
        <v>938</v>
      </c>
      <c r="H910" s="4">
        <v>60.6</v>
      </c>
    </row>
    <row r="911" spans="7:8" x14ac:dyDescent="0.25">
      <c r="G911" s="6" t="s">
        <v>76</v>
      </c>
      <c r="H911" s="4">
        <v>83.68</v>
      </c>
    </row>
    <row r="912" spans="7:8" x14ac:dyDescent="0.25">
      <c r="G912" s="6" t="s">
        <v>600</v>
      </c>
      <c r="H912" s="4">
        <v>1016.5</v>
      </c>
    </row>
    <row r="913" spans="7:8" x14ac:dyDescent="0.25">
      <c r="G913" s="6" t="s">
        <v>726</v>
      </c>
      <c r="H913" s="4">
        <v>650.55999999999995</v>
      </c>
    </row>
    <row r="914" spans="7:8" x14ac:dyDescent="0.25">
      <c r="G914" s="6" t="s">
        <v>1046</v>
      </c>
      <c r="H914" s="4">
        <v>4801.28</v>
      </c>
    </row>
    <row r="915" spans="7:8" x14ac:dyDescent="0.25">
      <c r="G915" s="6" t="s">
        <v>1440</v>
      </c>
      <c r="H915" s="4">
        <v>20.92</v>
      </c>
    </row>
    <row r="916" spans="7:8" x14ac:dyDescent="0.25">
      <c r="G916" s="6" t="s">
        <v>1510</v>
      </c>
      <c r="H916" s="4">
        <v>2400.6799999999998</v>
      </c>
    </row>
    <row r="917" spans="7:8" x14ac:dyDescent="0.25">
      <c r="G917" s="6" t="s">
        <v>718</v>
      </c>
      <c r="H917" s="4">
        <v>7502</v>
      </c>
    </row>
    <row r="918" spans="7:8" x14ac:dyDescent="0.25">
      <c r="G918" s="6" t="s">
        <v>1038</v>
      </c>
      <c r="H918" s="4">
        <v>896</v>
      </c>
    </row>
    <row r="919" spans="7:8" x14ac:dyDescent="0.25">
      <c r="G919" s="6" t="s">
        <v>60</v>
      </c>
      <c r="H919" s="4">
        <v>573.44000000000005</v>
      </c>
    </row>
    <row r="920" spans="7:8" x14ac:dyDescent="0.25">
      <c r="G920" s="6" t="s">
        <v>390</v>
      </c>
      <c r="H920" s="4">
        <v>2700.7200000000003</v>
      </c>
    </row>
    <row r="921" spans="7:8" x14ac:dyDescent="0.25">
      <c r="G921" s="6" t="s">
        <v>610</v>
      </c>
      <c r="H921" s="4">
        <v>2700.7200000000003</v>
      </c>
    </row>
    <row r="922" spans="7:8" x14ac:dyDescent="0.25">
      <c r="G922" s="6" t="s">
        <v>358</v>
      </c>
      <c r="H922" s="4">
        <v>2400.6799999999998</v>
      </c>
    </row>
    <row r="923" spans="7:8" x14ac:dyDescent="0.25">
      <c r="G923" s="6" t="s">
        <v>1832</v>
      </c>
      <c r="H923" s="4">
        <v>15004.25</v>
      </c>
    </row>
    <row r="924" spans="7:8" x14ac:dyDescent="0.25">
      <c r="G924" s="6" t="s">
        <v>94</v>
      </c>
      <c r="H924" s="4">
        <v>1200.32</v>
      </c>
    </row>
    <row r="925" spans="7:8" x14ac:dyDescent="0.25">
      <c r="G925" s="6" t="s">
        <v>198</v>
      </c>
      <c r="H925" s="4">
        <v>35.840000000000003</v>
      </c>
    </row>
    <row r="926" spans="7:8" x14ac:dyDescent="0.25">
      <c r="G926" s="6" t="s">
        <v>1790</v>
      </c>
      <c r="H926" s="4">
        <v>7502</v>
      </c>
    </row>
    <row r="927" spans="7:8" x14ac:dyDescent="0.25">
      <c r="G927" s="6" t="s">
        <v>210</v>
      </c>
      <c r="H927" s="4">
        <v>1200.32</v>
      </c>
    </row>
    <row r="928" spans="7:8" x14ac:dyDescent="0.25">
      <c r="G928" s="6" t="s">
        <v>684</v>
      </c>
      <c r="H928" s="4">
        <v>5401.53</v>
      </c>
    </row>
    <row r="929" spans="7:8" x14ac:dyDescent="0.25">
      <c r="G929" s="6" t="s">
        <v>674</v>
      </c>
      <c r="H929" s="4">
        <v>896</v>
      </c>
    </row>
    <row r="930" spans="7:8" x14ac:dyDescent="0.25">
      <c r="G930" s="6" t="s">
        <v>836</v>
      </c>
      <c r="H930" s="4">
        <v>650.55999999999995</v>
      </c>
    </row>
    <row r="931" spans="7:8" x14ac:dyDescent="0.25">
      <c r="G931" s="6" t="s">
        <v>596</v>
      </c>
      <c r="H931" s="4">
        <v>11.73</v>
      </c>
    </row>
    <row r="932" spans="7:8" x14ac:dyDescent="0.25">
      <c r="G932" s="6" t="s">
        <v>434</v>
      </c>
      <c r="H932" s="4">
        <v>378.75</v>
      </c>
    </row>
    <row r="933" spans="7:8" x14ac:dyDescent="0.25">
      <c r="G933" s="6" t="s">
        <v>446</v>
      </c>
      <c r="H933" s="4">
        <v>83.68</v>
      </c>
    </row>
    <row r="934" spans="7:8" x14ac:dyDescent="0.25">
      <c r="G934" s="6" t="s">
        <v>2006</v>
      </c>
      <c r="H934" s="4">
        <v>162.63999999999999</v>
      </c>
    </row>
    <row r="935" spans="7:8" x14ac:dyDescent="0.25">
      <c r="G935" s="6" t="s">
        <v>1018</v>
      </c>
      <c r="H935" s="4">
        <v>1200.32</v>
      </c>
    </row>
    <row r="936" spans="7:8" x14ac:dyDescent="0.25">
      <c r="G936" s="6" t="s">
        <v>986</v>
      </c>
      <c r="H936" s="4">
        <v>1016.5</v>
      </c>
    </row>
    <row r="937" spans="7:8" x14ac:dyDescent="0.25">
      <c r="G937" s="6" t="s">
        <v>1800</v>
      </c>
      <c r="H937" s="4">
        <v>2400.6799999999998</v>
      </c>
    </row>
    <row r="938" spans="7:8" x14ac:dyDescent="0.25">
      <c r="G938" s="6" t="s">
        <v>1404</v>
      </c>
      <c r="H938" s="4">
        <v>15.15</v>
      </c>
    </row>
    <row r="939" spans="7:8" x14ac:dyDescent="0.25">
      <c r="G939" s="6" t="s">
        <v>1828</v>
      </c>
      <c r="H939" s="4">
        <v>11.73</v>
      </c>
    </row>
    <row r="940" spans="7:8" x14ac:dyDescent="0.25">
      <c r="G940" s="6" t="s">
        <v>1560</v>
      </c>
      <c r="H940" s="4">
        <v>378.75</v>
      </c>
    </row>
    <row r="941" spans="7:8" x14ac:dyDescent="0.25">
      <c r="G941" s="6" t="s">
        <v>664</v>
      </c>
      <c r="H941" s="4">
        <v>1200.32</v>
      </c>
    </row>
    <row r="942" spans="7:8" x14ac:dyDescent="0.25">
      <c r="G942" s="6" t="s">
        <v>1006</v>
      </c>
      <c r="H942" s="4">
        <v>2700.7200000000003</v>
      </c>
    </row>
    <row r="943" spans="7:8" x14ac:dyDescent="0.25">
      <c r="G943" s="6" t="s">
        <v>1696</v>
      </c>
      <c r="H943" s="4">
        <v>2700.7200000000003</v>
      </c>
    </row>
    <row r="944" spans="7:8" x14ac:dyDescent="0.25">
      <c r="G944" s="6" t="s">
        <v>516</v>
      </c>
      <c r="H944" s="4">
        <v>300.08</v>
      </c>
    </row>
    <row r="945" spans="7:8" x14ac:dyDescent="0.25">
      <c r="G945" s="6" t="s">
        <v>1802</v>
      </c>
      <c r="H945" s="4">
        <v>5.23</v>
      </c>
    </row>
    <row r="946" spans="7:8" x14ac:dyDescent="0.25">
      <c r="G946" s="6" t="s">
        <v>250</v>
      </c>
      <c r="H946" s="4">
        <v>20.92</v>
      </c>
    </row>
    <row r="947" spans="7:8" x14ac:dyDescent="0.25">
      <c r="G947" s="6" t="s">
        <v>1762</v>
      </c>
      <c r="H947" s="4">
        <v>15004.25</v>
      </c>
    </row>
    <row r="948" spans="7:8" x14ac:dyDescent="0.25">
      <c r="G948" s="6" t="s">
        <v>740</v>
      </c>
      <c r="H948" s="4">
        <v>2700.7200000000003</v>
      </c>
    </row>
    <row r="949" spans="7:8" x14ac:dyDescent="0.25">
      <c r="G949" s="6" t="s">
        <v>1162</v>
      </c>
      <c r="H949" s="4">
        <v>322.56</v>
      </c>
    </row>
    <row r="950" spans="7:8" x14ac:dyDescent="0.25">
      <c r="G950" s="6" t="s">
        <v>1154</v>
      </c>
      <c r="H950" s="4">
        <v>9450</v>
      </c>
    </row>
    <row r="951" spans="7:8" x14ac:dyDescent="0.25">
      <c r="G951" s="6" t="s">
        <v>1334</v>
      </c>
      <c r="H951" s="4">
        <v>1200.32</v>
      </c>
    </row>
    <row r="952" spans="7:8" x14ac:dyDescent="0.25">
      <c r="G952" s="6" t="s">
        <v>1718</v>
      </c>
      <c r="H952" s="4">
        <v>300.08</v>
      </c>
    </row>
    <row r="953" spans="7:8" x14ac:dyDescent="0.25">
      <c r="G953" s="6" t="s">
        <v>518</v>
      </c>
      <c r="H953" s="4">
        <v>242.4</v>
      </c>
    </row>
    <row r="954" spans="7:8" x14ac:dyDescent="0.25">
      <c r="G954" s="6" t="s">
        <v>1090</v>
      </c>
      <c r="H954" s="4">
        <v>7502</v>
      </c>
    </row>
    <row r="955" spans="7:8" x14ac:dyDescent="0.25">
      <c r="G955" s="6" t="s">
        <v>69</v>
      </c>
      <c r="H955" s="4">
        <v>9602.7199999999993</v>
      </c>
    </row>
    <row r="956" spans="7:8" x14ac:dyDescent="0.25">
      <c r="G956" s="6" t="s">
        <v>1048</v>
      </c>
      <c r="H956" s="4">
        <v>9450</v>
      </c>
    </row>
    <row r="957" spans="7:8" x14ac:dyDescent="0.25">
      <c r="G957" s="6" t="s">
        <v>1822</v>
      </c>
      <c r="H957" s="4">
        <v>5.23</v>
      </c>
    </row>
    <row r="958" spans="7:8" x14ac:dyDescent="0.25">
      <c r="G958" s="6" t="s">
        <v>1480</v>
      </c>
      <c r="H958" s="4">
        <v>650.55999999999995</v>
      </c>
    </row>
    <row r="959" spans="7:8" x14ac:dyDescent="0.25">
      <c r="G959" s="6" t="s">
        <v>700</v>
      </c>
      <c r="H959" s="4">
        <v>896</v>
      </c>
    </row>
    <row r="960" spans="7:8" x14ac:dyDescent="0.25">
      <c r="G960" s="6" t="s">
        <v>314</v>
      </c>
      <c r="H960" s="4">
        <v>187.68</v>
      </c>
    </row>
    <row r="961" spans="7:8" x14ac:dyDescent="0.25">
      <c r="G961" s="6" t="s">
        <v>568</v>
      </c>
      <c r="H961" s="4">
        <v>300.08</v>
      </c>
    </row>
    <row r="962" spans="7:8" x14ac:dyDescent="0.25">
      <c r="G962" s="6" t="s">
        <v>508</v>
      </c>
      <c r="H962" s="4">
        <v>1016.5</v>
      </c>
    </row>
    <row r="963" spans="7:8" x14ac:dyDescent="0.25">
      <c r="G963" s="6" t="s">
        <v>1472</v>
      </c>
      <c r="H963" s="4">
        <v>600.16999999999996</v>
      </c>
    </row>
    <row r="964" spans="7:8" x14ac:dyDescent="0.25">
      <c r="G964" s="6" t="s">
        <v>1538</v>
      </c>
      <c r="H964" s="4">
        <v>1200.32</v>
      </c>
    </row>
    <row r="965" spans="7:8" x14ac:dyDescent="0.25">
      <c r="G965" s="6" t="s">
        <v>486</v>
      </c>
      <c r="H965" s="4">
        <v>4801.28</v>
      </c>
    </row>
    <row r="966" spans="7:8" x14ac:dyDescent="0.25">
      <c r="G966" s="6" t="s">
        <v>208</v>
      </c>
      <c r="H966" s="4">
        <v>7502</v>
      </c>
    </row>
    <row r="967" spans="7:8" x14ac:dyDescent="0.25">
      <c r="G967" s="6" t="s">
        <v>396</v>
      </c>
      <c r="H967" s="4">
        <v>7502</v>
      </c>
    </row>
    <row r="968" spans="7:8" x14ac:dyDescent="0.25">
      <c r="G968" s="6" t="s">
        <v>200</v>
      </c>
      <c r="H968" s="4">
        <v>2700.7200000000003</v>
      </c>
    </row>
    <row r="969" spans="7:8" x14ac:dyDescent="0.25">
      <c r="G969" s="6" t="s">
        <v>1774</v>
      </c>
      <c r="H969" s="4">
        <v>2700.7200000000003</v>
      </c>
    </row>
    <row r="970" spans="7:8" x14ac:dyDescent="0.25">
      <c r="G970" s="6" t="s">
        <v>902</v>
      </c>
      <c r="H970" s="4">
        <v>650.55999999999995</v>
      </c>
    </row>
    <row r="971" spans="7:8" x14ac:dyDescent="0.25">
      <c r="G971" s="6" t="s">
        <v>1678</v>
      </c>
      <c r="H971" s="4">
        <v>242.4</v>
      </c>
    </row>
    <row r="972" spans="7:8" x14ac:dyDescent="0.25">
      <c r="G972" s="6" t="s">
        <v>686</v>
      </c>
      <c r="H972" s="4">
        <v>9450</v>
      </c>
    </row>
    <row r="973" spans="7:8" x14ac:dyDescent="0.25">
      <c r="G973" s="6" t="s">
        <v>484</v>
      </c>
      <c r="H973" s="4">
        <v>15.15</v>
      </c>
    </row>
    <row r="974" spans="7:8" x14ac:dyDescent="0.25">
      <c r="G974" s="6" t="s">
        <v>1498</v>
      </c>
      <c r="H974" s="4">
        <v>300.08</v>
      </c>
    </row>
    <row r="975" spans="7:8" x14ac:dyDescent="0.25">
      <c r="G975" s="6" t="s">
        <v>1204</v>
      </c>
      <c r="H975" s="4">
        <v>1200.32</v>
      </c>
    </row>
    <row r="976" spans="7:8" x14ac:dyDescent="0.25">
      <c r="G976" s="6" t="s">
        <v>1310</v>
      </c>
      <c r="H976" s="4">
        <v>365.94</v>
      </c>
    </row>
    <row r="977" spans="7:8" x14ac:dyDescent="0.25">
      <c r="G977" s="6" t="s">
        <v>82</v>
      </c>
      <c r="H977" s="4">
        <v>20.92</v>
      </c>
    </row>
    <row r="978" spans="7:8" x14ac:dyDescent="0.25">
      <c r="G978" s="6" t="s">
        <v>318</v>
      </c>
      <c r="H978" s="4">
        <v>322.56</v>
      </c>
    </row>
    <row r="979" spans="7:8" x14ac:dyDescent="0.25">
      <c r="G979" s="6" t="s">
        <v>1664</v>
      </c>
      <c r="H979" s="4">
        <v>1200.32</v>
      </c>
    </row>
    <row r="980" spans="7:8" x14ac:dyDescent="0.25">
      <c r="G980" s="6" t="s">
        <v>490</v>
      </c>
      <c r="H980" s="4">
        <v>4200</v>
      </c>
    </row>
    <row r="981" spans="7:8" x14ac:dyDescent="0.25">
      <c r="G981" s="6" t="s">
        <v>1142</v>
      </c>
      <c r="H981" s="4">
        <v>1200.32</v>
      </c>
    </row>
    <row r="982" spans="7:8" x14ac:dyDescent="0.25">
      <c r="G982" s="6" t="s">
        <v>1418</v>
      </c>
      <c r="H982" s="4">
        <v>293.25</v>
      </c>
    </row>
    <row r="983" spans="7:8" x14ac:dyDescent="0.25">
      <c r="G983" s="6" t="s">
        <v>500</v>
      </c>
      <c r="H983" s="4">
        <v>15.15</v>
      </c>
    </row>
    <row r="984" spans="7:8" x14ac:dyDescent="0.25">
      <c r="G984" s="6" t="s">
        <v>416</v>
      </c>
      <c r="H984" s="4">
        <v>35.840000000000003</v>
      </c>
    </row>
    <row r="985" spans="7:8" x14ac:dyDescent="0.25">
      <c r="G985" s="6" t="s">
        <v>220</v>
      </c>
      <c r="H985" s="4">
        <v>2700.7200000000003</v>
      </c>
    </row>
    <row r="986" spans="7:8" x14ac:dyDescent="0.25">
      <c r="G986" s="6" t="s">
        <v>1492</v>
      </c>
      <c r="H986" s="4">
        <v>60.6</v>
      </c>
    </row>
    <row r="987" spans="7:8" x14ac:dyDescent="0.25">
      <c r="G987" s="6" t="s">
        <v>1272</v>
      </c>
      <c r="H987" s="4">
        <v>35.840000000000003</v>
      </c>
    </row>
    <row r="988" spans="7:8" x14ac:dyDescent="0.25">
      <c r="G988" s="6" t="s">
        <v>1452</v>
      </c>
      <c r="H988" s="4">
        <v>83.68</v>
      </c>
    </row>
    <row r="989" spans="7:8" x14ac:dyDescent="0.25">
      <c r="G989" s="6" t="s">
        <v>194</v>
      </c>
      <c r="H989" s="4">
        <v>573.44000000000005</v>
      </c>
    </row>
    <row r="990" spans="7:8" x14ac:dyDescent="0.25">
      <c r="G990" s="6" t="s">
        <v>1884</v>
      </c>
      <c r="H990" s="4">
        <v>300.08</v>
      </c>
    </row>
    <row r="991" spans="7:8" x14ac:dyDescent="0.25">
      <c r="G991" s="6" t="s">
        <v>1644</v>
      </c>
      <c r="H991" s="4">
        <v>600.16999999999996</v>
      </c>
    </row>
    <row r="992" spans="7:8" x14ac:dyDescent="0.25">
      <c r="G992" s="6" t="s">
        <v>1704</v>
      </c>
      <c r="H992" s="4">
        <v>9602.7199999999993</v>
      </c>
    </row>
    <row r="993" spans="7:8" x14ac:dyDescent="0.25">
      <c r="G993" s="6" t="s">
        <v>436</v>
      </c>
      <c r="H993" s="4">
        <v>60.6</v>
      </c>
    </row>
    <row r="994" spans="7:8" x14ac:dyDescent="0.25">
      <c r="G994" s="6" t="s">
        <v>854</v>
      </c>
      <c r="H994" s="4">
        <v>1200.32</v>
      </c>
    </row>
    <row r="995" spans="7:8" x14ac:dyDescent="0.25">
      <c r="G995" s="6" t="s">
        <v>502</v>
      </c>
      <c r="H995" s="4">
        <v>15.15</v>
      </c>
    </row>
    <row r="996" spans="7:8" x14ac:dyDescent="0.25">
      <c r="G996" s="6" t="s">
        <v>1748</v>
      </c>
      <c r="H996" s="4">
        <v>20.92</v>
      </c>
    </row>
    <row r="997" spans="7:8" x14ac:dyDescent="0.25">
      <c r="G997" s="6" t="s">
        <v>2018</v>
      </c>
      <c r="H997" s="4">
        <v>650.55999999999995</v>
      </c>
    </row>
    <row r="998" spans="7:8" x14ac:dyDescent="0.25">
      <c r="G998" s="6" t="s">
        <v>298</v>
      </c>
      <c r="H998" s="4">
        <v>46.92</v>
      </c>
    </row>
    <row r="999" spans="7:8" x14ac:dyDescent="0.25">
      <c r="G999" s="6" t="s">
        <v>1670</v>
      </c>
      <c r="H999" s="4">
        <v>1200.32</v>
      </c>
    </row>
    <row r="1000" spans="7:8" x14ac:dyDescent="0.25">
      <c r="G1000" s="6" t="s">
        <v>696</v>
      </c>
      <c r="H1000" s="4">
        <v>5.23</v>
      </c>
    </row>
    <row r="1001" spans="7:8" x14ac:dyDescent="0.25">
      <c r="G1001" s="6" t="s">
        <v>1596</v>
      </c>
      <c r="H1001" s="4">
        <v>7502</v>
      </c>
    </row>
    <row r="1002" spans="7:8" x14ac:dyDescent="0.25">
      <c r="G1002" s="6" t="s">
        <v>146</v>
      </c>
      <c r="H1002" s="4">
        <v>573.44000000000005</v>
      </c>
    </row>
    <row r="1003" spans="7:8" x14ac:dyDescent="0.25">
      <c r="G1003" s="6" t="s">
        <v>1326</v>
      </c>
      <c r="H1003" s="4">
        <v>300.08</v>
      </c>
    </row>
    <row r="1004" spans="7:8" x14ac:dyDescent="0.25">
      <c r="G1004" s="6" t="s">
        <v>1974</v>
      </c>
      <c r="H1004" s="4">
        <v>4200</v>
      </c>
    </row>
    <row r="1005" spans="7:8" x14ac:dyDescent="0.25">
      <c r="G1005" s="6" t="s">
        <v>1534</v>
      </c>
      <c r="H1005" s="4">
        <v>1200.32</v>
      </c>
    </row>
    <row r="1006" spans="7:8" x14ac:dyDescent="0.25">
      <c r="G1006" s="6" t="s">
        <v>1824</v>
      </c>
      <c r="H1006" s="4">
        <v>1200.32</v>
      </c>
    </row>
    <row r="1007" spans="7:8" x14ac:dyDescent="0.25">
      <c r="G1007" s="6" t="s">
        <v>1628</v>
      </c>
      <c r="H1007" s="4">
        <v>2700.7200000000003</v>
      </c>
    </row>
    <row r="1008" spans="7:8" x14ac:dyDescent="0.25">
      <c r="G1008" s="6" t="s">
        <v>1064</v>
      </c>
      <c r="H1008" s="4">
        <v>60.6</v>
      </c>
    </row>
    <row r="1009" spans="7:8" x14ac:dyDescent="0.25">
      <c r="G1009" s="6" t="s">
        <v>532</v>
      </c>
      <c r="H1009" s="4">
        <v>1016.5</v>
      </c>
    </row>
    <row r="1010" spans="7:8" x14ac:dyDescent="0.25">
      <c r="G1010" s="6" t="s">
        <v>148</v>
      </c>
      <c r="H1010" s="4">
        <v>293.25</v>
      </c>
    </row>
    <row r="1011" spans="7:8" x14ac:dyDescent="0.25">
      <c r="G1011" s="6" t="s">
        <v>1728</v>
      </c>
      <c r="H1011" s="4">
        <v>365.94</v>
      </c>
    </row>
    <row r="1012" spans="7:8" x14ac:dyDescent="0.25">
      <c r="G1012" s="6" t="s">
        <v>160</v>
      </c>
      <c r="H1012" s="4">
        <v>2700.7200000000003</v>
      </c>
    </row>
    <row r="1013" spans="7:8" x14ac:dyDescent="0.25">
      <c r="G1013" s="6" t="s">
        <v>212</v>
      </c>
      <c r="H1013" s="4">
        <v>47.07</v>
      </c>
    </row>
    <row r="1014" spans="7:8" x14ac:dyDescent="0.25">
      <c r="G1014" s="6" t="s">
        <v>1978</v>
      </c>
      <c r="H1014" s="4">
        <v>162.63999999999999</v>
      </c>
    </row>
    <row r="1015" spans="7:8" x14ac:dyDescent="0.25">
      <c r="G1015" s="6" t="s">
        <v>496</v>
      </c>
      <c r="H1015" s="4">
        <v>1200.32</v>
      </c>
    </row>
    <row r="1016" spans="7:8" x14ac:dyDescent="0.25">
      <c r="G1016" s="6" t="s">
        <v>1868</v>
      </c>
      <c r="H1016" s="4">
        <v>573.44000000000005</v>
      </c>
    </row>
    <row r="1017" spans="7:8" x14ac:dyDescent="0.25">
      <c r="G1017" s="6" t="s">
        <v>814</v>
      </c>
      <c r="H1017" s="4">
        <v>47.07</v>
      </c>
    </row>
    <row r="1018" spans="7:8" x14ac:dyDescent="0.25">
      <c r="G1018" s="6" t="s">
        <v>466</v>
      </c>
      <c r="H1018" s="4">
        <v>60.6</v>
      </c>
    </row>
    <row r="1019" spans="7:8" x14ac:dyDescent="0.25">
      <c r="G1019" s="6" t="s">
        <v>1586</v>
      </c>
      <c r="H1019" s="4">
        <v>2400.6799999999998</v>
      </c>
    </row>
    <row r="1020" spans="7:8" x14ac:dyDescent="0.25">
      <c r="G1020" s="6" t="s">
        <v>778</v>
      </c>
      <c r="H1020" s="4">
        <v>143.36000000000001</v>
      </c>
    </row>
    <row r="1021" spans="7:8" x14ac:dyDescent="0.25">
      <c r="G1021" s="6" t="s">
        <v>2036</v>
      </c>
      <c r="H1021" s="4">
        <v>2365367.7700000019</v>
      </c>
    </row>
  </sheetData>
  <sortState xmlns:xlrd2="http://schemas.microsoft.com/office/spreadsheetml/2017/richdata2" columnSort="1" ref="A9:C18">
    <sortCondition descending="1" ref="B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C5EEC-918F-4BB7-85D6-E09871842489}">
  <dimension ref="A1"/>
  <sheetViews>
    <sheetView tabSelected="1" workbookViewId="0">
      <selection activeCell="Q45" sqref="Q4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 Data</vt:lpstr>
      <vt:lpstr>Pivot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Zama Saiyed</dc:creator>
  <cp:lastModifiedBy>Zama Saiyed</cp:lastModifiedBy>
  <dcterms:created xsi:type="dcterms:W3CDTF">2026-04-02T16:54:26Z</dcterms:created>
  <dcterms:modified xsi:type="dcterms:W3CDTF">2026-10-29T08:17:00Z</dcterms:modified>
</cp:coreProperties>
</file>